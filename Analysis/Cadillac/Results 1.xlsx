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 Area\workspace\sadmix code\Sand mix Final\Analysis\Cadillac\"/>
    </mc:Choice>
  </mc:AlternateContent>
  <xr:revisionPtr revIDLastSave="0" documentId="13_ncr:1_{FFC15D95-90E9-43C2-8539-1ED616CA09A6}" xr6:coauthVersionLast="47" xr6:coauthVersionMax="47" xr10:uidLastSave="{00000000-0000-0000-0000-000000000000}"/>
  <bookViews>
    <workbookView xWindow="-96" yWindow="0" windowWidth="11712" windowHeight="12336" activeTab="1" xr2:uid="{00000000-000D-0000-FFFF-FFFF00000000}"/>
  </bookViews>
  <sheets>
    <sheet name="Sheet1" sheetId="1" r:id="rId1"/>
    <sheet name="Sheet5" sheetId="5" r:id="rId2"/>
    <sheet name="Sheet4" sheetId="4" r:id="rId3"/>
    <sheet name="Sheet3" sheetId="3" r:id="rId4"/>
    <sheet name="Sheet2" sheetId="2" r:id="rId5"/>
  </sheets>
  <definedNames>
    <definedName name="_xlnm._FilterDatabase" localSheetId="0" hidden="1">Sheet1!$A$6:$AQ$106</definedName>
    <definedName name="_xlnm._FilterDatabase" localSheetId="1" hidden="1">Sheet5!$A$6:$AT$106</definedName>
    <definedName name="fff">Sheet4!$A$1:$C$18</definedName>
    <definedName name="ggg">Sheet2!$C$7:$AN$105</definedName>
    <definedName name="kut">Sheet3!$A$2:$D$105</definedName>
    <definedName name="qw">Sheet3!$B$1:$D$105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91" i="5" l="1"/>
  <c r="AE64" i="5"/>
  <c r="AF103" i="5"/>
  <c r="AG88" i="5"/>
  <c r="AH101" i="5"/>
  <c r="AI99" i="5"/>
  <c r="AA80" i="5"/>
  <c r="AA85" i="5"/>
  <c r="Z88" i="5"/>
  <c r="Z90" i="5"/>
  <c r="AA96" i="5"/>
  <c r="Z103" i="5"/>
  <c r="AA103" i="5"/>
  <c r="Z105" i="5"/>
  <c r="AP106" i="5"/>
  <c r="AK106" i="5"/>
  <c r="AJ106" i="5"/>
  <c r="AH106" i="5"/>
  <c r="AG106" i="5"/>
  <c r="AF106" i="5"/>
  <c r="AC106" i="5"/>
  <c r="AP105" i="5"/>
  <c r="AA105" i="5" s="1"/>
  <c r="AK105" i="5"/>
  <c r="AJ105" i="5"/>
  <c r="AI105" i="5"/>
  <c r="AH105" i="5"/>
  <c r="AG105" i="5"/>
  <c r="AF105" i="5"/>
  <c r="AE105" i="5"/>
  <c r="AD105" i="5"/>
  <c r="AC105" i="5"/>
  <c r="AP104" i="5"/>
  <c r="AQ104" i="5" s="1"/>
  <c r="AK104" i="5"/>
  <c r="AJ104" i="5"/>
  <c r="AI104" i="5"/>
  <c r="AH104" i="5"/>
  <c r="AG104" i="5"/>
  <c r="AF104" i="5"/>
  <c r="AC104" i="5"/>
  <c r="AP103" i="5"/>
  <c r="AK103" i="5"/>
  <c r="AJ103" i="5"/>
  <c r="AI103" i="5"/>
  <c r="AH103" i="5"/>
  <c r="AG103" i="5"/>
  <c r="AE103" i="5"/>
  <c r="AD103" i="5"/>
  <c r="AC103" i="5"/>
  <c r="AP102" i="5"/>
  <c r="X102" i="5" s="1"/>
  <c r="AK102" i="5"/>
  <c r="AJ102" i="5"/>
  <c r="AF102" i="5"/>
  <c r="AE102" i="5"/>
  <c r="AD102" i="5"/>
  <c r="AC102" i="5"/>
  <c r="AP101" i="5"/>
  <c r="Z101" i="5" s="1"/>
  <c r="AK101" i="5"/>
  <c r="AJ101" i="5"/>
  <c r="AI101" i="5"/>
  <c r="AF101" i="5"/>
  <c r="AE101" i="5"/>
  <c r="AD101" i="5"/>
  <c r="AC101" i="5"/>
  <c r="AP100" i="5"/>
  <c r="AA100" i="5" s="1"/>
  <c r="AK100" i="5"/>
  <c r="AJ100" i="5"/>
  <c r="AI100" i="5"/>
  <c r="AH100" i="5"/>
  <c r="AG100" i="5"/>
  <c r="AF100" i="5"/>
  <c r="AE100" i="5"/>
  <c r="AD100" i="5"/>
  <c r="AC100" i="5"/>
  <c r="AP99" i="5"/>
  <c r="Z99" i="5" s="1"/>
  <c r="AK99" i="5"/>
  <c r="AJ99" i="5"/>
  <c r="AF99" i="5"/>
  <c r="AE99" i="5"/>
  <c r="AD99" i="5"/>
  <c r="AC99" i="5"/>
  <c r="AP98" i="5"/>
  <c r="Y98" i="5" s="1"/>
  <c r="AK98" i="5"/>
  <c r="AJ98" i="5"/>
  <c r="AI98" i="5"/>
  <c r="AH98" i="5"/>
  <c r="AG98" i="5"/>
  <c r="AF98" i="5"/>
  <c r="AE98" i="5"/>
  <c r="AD98" i="5"/>
  <c r="AC98" i="5"/>
  <c r="AP97" i="5"/>
  <c r="W97" i="5" s="1"/>
  <c r="AK97" i="5"/>
  <c r="AJ97" i="5"/>
  <c r="AF97" i="5"/>
  <c r="AE97" i="5"/>
  <c r="AD97" i="5"/>
  <c r="AC97" i="5"/>
  <c r="AP96" i="5"/>
  <c r="Z96" i="5" s="1"/>
  <c r="AK96" i="5"/>
  <c r="AJ96" i="5"/>
  <c r="AI96" i="5"/>
  <c r="AH96" i="5"/>
  <c r="AG96" i="5"/>
  <c r="AF96" i="5"/>
  <c r="AD96" i="5"/>
  <c r="AC96" i="5"/>
  <c r="Y96" i="5"/>
  <c r="X96" i="5"/>
  <c r="W96" i="5"/>
  <c r="V96" i="5"/>
  <c r="AP95" i="5"/>
  <c r="AQ95" i="5" s="1"/>
  <c r="AK95" i="5"/>
  <c r="AJ95" i="5"/>
  <c r="AI95" i="5"/>
  <c r="AH95" i="5"/>
  <c r="AG95" i="5"/>
  <c r="AE95" i="5"/>
  <c r="AD95" i="5"/>
  <c r="AC95" i="5"/>
  <c r="AP94" i="5"/>
  <c r="Z94" i="5" s="1"/>
  <c r="AK94" i="5"/>
  <c r="AJ94" i="5"/>
  <c r="AF94" i="5"/>
  <c r="AE94" i="5"/>
  <c r="AD94" i="5"/>
  <c r="AC94" i="5"/>
  <c r="W94" i="5"/>
  <c r="V94" i="5"/>
  <c r="AP93" i="5"/>
  <c r="Z93" i="5" s="1"/>
  <c r="AK93" i="5"/>
  <c r="AJ93" i="5"/>
  <c r="AI93" i="5"/>
  <c r="AF93" i="5"/>
  <c r="AE93" i="5"/>
  <c r="AD93" i="5"/>
  <c r="AC93" i="5"/>
  <c r="AP92" i="5"/>
  <c r="Z92" i="5" s="1"/>
  <c r="AK92" i="5"/>
  <c r="AJ92" i="5"/>
  <c r="AI92" i="5"/>
  <c r="AH92" i="5"/>
  <c r="AG92" i="5"/>
  <c r="AF92" i="5"/>
  <c r="AE92" i="5"/>
  <c r="AD92" i="5"/>
  <c r="AC92" i="5"/>
  <c r="Y92" i="5"/>
  <c r="AP91" i="5"/>
  <c r="Z91" i="5" s="1"/>
  <c r="AK91" i="5"/>
  <c r="AJ91" i="5"/>
  <c r="AG91" i="5"/>
  <c r="AF91" i="5"/>
  <c r="AE91" i="5"/>
  <c r="AC91" i="5"/>
  <c r="AP90" i="5"/>
  <c r="AQ90" i="5" s="1"/>
  <c r="AK90" i="5"/>
  <c r="AJ90" i="5"/>
  <c r="AI90" i="5"/>
  <c r="AH90" i="5"/>
  <c r="AG90" i="5"/>
  <c r="AF90" i="5"/>
  <c r="AE90" i="5"/>
  <c r="AD90" i="5"/>
  <c r="AC90" i="5"/>
  <c r="AP89" i="5"/>
  <c r="AQ89" i="5" s="1"/>
  <c r="AK89" i="5"/>
  <c r="AJ89" i="5"/>
  <c r="AI89" i="5"/>
  <c r="AH89" i="5"/>
  <c r="AD89" i="5"/>
  <c r="AC89" i="5"/>
  <c r="AP88" i="5"/>
  <c r="AA88" i="5" s="1"/>
  <c r="AK88" i="5"/>
  <c r="AJ88" i="5"/>
  <c r="AI88" i="5"/>
  <c r="AH88" i="5"/>
  <c r="AE88" i="5"/>
  <c r="AD88" i="5"/>
  <c r="AC88" i="5"/>
  <c r="AP87" i="5"/>
  <c r="X87" i="5" s="1"/>
  <c r="AK87" i="5"/>
  <c r="AJ87" i="5"/>
  <c r="AG87" i="5"/>
  <c r="AF87" i="5"/>
  <c r="AE87" i="5"/>
  <c r="AD87" i="5"/>
  <c r="AC87" i="5"/>
  <c r="AP86" i="5"/>
  <c r="W86" i="5" s="1"/>
  <c r="AK86" i="5"/>
  <c r="AJ86" i="5"/>
  <c r="AF86" i="5"/>
  <c r="AE86" i="5"/>
  <c r="AD86" i="5"/>
  <c r="AC86" i="5"/>
  <c r="AP85" i="5"/>
  <c r="AQ85" i="5" s="1"/>
  <c r="AK85" i="5"/>
  <c r="AJ85" i="5"/>
  <c r="AI85" i="5"/>
  <c r="AH85" i="5"/>
  <c r="AG85" i="5"/>
  <c r="AF85" i="5"/>
  <c r="AE85" i="5"/>
  <c r="AD85" i="5"/>
  <c r="AC85" i="5"/>
  <c r="AP84" i="5"/>
  <c r="Y84" i="5" s="1"/>
  <c r="AK84" i="5"/>
  <c r="AJ84" i="5"/>
  <c r="AF84" i="5"/>
  <c r="AE84" i="5"/>
  <c r="AD84" i="5"/>
  <c r="AC84" i="5"/>
  <c r="AP83" i="5"/>
  <c r="AA83" i="5" s="1"/>
  <c r="AK83" i="5"/>
  <c r="AJ83" i="5"/>
  <c r="AI83" i="5"/>
  <c r="AF83" i="5"/>
  <c r="AE83" i="5"/>
  <c r="AD83" i="5"/>
  <c r="AC83" i="5"/>
  <c r="AP82" i="5"/>
  <c r="Y82" i="5" s="1"/>
  <c r="AK82" i="5"/>
  <c r="AJ82" i="5"/>
  <c r="AI82" i="5"/>
  <c r="AH82" i="5"/>
  <c r="AG82" i="5"/>
  <c r="AF82" i="5"/>
  <c r="AE82" i="5"/>
  <c r="AD82" i="5"/>
  <c r="AC82" i="5"/>
  <c r="AP81" i="5"/>
  <c r="AA81" i="5" s="1"/>
  <c r="AK81" i="5"/>
  <c r="AJ81" i="5"/>
  <c r="AG81" i="5"/>
  <c r="AF81" i="5"/>
  <c r="AE81" i="5"/>
  <c r="AC81" i="5"/>
  <c r="AP80" i="5"/>
  <c r="Z80" i="5" s="1"/>
  <c r="AK80" i="5"/>
  <c r="AJ80" i="5"/>
  <c r="AI80" i="5"/>
  <c r="AH80" i="5"/>
  <c r="AG80" i="5"/>
  <c r="AF80" i="5"/>
  <c r="AE80" i="5"/>
  <c r="AD80" i="5"/>
  <c r="AC80" i="5"/>
  <c r="AP79" i="5"/>
  <c r="Z79" i="5" s="1"/>
  <c r="AK79" i="5"/>
  <c r="AJ79" i="5"/>
  <c r="AG79" i="5"/>
  <c r="AF79" i="5"/>
  <c r="AE79" i="5"/>
  <c r="AC79" i="5"/>
  <c r="AQ78" i="5"/>
  <c r="AP78" i="5"/>
  <c r="V78" i="5" s="1"/>
  <c r="AK78" i="5"/>
  <c r="AJ78" i="5"/>
  <c r="AI78" i="5"/>
  <c r="AH78" i="5"/>
  <c r="AG78" i="5"/>
  <c r="AF78" i="5"/>
  <c r="AE78" i="5"/>
  <c r="AD78" i="5"/>
  <c r="AC78" i="5"/>
  <c r="Y78" i="5"/>
  <c r="X78" i="5"/>
  <c r="W78" i="5"/>
  <c r="T78" i="5"/>
  <c r="AP77" i="5"/>
  <c r="AQ77" i="5" s="1"/>
  <c r="AK77" i="5"/>
  <c r="AJ77" i="5"/>
  <c r="AI77" i="5"/>
  <c r="AH77" i="5"/>
  <c r="AG77" i="5"/>
  <c r="AF77" i="5"/>
  <c r="AE77" i="5"/>
  <c r="AD77" i="5"/>
  <c r="AC77" i="5"/>
  <c r="AP76" i="5"/>
  <c r="AQ76" i="5" s="1"/>
  <c r="AK76" i="5"/>
  <c r="AJ76" i="5"/>
  <c r="AI76" i="5"/>
  <c r="AE76" i="5"/>
  <c r="AD76" i="5"/>
  <c r="AC76" i="5"/>
  <c r="AP75" i="5"/>
  <c r="AQ75" i="5" s="1"/>
  <c r="AK75" i="5"/>
  <c r="AJ75" i="5"/>
  <c r="AF75" i="5"/>
  <c r="AE75" i="5"/>
  <c r="AD75" i="5"/>
  <c r="AC75" i="5"/>
  <c r="X75" i="5"/>
  <c r="W75" i="5"/>
  <c r="AP74" i="5"/>
  <c r="AQ74" i="5" s="1"/>
  <c r="AK74" i="5"/>
  <c r="AJ74" i="5"/>
  <c r="AI74" i="5"/>
  <c r="AH74" i="5"/>
  <c r="AG74" i="5"/>
  <c r="AF74" i="5"/>
  <c r="AE74" i="5"/>
  <c r="AD74" i="5"/>
  <c r="AC74" i="5"/>
  <c r="AP73" i="5"/>
  <c r="Y73" i="5" s="1"/>
  <c r="AK73" i="5"/>
  <c r="AJ73" i="5"/>
  <c r="AI73" i="5"/>
  <c r="AH73" i="5"/>
  <c r="AG73" i="5"/>
  <c r="AF73" i="5"/>
  <c r="AE73" i="5"/>
  <c r="AD73" i="5"/>
  <c r="AC73" i="5"/>
  <c r="AP72" i="5"/>
  <c r="X72" i="5" s="1"/>
  <c r="AK72" i="5"/>
  <c r="AJ72" i="5"/>
  <c r="AI72" i="5"/>
  <c r="AH72" i="5"/>
  <c r="AG72" i="5"/>
  <c r="AF72" i="5"/>
  <c r="AD72" i="5"/>
  <c r="AC72" i="5"/>
  <c r="AP71" i="5"/>
  <c r="X71" i="5" s="1"/>
  <c r="AK71" i="5"/>
  <c r="AJ71" i="5"/>
  <c r="AI71" i="5"/>
  <c r="AH71" i="5"/>
  <c r="AG71" i="5"/>
  <c r="AF71" i="5"/>
  <c r="AE71" i="5"/>
  <c r="AD71" i="5"/>
  <c r="AC71" i="5"/>
  <c r="AP70" i="5"/>
  <c r="Y70" i="5" s="1"/>
  <c r="AK70" i="5"/>
  <c r="AJ70" i="5"/>
  <c r="AI70" i="5"/>
  <c r="AH70" i="5"/>
  <c r="AG70" i="5"/>
  <c r="AF70" i="5"/>
  <c r="AE70" i="5"/>
  <c r="AD70" i="5"/>
  <c r="AC70" i="5"/>
  <c r="AP69" i="5"/>
  <c r="Y69" i="5" s="1"/>
  <c r="AK69" i="5"/>
  <c r="AJ69" i="5"/>
  <c r="AI69" i="5"/>
  <c r="AE69" i="5"/>
  <c r="AD69" i="5"/>
  <c r="AC69" i="5"/>
  <c r="X69" i="5"/>
  <c r="W69" i="5"/>
  <c r="AP68" i="5"/>
  <c r="W68" i="5" s="1"/>
  <c r="AK68" i="5"/>
  <c r="AJ68" i="5"/>
  <c r="AI68" i="5"/>
  <c r="AF68" i="5"/>
  <c r="AE68" i="5"/>
  <c r="AD68" i="5"/>
  <c r="AC68" i="5"/>
  <c r="AP67" i="5"/>
  <c r="AQ67" i="5" s="1"/>
  <c r="AK67" i="5"/>
  <c r="AJ67" i="5"/>
  <c r="AI67" i="5"/>
  <c r="AH67" i="5"/>
  <c r="AG67" i="5"/>
  <c r="AF67" i="5"/>
  <c r="AE67" i="5"/>
  <c r="AD67" i="5"/>
  <c r="AC67" i="5"/>
  <c r="AP66" i="5"/>
  <c r="X66" i="5" s="1"/>
  <c r="AK66" i="5"/>
  <c r="AJ66" i="5"/>
  <c r="AI66" i="5"/>
  <c r="AH66" i="5"/>
  <c r="AG66" i="5"/>
  <c r="AF66" i="5"/>
  <c r="AE66" i="5"/>
  <c r="AD66" i="5"/>
  <c r="AC66" i="5"/>
  <c r="AP65" i="5"/>
  <c r="Y65" i="5" s="1"/>
  <c r="AK65" i="5"/>
  <c r="AJ65" i="5"/>
  <c r="AI65" i="5"/>
  <c r="AH65" i="5"/>
  <c r="AD65" i="5"/>
  <c r="AC65" i="5"/>
  <c r="AP64" i="5"/>
  <c r="AQ64" i="5" s="1"/>
  <c r="AK64" i="5"/>
  <c r="AJ64" i="5"/>
  <c r="AI64" i="5"/>
  <c r="AH64" i="5"/>
  <c r="AG64" i="5"/>
  <c r="AF64" i="5"/>
  <c r="AD64" i="5"/>
  <c r="AC64" i="5"/>
  <c r="AP63" i="5"/>
  <c r="T63" i="5" s="1"/>
  <c r="AK63" i="5"/>
  <c r="AJ63" i="5"/>
  <c r="AF63" i="5"/>
  <c r="AE63" i="5"/>
  <c r="AD63" i="5"/>
  <c r="AC63" i="5"/>
  <c r="AP62" i="5"/>
  <c r="V62" i="5" s="1"/>
  <c r="AK62" i="5"/>
  <c r="AJ62" i="5"/>
  <c r="AI62" i="5"/>
  <c r="AH62" i="5"/>
  <c r="AG62" i="5"/>
  <c r="AF62" i="5"/>
  <c r="AD62" i="5"/>
  <c r="AC62" i="5"/>
  <c r="AP61" i="5"/>
  <c r="Y61" i="5" s="1"/>
  <c r="AK61" i="5"/>
  <c r="AJ61" i="5"/>
  <c r="AF61" i="5"/>
  <c r="AE61" i="5"/>
  <c r="AD61" i="5"/>
  <c r="AC61" i="5"/>
  <c r="AP60" i="5"/>
  <c r="AQ60" i="5" s="1"/>
  <c r="AK60" i="5"/>
  <c r="AJ60" i="5"/>
  <c r="AI60" i="5"/>
  <c r="AH60" i="5"/>
  <c r="AG60" i="5"/>
  <c r="AE60" i="5"/>
  <c r="AD60" i="5"/>
  <c r="AC60" i="5"/>
  <c r="AP59" i="5"/>
  <c r="W59" i="5" s="1"/>
  <c r="AK59" i="5"/>
  <c r="AJ59" i="5"/>
  <c r="AI59" i="5"/>
  <c r="AH59" i="5"/>
  <c r="AG59" i="5"/>
  <c r="AF59" i="5"/>
  <c r="AE59" i="5"/>
  <c r="AD59" i="5"/>
  <c r="AC59" i="5"/>
  <c r="AP58" i="5"/>
  <c r="AQ58" i="5" s="1"/>
  <c r="AK58" i="5"/>
  <c r="AJ58" i="5"/>
  <c r="AG58" i="5"/>
  <c r="AF58" i="5"/>
  <c r="AE58" i="5"/>
  <c r="AD58" i="5"/>
  <c r="AC58" i="5"/>
  <c r="AP57" i="5"/>
  <c r="W57" i="5" s="1"/>
  <c r="AK57" i="5"/>
  <c r="AJ57" i="5"/>
  <c r="AI57" i="5"/>
  <c r="AH57" i="5"/>
  <c r="AD57" i="5"/>
  <c r="AC57" i="5"/>
  <c r="V57" i="5"/>
  <c r="AP56" i="5"/>
  <c r="AK56" i="5"/>
  <c r="AJ56" i="5"/>
  <c r="AI56" i="5"/>
  <c r="AH56" i="5"/>
  <c r="AG56" i="5"/>
  <c r="AF56" i="5"/>
  <c r="AE56" i="5"/>
  <c r="AD56" i="5"/>
  <c r="AC56" i="5"/>
  <c r="AP55" i="5"/>
  <c r="AK55" i="5"/>
  <c r="AJ55" i="5"/>
  <c r="AI55" i="5"/>
  <c r="AE55" i="5"/>
  <c r="AD55" i="5"/>
  <c r="AC55" i="5"/>
  <c r="AP54" i="5"/>
  <c r="AK54" i="5"/>
  <c r="AJ54" i="5"/>
  <c r="AI54" i="5"/>
  <c r="AH54" i="5"/>
  <c r="AG54" i="5"/>
  <c r="AF54" i="5"/>
  <c r="AE54" i="5"/>
  <c r="AD54" i="5"/>
  <c r="AC54" i="5"/>
  <c r="AP53" i="5"/>
  <c r="AK53" i="5"/>
  <c r="AJ53" i="5"/>
  <c r="AI53" i="5"/>
  <c r="AE53" i="5"/>
  <c r="AD53" i="5"/>
  <c r="AC53" i="5"/>
  <c r="AP52" i="5"/>
  <c r="AQ52" i="5" s="1"/>
  <c r="AK52" i="5"/>
  <c r="AJ52" i="5"/>
  <c r="AI52" i="5"/>
  <c r="AH52" i="5"/>
  <c r="AG52" i="5"/>
  <c r="AF52" i="5"/>
  <c r="AE52" i="5"/>
  <c r="AD52" i="5"/>
  <c r="AC52" i="5"/>
  <c r="AP51" i="5"/>
  <c r="Y51" i="5" s="1"/>
  <c r="AK51" i="5"/>
  <c r="AJ51" i="5"/>
  <c r="AF51" i="5"/>
  <c r="AE51" i="5"/>
  <c r="AD51" i="5"/>
  <c r="AC51" i="5"/>
  <c r="AP50" i="5"/>
  <c r="W50" i="5" s="1"/>
  <c r="AK50" i="5"/>
  <c r="AJ50" i="5"/>
  <c r="AI50" i="5"/>
  <c r="AF50" i="5"/>
  <c r="AE50" i="5"/>
  <c r="AD50" i="5"/>
  <c r="AC50" i="5"/>
  <c r="Y50" i="5"/>
  <c r="AP49" i="5"/>
  <c r="W49" i="5" s="1"/>
  <c r="AK49" i="5"/>
  <c r="AJ49" i="5"/>
  <c r="AI49" i="5"/>
  <c r="AH49" i="5"/>
  <c r="AG49" i="5"/>
  <c r="AF49" i="5"/>
  <c r="AE49" i="5"/>
  <c r="AD49" i="5"/>
  <c r="AC49" i="5"/>
  <c r="AP48" i="5"/>
  <c r="AQ48" i="5" s="1"/>
  <c r="AK48" i="5"/>
  <c r="AJ48" i="5"/>
  <c r="AI48" i="5"/>
  <c r="AH48" i="5"/>
  <c r="AD48" i="5"/>
  <c r="AC48" i="5"/>
  <c r="AP47" i="5"/>
  <c r="Y47" i="5" s="1"/>
  <c r="AK47" i="5"/>
  <c r="AJ47" i="5"/>
  <c r="AI47" i="5"/>
  <c r="AH47" i="5"/>
  <c r="AE47" i="5"/>
  <c r="AD47" i="5"/>
  <c r="AC47" i="5"/>
  <c r="AP46" i="5"/>
  <c r="W46" i="5" s="1"/>
  <c r="AK46" i="5"/>
  <c r="AJ46" i="5"/>
  <c r="AI46" i="5"/>
  <c r="AH46" i="5"/>
  <c r="AG46" i="5"/>
  <c r="AF46" i="5"/>
  <c r="AE46" i="5"/>
  <c r="AD46" i="5"/>
  <c r="AC46" i="5"/>
  <c r="AP45" i="5"/>
  <c r="AK45" i="5"/>
  <c r="AJ45" i="5"/>
  <c r="AI45" i="5"/>
  <c r="AH45" i="5"/>
  <c r="AG45" i="5"/>
  <c r="AF45" i="5"/>
  <c r="AD45" i="5"/>
  <c r="AC45" i="5"/>
  <c r="AP44" i="5"/>
  <c r="AK44" i="5"/>
  <c r="AJ44" i="5"/>
  <c r="AI44" i="5"/>
  <c r="AH44" i="5"/>
  <c r="AG44" i="5"/>
  <c r="AF44" i="5"/>
  <c r="AE44" i="5"/>
  <c r="AD44" i="5"/>
  <c r="AC44" i="5"/>
  <c r="AP43" i="5"/>
  <c r="Y43" i="5" s="1"/>
  <c r="AK43" i="5"/>
  <c r="AJ43" i="5"/>
  <c r="AI43" i="5"/>
  <c r="AH43" i="5"/>
  <c r="AG43" i="5"/>
  <c r="AF43" i="5"/>
  <c r="AD43" i="5"/>
  <c r="AC43" i="5"/>
  <c r="AP42" i="5"/>
  <c r="AQ42" i="5" s="1"/>
  <c r="AK42" i="5"/>
  <c r="AJ42" i="5"/>
  <c r="AI42" i="5"/>
  <c r="AH42" i="5"/>
  <c r="AG42" i="5"/>
  <c r="AF42" i="5"/>
  <c r="AE42" i="5"/>
  <c r="AD42" i="5"/>
  <c r="AC42" i="5"/>
  <c r="AP41" i="5"/>
  <c r="Y41" i="5" s="1"/>
  <c r="AK41" i="5"/>
  <c r="AJ41" i="5"/>
  <c r="AI41" i="5"/>
  <c r="AE41" i="5"/>
  <c r="AD41" i="5"/>
  <c r="AC41" i="5"/>
  <c r="X41" i="5"/>
  <c r="AP40" i="5"/>
  <c r="W40" i="5" s="1"/>
  <c r="AK40" i="5"/>
  <c r="AJ40" i="5"/>
  <c r="AI40" i="5"/>
  <c r="AH40" i="5"/>
  <c r="AE40" i="5"/>
  <c r="AD40" i="5"/>
  <c r="AC40" i="5"/>
  <c r="AP39" i="5"/>
  <c r="Y39" i="5" s="1"/>
  <c r="AK39" i="5"/>
  <c r="AJ39" i="5"/>
  <c r="AI39" i="5"/>
  <c r="AH39" i="5"/>
  <c r="AG39" i="5"/>
  <c r="AF39" i="5"/>
  <c r="AE39" i="5"/>
  <c r="AD39" i="5"/>
  <c r="AC39" i="5"/>
  <c r="AP38" i="5"/>
  <c r="Y38" i="5" s="1"/>
  <c r="AK38" i="5"/>
  <c r="AJ38" i="5"/>
  <c r="AI38" i="5"/>
  <c r="AE38" i="5"/>
  <c r="AD38" i="5"/>
  <c r="AC38" i="5"/>
  <c r="AP37" i="5"/>
  <c r="Y37" i="5" s="1"/>
  <c r="AK37" i="5"/>
  <c r="AJ37" i="5"/>
  <c r="AI37" i="5"/>
  <c r="AF37" i="5"/>
  <c r="AE37" i="5"/>
  <c r="AD37" i="5"/>
  <c r="AC37" i="5"/>
  <c r="AP36" i="5"/>
  <c r="Y36" i="5" s="1"/>
  <c r="AK36" i="5"/>
  <c r="AJ36" i="5"/>
  <c r="AI36" i="5"/>
  <c r="AH36" i="5"/>
  <c r="AG36" i="5"/>
  <c r="AF36" i="5"/>
  <c r="AE36" i="5"/>
  <c r="AD36" i="5"/>
  <c r="AC36" i="5"/>
  <c r="AP35" i="5"/>
  <c r="AQ35" i="5" s="1"/>
  <c r="AK35" i="5"/>
  <c r="AJ35" i="5"/>
  <c r="AH35" i="5"/>
  <c r="AG35" i="5"/>
  <c r="AF35" i="5"/>
  <c r="AE35" i="5"/>
  <c r="AD35" i="5"/>
  <c r="AC35" i="5"/>
  <c r="AP34" i="5"/>
  <c r="AQ34" i="5" s="1"/>
  <c r="AK34" i="5"/>
  <c r="AJ34" i="5"/>
  <c r="AI34" i="5"/>
  <c r="AE34" i="5"/>
  <c r="AD34" i="5"/>
  <c r="AC34" i="5"/>
  <c r="AP33" i="5"/>
  <c r="AQ33" i="5" s="1"/>
  <c r="AK33" i="5"/>
  <c r="AJ33" i="5"/>
  <c r="AI33" i="5"/>
  <c r="AH33" i="5"/>
  <c r="AG33" i="5"/>
  <c r="AF33" i="5"/>
  <c r="AE33" i="5"/>
  <c r="AD33" i="5"/>
  <c r="AC33" i="5"/>
  <c r="AP32" i="5"/>
  <c r="V32" i="5" s="1"/>
  <c r="AK32" i="5"/>
  <c r="AJ32" i="5"/>
  <c r="AI32" i="5"/>
  <c r="AH32" i="5"/>
  <c r="AG32" i="5"/>
  <c r="AF32" i="5"/>
  <c r="AE32" i="5"/>
  <c r="AD32" i="5"/>
  <c r="AC32" i="5"/>
  <c r="AP31" i="5"/>
  <c r="Y31" i="5" s="1"/>
  <c r="AK31" i="5"/>
  <c r="AJ31" i="5"/>
  <c r="AI31" i="5"/>
  <c r="AH31" i="5"/>
  <c r="AD31" i="5"/>
  <c r="AC31" i="5"/>
  <c r="AP30" i="5"/>
  <c r="W30" i="5" s="1"/>
  <c r="AK30" i="5"/>
  <c r="AJ30" i="5"/>
  <c r="AI30" i="5"/>
  <c r="AH30" i="5"/>
  <c r="AE30" i="5"/>
  <c r="AD30" i="5"/>
  <c r="AC30" i="5"/>
  <c r="AP29" i="5"/>
  <c r="Y29" i="5" s="1"/>
  <c r="AK29" i="5"/>
  <c r="AJ29" i="5"/>
  <c r="AI29" i="5"/>
  <c r="AH29" i="5"/>
  <c r="AG29" i="5"/>
  <c r="AF29" i="5"/>
  <c r="AE29" i="5"/>
  <c r="AD29" i="5"/>
  <c r="AC29" i="5"/>
  <c r="AP28" i="5"/>
  <c r="T28" i="5" s="1"/>
  <c r="AK28" i="5"/>
  <c r="AJ28" i="5"/>
  <c r="AF28" i="5"/>
  <c r="AE28" i="5"/>
  <c r="AD28" i="5"/>
  <c r="AC28" i="5"/>
  <c r="AP27" i="5"/>
  <c r="Y27" i="5" s="1"/>
  <c r="AK27" i="5"/>
  <c r="AJ27" i="5"/>
  <c r="AF27" i="5"/>
  <c r="AE27" i="5"/>
  <c r="AD27" i="5"/>
  <c r="AC27" i="5"/>
  <c r="AP26" i="5"/>
  <c r="Y26" i="5" s="1"/>
  <c r="AK26" i="5"/>
  <c r="AJ26" i="5"/>
  <c r="AI26" i="5"/>
  <c r="AH26" i="5"/>
  <c r="AG26" i="5"/>
  <c r="AF26" i="5"/>
  <c r="AE26" i="5"/>
  <c r="AD26" i="5"/>
  <c r="AC26" i="5"/>
  <c r="AP25" i="5"/>
  <c r="AQ25" i="5" s="1"/>
  <c r="AK25" i="5"/>
  <c r="AJ25" i="5"/>
  <c r="AI25" i="5"/>
  <c r="AH25" i="5"/>
  <c r="AG25" i="5"/>
  <c r="AF25" i="5"/>
  <c r="AE25" i="5"/>
  <c r="AD25" i="5"/>
  <c r="AC25" i="5"/>
  <c r="X25" i="5"/>
  <c r="W25" i="5"/>
  <c r="V25" i="5"/>
  <c r="T25" i="5"/>
  <c r="AP24" i="5"/>
  <c r="AK24" i="5"/>
  <c r="AJ24" i="5"/>
  <c r="AI24" i="5"/>
  <c r="AE24" i="5"/>
  <c r="AD24" i="5"/>
  <c r="AC24" i="5"/>
  <c r="AP23" i="5"/>
  <c r="Y23" i="5" s="1"/>
  <c r="AK23" i="5"/>
  <c r="AJ23" i="5"/>
  <c r="AI23" i="5"/>
  <c r="AH23" i="5"/>
  <c r="AG23" i="5"/>
  <c r="AF23" i="5"/>
  <c r="AE23" i="5"/>
  <c r="AD23" i="5"/>
  <c r="AC23" i="5"/>
  <c r="AP22" i="5"/>
  <c r="V22" i="5" s="1"/>
  <c r="AK22" i="5"/>
  <c r="AJ22" i="5"/>
  <c r="AI22" i="5"/>
  <c r="AH22" i="5"/>
  <c r="AG22" i="5"/>
  <c r="AF22" i="5"/>
  <c r="AE22" i="5"/>
  <c r="AD22" i="5"/>
  <c r="AC22" i="5"/>
  <c r="AP21" i="5"/>
  <c r="Y21" i="5" s="1"/>
  <c r="AK21" i="5"/>
  <c r="AJ21" i="5"/>
  <c r="AI21" i="5"/>
  <c r="AH21" i="5"/>
  <c r="AG21" i="5"/>
  <c r="AD21" i="5"/>
  <c r="AC21" i="5"/>
  <c r="AP20" i="5"/>
  <c r="W20" i="5" s="1"/>
  <c r="AK20" i="5"/>
  <c r="AJ20" i="5"/>
  <c r="AI20" i="5"/>
  <c r="AH20" i="5"/>
  <c r="AE20" i="5"/>
  <c r="AD20" i="5"/>
  <c r="AC20" i="5"/>
  <c r="AP19" i="5"/>
  <c r="Y19" i="5" s="1"/>
  <c r="AK19" i="5"/>
  <c r="AJ19" i="5"/>
  <c r="AI19" i="5"/>
  <c r="AH19" i="5"/>
  <c r="AG19" i="5"/>
  <c r="AF19" i="5"/>
  <c r="AE19" i="5"/>
  <c r="AD19" i="5"/>
  <c r="AC19" i="5"/>
  <c r="AP18" i="5"/>
  <c r="AQ18" i="5" s="1"/>
  <c r="AK18" i="5"/>
  <c r="AJ18" i="5"/>
  <c r="AG18" i="5"/>
  <c r="AF18" i="5"/>
  <c r="AE18" i="5"/>
  <c r="AD18" i="5"/>
  <c r="AC18" i="5"/>
  <c r="AP17" i="5"/>
  <c r="AQ17" i="5" s="1"/>
  <c r="AK17" i="5"/>
  <c r="AJ17" i="5"/>
  <c r="AI17" i="5"/>
  <c r="AH17" i="5"/>
  <c r="AG17" i="5"/>
  <c r="AF17" i="5"/>
  <c r="AD17" i="5"/>
  <c r="AC17" i="5"/>
  <c r="AP16" i="5"/>
  <c r="AQ16" i="5" s="1"/>
  <c r="AK16" i="5"/>
  <c r="AJ16" i="5"/>
  <c r="AI16" i="5"/>
  <c r="AH16" i="5"/>
  <c r="AG16" i="5"/>
  <c r="AF16" i="5"/>
  <c r="AE16" i="5"/>
  <c r="AD16" i="5"/>
  <c r="AC16" i="5"/>
  <c r="AP15" i="5"/>
  <c r="V15" i="5" s="1"/>
  <c r="AK15" i="5"/>
  <c r="AJ15" i="5"/>
  <c r="AI15" i="5"/>
  <c r="AH15" i="5"/>
  <c r="AG15" i="5"/>
  <c r="AF15" i="5"/>
  <c r="AE15" i="5"/>
  <c r="AD15" i="5"/>
  <c r="AC15" i="5"/>
  <c r="AP14" i="5"/>
  <c r="Y14" i="5" s="1"/>
  <c r="AK14" i="5"/>
  <c r="AJ14" i="5"/>
  <c r="AI14" i="5"/>
  <c r="AH14" i="5"/>
  <c r="AE14" i="5"/>
  <c r="AD14" i="5"/>
  <c r="AC14" i="5"/>
  <c r="AP13" i="5"/>
  <c r="AQ13" i="5" s="1"/>
  <c r="AK13" i="5"/>
  <c r="AJ13" i="5"/>
  <c r="AI13" i="5"/>
  <c r="AH13" i="5"/>
  <c r="AE13" i="5"/>
  <c r="AD13" i="5"/>
  <c r="AC13" i="5"/>
  <c r="AP12" i="5"/>
  <c r="V12" i="5" s="1"/>
  <c r="AK12" i="5"/>
  <c r="AJ12" i="5"/>
  <c r="AH12" i="5"/>
  <c r="AG12" i="5"/>
  <c r="AF12" i="5"/>
  <c r="AE12" i="5"/>
  <c r="AD12" i="5"/>
  <c r="AC12" i="5"/>
  <c r="AP11" i="5"/>
  <c r="AQ11" i="5" s="1"/>
  <c r="AK11" i="5"/>
  <c r="AJ11" i="5"/>
  <c r="AF11" i="5"/>
  <c r="AE11" i="5"/>
  <c r="AD11" i="5"/>
  <c r="AC11" i="5"/>
  <c r="AP10" i="5"/>
  <c r="AK10" i="5"/>
  <c r="AJ10" i="5"/>
  <c r="AI10" i="5"/>
  <c r="AH10" i="5"/>
  <c r="AG10" i="5"/>
  <c r="AF10" i="5"/>
  <c r="AE10" i="5"/>
  <c r="AD10" i="5"/>
  <c r="AC10" i="5"/>
  <c r="AP9" i="5"/>
  <c r="AQ9" i="5" s="1"/>
  <c r="AK9" i="5"/>
  <c r="AJ9" i="5"/>
  <c r="AF9" i="5"/>
  <c r="AE9" i="5"/>
  <c r="AD9" i="5"/>
  <c r="AC9" i="5"/>
  <c r="AP8" i="5"/>
  <c r="AK8" i="5"/>
  <c r="AJ8" i="5"/>
  <c r="AI8" i="5"/>
  <c r="AH8" i="5"/>
  <c r="AG8" i="5"/>
  <c r="AF8" i="5"/>
  <c r="AE8" i="5"/>
  <c r="AD8" i="5"/>
  <c r="AC8" i="5"/>
  <c r="AP7" i="5"/>
  <c r="T7" i="5" s="1"/>
  <c r="AK7" i="5"/>
  <c r="AJ7" i="5"/>
  <c r="AF7" i="5"/>
  <c r="AE7" i="5"/>
  <c r="AD7" i="5"/>
  <c r="AC7" i="5"/>
  <c r="AS16" i="1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2" i="3"/>
  <c r="AP8" i="1"/>
  <c r="AQ8" i="1" s="1"/>
  <c r="AP9" i="1"/>
  <c r="Y9" i="1" s="1"/>
  <c r="AP10" i="1"/>
  <c r="Y10" i="1" s="1"/>
  <c r="AP11" i="1"/>
  <c r="W11" i="1" s="1"/>
  <c r="AP12" i="1"/>
  <c r="T12" i="1" s="1"/>
  <c r="AP13" i="1"/>
  <c r="AQ13" i="1" s="1"/>
  <c r="AP14" i="1"/>
  <c r="T14" i="1" s="1"/>
  <c r="AP15" i="1"/>
  <c r="T15" i="1" s="1"/>
  <c r="AP16" i="1"/>
  <c r="T16" i="1" s="1"/>
  <c r="AP17" i="1"/>
  <c r="AQ17" i="1" s="1"/>
  <c r="AP18" i="1"/>
  <c r="Y18" i="1" s="1"/>
  <c r="AP19" i="1"/>
  <c r="W19" i="1" s="1"/>
  <c r="AP20" i="1"/>
  <c r="T20" i="1" s="1"/>
  <c r="AP21" i="1"/>
  <c r="X21" i="1" s="1"/>
  <c r="AP22" i="1"/>
  <c r="Y22" i="1" s="1"/>
  <c r="AP23" i="1"/>
  <c r="T23" i="1" s="1"/>
  <c r="AP24" i="1"/>
  <c r="T24" i="1" s="1"/>
  <c r="AP25" i="1"/>
  <c r="AQ25" i="1" s="1"/>
  <c r="AP26" i="1"/>
  <c r="T26" i="1" s="1"/>
  <c r="AP27" i="1"/>
  <c r="W27" i="1" s="1"/>
  <c r="AP28" i="1"/>
  <c r="T28" i="1" s="1"/>
  <c r="AP29" i="1"/>
  <c r="Y29" i="1" s="1"/>
  <c r="AP30" i="1"/>
  <c r="AQ30" i="1" s="1"/>
  <c r="AP31" i="1"/>
  <c r="AQ31" i="1" s="1"/>
  <c r="AP32" i="1"/>
  <c r="T32" i="1" s="1"/>
  <c r="AP33" i="1"/>
  <c r="W33" i="1" s="1"/>
  <c r="AP34" i="1"/>
  <c r="AQ34" i="1" s="1"/>
  <c r="AP35" i="1"/>
  <c r="X35" i="1" s="1"/>
  <c r="AP36" i="1"/>
  <c r="T36" i="1" s="1"/>
  <c r="AP37" i="1"/>
  <c r="AQ37" i="1" s="1"/>
  <c r="AP38" i="1"/>
  <c r="Y38" i="1" s="1"/>
  <c r="AP39" i="1"/>
  <c r="T39" i="1" s="1"/>
  <c r="AP40" i="1"/>
  <c r="Y40" i="1" s="1"/>
  <c r="AP41" i="1"/>
  <c r="Y41" i="1" s="1"/>
  <c r="AP42" i="1"/>
  <c r="AQ42" i="1" s="1"/>
  <c r="AP43" i="1"/>
  <c r="T43" i="1" s="1"/>
  <c r="AP44" i="1"/>
  <c r="X44" i="1" s="1"/>
  <c r="AP45" i="1"/>
  <c r="W45" i="1" s="1"/>
  <c r="AP46" i="1"/>
  <c r="W46" i="1" s="1"/>
  <c r="AP47" i="1"/>
  <c r="V47" i="1" s="1"/>
  <c r="AP48" i="1"/>
  <c r="V48" i="1" s="1"/>
  <c r="AP49" i="1"/>
  <c r="T49" i="1" s="1"/>
  <c r="AP50" i="1"/>
  <c r="AQ50" i="1" s="1"/>
  <c r="AP51" i="1"/>
  <c r="AQ51" i="1" s="1"/>
  <c r="AP52" i="1"/>
  <c r="V52" i="1" s="1"/>
  <c r="AP53" i="1"/>
  <c r="T53" i="1" s="1"/>
  <c r="AP54" i="1"/>
  <c r="W54" i="1" s="1"/>
  <c r="AP55" i="1"/>
  <c r="Y55" i="1" s="1"/>
  <c r="AP56" i="1"/>
  <c r="AQ56" i="1" s="1"/>
  <c r="AP57" i="1"/>
  <c r="T57" i="1" s="1"/>
  <c r="AP58" i="1"/>
  <c r="AQ58" i="1" s="1"/>
  <c r="AP59" i="1"/>
  <c r="Y59" i="1" s="1"/>
  <c r="AP60" i="1"/>
  <c r="X60" i="1" s="1"/>
  <c r="AP61" i="1"/>
  <c r="T61" i="1" s="1"/>
  <c r="AP62" i="1"/>
  <c r="W62" i="1" s="1"/>
  <c r="AP63" i="1"/>
  <c r="T63" i="1" s="1"/>
  <c r="AP64" i="1"/>
  <c r="T64" i="1" s="1"/>
  <c r="AP65" i="1"/>
  <c r="AQ65" i="1" s="1"/>
  <c r="AP66" i="1"/>
  <c r="Y66" i="1" s="1"/>
  <c r="AP67" i="1"/>
  <c r="T67" i="1" s="1"/>
  <c r="AP68" i="1"/>
  <c r="W68" i="1" s="1"/>
  <c r="AP69" i="1"/>
  <c r="X69" i="1" s="1"/>
  <c r="AP70" i="1"/>
  <c r="Y70" i="1" s="1"/>
  <c r="AP71" i="1"/>
  <c r="Y71" i="1" s="1"/>
  <c r="AP72" i="1"/>
  <c r="T72" i="1" s="1"/>
  <c r="AP73" i="1"/>
  <c r="X73" i="1" s="1"/>
  <c r="AP74" i="1"/>
  <c r="W74" i="1" s="1"/>
  <c r="AP75" i="1"/>
  <c r="AQ75" i="1" s="1"/>
  <c r="AP76" i="1"/>
  <c r="T76" i="1" s="1"/>
  <c r="AP77" i="1"/>
  <c r="W77" i="1" s="1"/>
  <c r="AP78" i="1"/>
  <c r="AQ78" i="1" s="1"/>
  <c r="AP79" i="1"/>
  <c r="Y79" i="1" s="1"/>
  <c r="AP80" i="1"/>
  <c r="T80" i="1" s="1"/>
  <c r="AP81" i="1"/>
  <c r="T81" i="1" s="1"/>
  <c r="AP82" i="1"/>
  <c r="W82" i="1" s="1"/>
  <c r="AP83" i="1"/>
  <c r="T83" i="1" s="1"/>
  <c r="AP84" i="1"/>
  <c r="T84" i="1" s="1"/>
  <c r="AP85" i="1"/>
  <c r="Y85" i="1" s="1"/>
  <c r="AP86" i="1"/>
  <c r="Y86" i="1" s="1"/>
  <c r="AP87" i="1"/>
  <c r="AQ87" i="1" s="1"/>
  <c r="AP88" i="1"/>
  <c r="W88" i="1" s="1"/>
  <c r="AP89" i="1"/>
  <c r="W89" i="1" s="1"/>
  <c r="AP90" i="1"/>
  <c r="W90" i="1" s="1"/>
  <c r="AP91" i="1"/>
  <c r="W91" i="1" s="1"/>
  <c r="AP92" i="1"/>
  <c r="T92" i="1" s="1"/>
  <c r="AP93" i="1"/>
  <c r="AQ93" i="1" s="1"/>
  <c r="AP94" i="1"/>
  <c r="AQ94" i="1" s="1"/>
  <c r="AP95" i="1"/>
  <c r="AQ95" i="1" s="1"/>
  <c r="AP96" i="1"/>
  <c r="AQ96" i="1" s="1"/>
  <c r="AP97" i="1"/>
  <c r="AQ97" i="1" s="1"/>
  <c r="AP98" i="1"/>
  <c r="AQ98" i="1" s="1"/>
  <c r="AP99" i="1"/>
  <c r="Y99" i="1" s="1"/>
  <c r="AP100" i="1"/>
  <c r="W100" i="1" s="1"/>
  <c r="AP101" i="1"/>
  <c r="X101" i="1" s="1"/>
  <c r="AP102" i="1"/>
  <c r="X102" i="1" s="1"/>
  <c r="AP103" i="1"/>
  <c r="T103" i="1" s="1"/>
  <c r="AP104" i="1"/>
  <c r="W104" i="1" s="1"/>
  <c r="AP105" i="1"/>
  <c r="AQ105" i="1" s="1"/>
  <c r="AP106" i="1"/>
  <c r="AP7" i="1"/>
  <c r="V7" i="1" s="1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7" i="2"/>
  <c r="AJ8" i="1"/>
  <c r="AK8" i="1"/>
  <c r="AJ9" i="1"/>
  <c r="AK9" i="1"/>
  <c r="AJ10" i="1"/>
  <c r="AK10" i="1"/>
  <c r="AJ11" i="1"/>
  <c r="AK11" i="1"/>
  <c r="AJ12" i="1"/>
  <c r="AK12" i="1"/>
  <c r="AJ13" i="1"/>
  <c r="AK13" i="1"/>
  <c r="AJ14" i="1"/>
  <c r="AK14" i="1"/>
  <c r="AJ15" i="1"/>
  <c r="AK15" i="1"/>
  <c r="AJ16" i="1"/>
  <c r="AK16" i="1"/>
  <c r="AJ17" i="1"/>
  <c r="AK17" i="1"/>
  <c r="AJ18" i="1"/>
  <c r="AK18" i="1"/>
  <c r="AJ19" i="1"/>
  <c r="AK19" i="1"/>
  <c r="AJ20" i="1"/>
  <c r="AK20" i="1"/>
  <c r="AJ21" i="1"/>
  <c r="AK21" i="1"/>
  <c r="AJ22" i="1"/>
  <c r="AK22" i="1"/>
  <c r="AJ23" i="1"/>
  <c r="AK23" i="1"/>
  <c r="AJ24" i="1"/>
  <c r="AK24" i="1"/>
  <c r="AJ25" i="1"/>
  <c r="AK25" i="1"/>
  <c r="AJ26" i="1"/>
  <c r="AK26" i="1"/>
  <c r="AJ27" i="1"/>
  <c r="AK27" i="1"/>
  <c r="AJ28" i="1"/>
  <c r="AK28" i="1"/>
  <c r="AJ29" i="1"/>
  <c r="AK29" i="1"/>
  <c r="AJ30" i="1"/>
  <c r="AK30" i="1"/>
  <c r="AJ31" i="1"/>
  <c r="AK31" i="1"/>
  <c r="AJ32" i="1"/>
  <c r="AK32" i="1"/>
  <c r="AJ33" i="1"/>
  <c r="AK33" i="1"/>
  <c r="AJ34" i="1"/>
  <c r="AK34" i="1"/>
  <c r="AJ35" i="1"/>
  <c r="AK35" i="1"/>
  <c r="AJ36" i="1"/>
  <c r="AK36" i="1"/>
  <c r="AJ37" i="1"/>
  <c r="AK37" i="1"/>
  <c r="AJ38" i="1"/>
  <c r="AK38" i="1"/>
  <c r="AJ39" i="1"/>
  <c r="AK39" i="1"/>
  <c r="AJ40" i="1"/>
  <c r="AK40" i="1"/>
  <c r="AJ41" i="1"/>
  <c r="AK41" i="1"/>
  <c r="AJ42" i="1"/>
  <c r="AK42" i="1"/>
  <c r="AJ43" i="1"/>
  <c r="AK43" i="1"/>
  <c r="AJ44" i="1"/>
  <c r="AK44" i="1"/>
  <c r="AJ45" i="1"/>
  <c r="AK45" i="1"/>
  <c r="AJ46" i="1"/>
  <c r="AK46" i="1"/>
  <c r="AJ47" i="1"/>
  <c r="AK47" i="1"/>
  <c r="AJ48" i="1"/>
  <c r="AK48" i="1"/>
  <c r="AJ49" i="1"/>
  <c r="AK49" i="1"/>
  <c r="AJ50" i="1"/>
  <c r="AK50" i="1"/>
  <c r="AJ51" i="1"/>
  <c r="AK51" i="1"/>
  <c r="AJ52" i="1"/>
  <c r="AK52" i="1"/>
  <c r="AJ53" i="1"/>
  <c r="AK53" i="1"/>
  <c r="AJ54" i="1"/>
  <c r="AK54" i="1"/>
  <c r="AJ55" i="1"/>
  <c r="AK55" i="1"/>
  <c r="AJ56" i="1"/>
  <c r="AK56" i="1"/>
  <c r="AJ57" i="1"/>
  <c r="AK57" i="1"/>
  <c r="AJ58" i="1"/>
  <c r="AK58" i="1"/>
  <c r="AJ59" i="1"/>
  <c r="AK59" i="1"/>
  <c r="AJ60" i="1"/>
  <c r="AK60" i="1"/>
  <c r="AJ61" i="1"/>
  <c r="AK61" i="1"/>
  <c r="AJ62" i="1"/>
  <c r="AK62" i="1"/>
  <c r="AJ63" i="1"/>
  <c r="AK63" i="1"/>
  <c r="AJ64" i="1"/>
  <c r="AK64" i="1"/>
  <c r="AJ65" i="1"/>
  <c r="AK65" i="1"/>
  <c r="AJ66" i="1"/>
  <c r="AK66" i="1"/>
  <c r="AJ67" i="1"/>
  <c r="AK67" i="1"/>
  <c r="AJ68" i="1"/>
  <c r="AK68" i="1"/>
  <c r="AJ69" i="1"/>
  <c r="AK69" i="1"/>
  <c r="AJ70" i="1"/>
  <c r="AK70" i="1"/>
  <c r="AJ71" i="1"/>
  <c r="AK71" i="1"/>
  <c r="AJ72" i="1"/>
  <c r="AK72" i="1"/>
  <c r="AJ73" i="1"/>
  <c r="AK73" i="1"/>
  <c r="AJ74" i="1"/>
  <c r="AK74" i="1"/>
  <c r="AJ75" i="1"/>
  <c r="AK75" i="1"/>
  <c r="AJ76" i="1"/>
  <c r="AK76" i="1"/>
  <c r="AJ77" i="1"/>
  <c r="AK77" i="1"/>
  <c r="AJ78" i="1"/>
  <c r="AK78" i="1"/>
  <c r="AJ79" i="1"/>
  <c r="AK79" i="1"/>
  <c r="AJ80" i="1"/>
  <c r="AK80" i="1"/>
  <c r="AJ81" i="1"/>
  <c r="AK81" i="1"/>
  <c r="AJ82" i="1"/>
  <c r="AK82" i="1"/>
  <c r="AJ83" i="1"/>
  <c r="AK83" i="1"/>
  <c r="AJ84" i="1"/>
  <c r="AK84" i="1"/>
  <c r="AJ85" i="1"/>
  <c r="AK85" i="1"/>
  <c r="AJ86" i="1"/>
  <c r="AK86" i="1"/>
  <c r="AJ87" i="1"/>
  <c r="AK87" i="1"/>
  <c r="AJ88" i="1"/>
  <c r="AK88" i="1"/>
  <c r="AJ89" i="1"/>
  <c r="AK89" i="1"/>
  <c r="AJ90" i="1"/>
  <c r="AK90" i="1"/>
  <c r="AJ91" i="1"/>
  <c r="AK91" i="1"/>
  <c r="AJ92" i="1"/>
  <c r="AK92" i="1"/>
  <c r="AJ93" i="1"/>
  <c r="AK93" i="1"/>
  <c r="AJ94" i="1"/>
  <c r="AK94" i="1"/>
  <c r="AJ95" i="1"/>
  <c r="AK95" i="1"/>
  <c r="AJ96" i="1"/>
  <c r="AK96" i="1"/>
  <c r="AJ97" i="1"/>
  <c r="AK97" i="1"/>
  <c r="AJ98" i="1"/>
  <c r="AK98" i="1"/>
  <c r="AJ99" i="1"/>
  <c r="AK99" i="1"/>
  <c r="AJ100" i="1"/>
  <c r="AK100" i="1"/>
  <c r="AJ101" i="1"/>
  <c r="AK101" i="1"/>
  <c r="AJ102" i="1"/>
  <c r="AK102" i="1"/>
  <c r="AJ103" i="1"/>
  <c r="AK103" i="1"/>
  <c r="AJ104" i="1"/>
  <c r="AK104" i="1"/>
  <c r="AJ105" i="1"/>
  <c r="AK105" i="1"/>
  <c r="AJ106" i="1"/>
  <c r="AK106" i="1"/>
  <c r="AK7" i="1"/>
  <c r="AJ7" i="1"/>
  <c r="AC8" i="1"/>
  <c r="AD8" i="1"/>
  <c r="AE8" i="1"/>
  <c r="AF8" i="1"/>
  <c r="AG8" i="1"/>
  <c r="AH8" i="1"/>
  <c r="AI8" i="1"/>
  <c r="AC9" i="1"/>
  <c r="AD9" i="1"/>
  <c r="AE9" i="1"/>
  <c r="AF9" i="1"/>
  <c r="AG9" i="1"/>
  <c r="AH9" i="1"/>
  <c r="AI9" i="1"/>
  <c r="AC10" i="1"/>
  <c r="AD10" i="1"/>
  <c r="AE10" i="1"/>
  <c r="AF10" i="1"/>
  <c r="AG10" i="1"/>
  <c r="AH10" i="1"/>
  <c r="AI10" i="1"/>
  <c r="AC11" i="1"/>
  <c r="AD11" i="1"/>
  <c r="AE11" i="1"/>
  <c r="AF11" i="1"/>
  <c r="AG11" i="1"/>
  <c r="AH11" i="1"/>
  <c r="AI11" i="1"/>
  <c r="AC12" i="1"/>
  <c r="AD12" i="1"/>
  <c r="AE12" i="1"/>
  <c r="AF12" i="1"/>
  <c r="AG12" i="1"/>
  <c r="AH12" i="1"/>
  <c r="AI12" i="1"/>
  <c r="AC13" i="1"/>
  <c r="AD13" i="1"/>
  <c r="AE13" i="1"/>
  <c r="AF13" i="1"/>
  <c r="AG13" i="1"/>
  <c r="AH13" i="1"/>
  <c r="AI13" i="1"/>
  <c r="AC14" i="1"/>
  <c r="AD14" i="1"/>
  <c r="AE14" i="1"/>
  <c r="AF14" i="1"/>
  <c r="AG14" i="1"/>
  <c r="AH14" i="1"/>
  <c r="AI14" i="1"/>
  <c r="AC15" i="1"/>
  <c r="AD15" i="1"/>
  <c r="AE15" i="1"/>
  <c r="AF15" i="1"/>
  <c r="AG15" i="1"/>
  <c r="AH15" i="1"/>
  <c r="AI15" i="1"/>
  <c r="AC16" i="1"/>
  <c r="AD16" i="1"/>
  <c r="AE16" i="1"/>
  <c r="AF16" i="1"/>
  <c r="AG16" i="1"/>
  <c r="AH16" i="1"/>
  <c r="AI16" i="1"/>
  <c r="AC17" i="1"/>
  <c r="AD17" i="1"/>
  <c r="AE17" i="1"/>
  <c r="AF17" i="1"/>
  <c r="AG17" i="1"/>
  <c r="AH17" i="1"/>
  <c r="AI17" i="1"/>
  <c r="AC18" i="1"/>
  <c r="AD18" i="1"/>
  <c r="AE18" i="1"/>
  <c r="AF18" i="1"/>
  <c r="AG18" i="1"/>
  <c r="AH18" i="1"/>
  <c r="AI18" i="1"/>
  <c r="AC19" i="1"/>
  <c r="AD19" i="1"/>
  <c r="AE19" i="1"/>
  <c r="AF19" i="1"/>
  <c r="AG19" i="1"/>
  <c r="AH19" i="1"/>
  <c r="AI19" i="1"/>
  <c r="AC20" i="1"/>
  <c r="AD20" i="1"/>
  <c r="AE20" i="1"/>
  <c r="AF20" i="1"/>
  <c r="AG20" i="1"/>
  <c r="AH20" i="1"/>
  <c r="AI20" i="1"/>
  <c r="AC21" i="1"/>
  <c r="AD21" i="1"/>
  <c r="AE21" i="1"/>
  <c r="AF21" i="1"/>
  <c r="AG21" i="1"/>
  <c r="AH21" i="1"/>
  <c r="AI21" i="1"/>
  <c r="AC22" i="1"/>
  <c r="AD22" i="1"/>
  <c r="AE22" i="1"/>
  <c r="AF22" i="1"/>
  <c r="AG22" i="1"/>
  <c r="AH22" i="1"/>
  <c r="AI22" i="1"/>
  <c r="AC23" i="1"/>
  <c r="AD23" i="1"/>
  <c r="AE23" i="1"/>
  <c r="AF23" i="1"/>
  <c r="AG23" i="1"/>
  <c r="AT23" i="1" s="1"/>
  <c r="AH23" i="1"/>
  <c r="AI23" i="1"/>
  <c r="AC24" i="1"/>
  <c r="AD24" i="1"/>
  <c r="AE24" i="1"/>
  <c r="AF24" i="1"/>
  <c r="AG24" i="1"/>
  <c r="AH24" i="1"/>
  <c r="AI24" i="1"/>
  <c r="AC25" i="1"/>
  <c r="AD25" i="1"/>
  <c r="AE25" i="1"/>
  <c r="AF25" i="1"/>
  <c r="AG25" i="1"/>
  <c r="AH25" i="1"/>
  <c r="AI25" i="1"/>
  <c r="AC26" i="1"/>
  <c r="AD26" i="1"/>
  <c r="AE26" i="1"/>
  <c r="AF26" i="1"/>
  <c r="AG26" i="1"/>
  <c r="AH26" i="1"/>
  <c r="AI26" i="1"/>
  <c r="AC27" i="1"/>
  <c r="AD27" i="1"/>
  <c r="AE27" i="1"/>
  <c r="AF27" i="1"/>
  <c r="AG27" i="1"/>
  <c r="AH27" i="1"/>
  <c r="AI27" i="1"/>
  <c r="AC28" i="1"/>
  <c r="AD28" i="1"/>
  <c r="AE28" i="1"/>
  <c r="AF28" i="1"/>
  <c r="AG28" i="1"/>
  <c r="AH28" i="1"/>
  <c r="AI28" i="1"/>
  <c r="AC29" i="1"/>
  <c r="AD29" i="1"/>
  <c r="AE29" i="1"/>
  <c r="AF29" i="1"/>
  <c r="AG29" i="1"/>
  <c r="AH29" i="1"/>
  <c r="AI29" i="1"/>
  <c r="AC30" i="1"/>
  <c r="AD30" i="1"/>
  <c r="AE30" i="1"/>
  <c r="AF30" i="1"/>
  <c r="AG30" i="1"/>
  <c r="AH30" i="1"/>
  <c r="AI30" i="1"/>
  <c r="AC31" i="1"/>
  <c r="AD31" i="1"/>
  <c r="AE31" i="1"/>
  <c r="AF31" i="1"/>
  <c r="AG31" i="1"/>
  <c r="AH31" i="1"/>
  <c r="AI31" i="1"/>
  <c r="AC32" i="1"/>
  <c r="AD32" i="1"/>
  <c r="AE32" i="1"/>
  <c r="AF32" i="1"/>
  <c r="AG32" i="1"/>
  <c r="AH32" i="1"/>
  <c r="AI32" i="1"/>
  <c r="AC33" i="1"/>
  <c r="AD33" i="1"/>
  <c r="AE33" i="1"/>
  <c r="AF33" i="1"/>
  <c r="AG33" i="1"/>
  <c r="AH33" i="1"/>
  <c r="AI33" i="1"/>
  <c r="AC34" i="1"/>
  <c r="AD34" i="1"/>
  <c r="AE34" i="1"/>
  <c r="AF34" i="1"/>
  <c r="AG34" i="1"/>
  <c r="AH34" i="1"/>
  <c r="AI34" i="1"/>
  <c r="AC35" i="1"/>
  <c r="AD35" i="1"/>
  <c r="AE35" i="1"/>
  <c r="AF35" i="1"/>
  <c r="AG35" i="1"/>
  <c r="AH35" i="1"/>
  <c r="AI35" i="1"/>
  <c r="AC36" i="1"/>
  <c r="AD36" i="1"/>
  <c r="AE36" i="1"/>
  <c r="AF36" i="1"/>
  <c r="AG36" i="1"/>
  <c r="AH36" i="1"/>
  <c r="AI36" i="1"/>
  <c r="AC37" i="1"/>
  <c r="AD37" i="1"/>
  <c r="AE37" i="1"/>
  <c r="AF37" i="1"/>
  <c r="AG37" i="1"/>
  <c r="AH37" i="1"/>
  <c r="AI37" i="1"/>
  <c r="AC38" i="1"/>
  <c r="AD38" i="1"/>
  <c r="AE38" i="1"/>
  <c r="AF38" i="1"/>
  <c r="AG38" i="1"/>
  <c r="AH38" i="1"/>
  <c r="AI38" i="1"/>
  <c r="AC39" i="1"/>
  <c r="AD39" i="1"/>
  <c r="AE39" i="1"/>
  <c r="AF39" i="1"/>
  <c r="AG39" i="1"/>
  <c r="AH39" i="1"/>
  <c r="AI39" i="1"/>
  <c r="AC40" i="1"/>
  <c r="AD40" i="1"/>
  <c r="AE40" i="1"/>
  <c r="AF40" i="1"/>
  <c r="AG40" i="1"/>
  <c r="AH40" i="1"/>
  <c r="AI40" i="1"/>
  <c r="AC41" i="1"/>
  <c r="AD41" i="1"/>
  <c r="AE41" i="1"/>
  <c r="AF41" i="1"/>
  <c r="AG41" i="1"/>
  <c r="AH41" i="1"/>
  <c r="AI41" i="1"/>
  <c r="AC42" i="1"/>
  <c r="AD42" i="1"/>
  <c r="AE42" i="1"/>
  <c r="AF42" i="1"/>
  <c r="AG42" i="1"/>
  <c r="AH42" i="1"/>
  <c r="AI42" i="1"/>
  <c r="AC43" i="1"/>
  <c r="AD43" i="1"/>
  <c r="AE43" i="1"/>
  <c r="AF43" i="1"/>
  <c r="AG43" i="1"/>
  <c r="AT43" i="1" s="1"/>
  <c r="AH43" i="1"/>
  <c r="AI43" i="1"/>
  <c r="AC44" i="1"/>
  <c r="AD44" i="1"/>
  <c r="AE44" i="1"/>
  <c r="AF44" i="1"/>
  <c r="AG44" i="1"/>
  <c r="AH44" i="1"/>
  <c r="AI44" i="1"/>
  <c r="AC45" i="1"/>
  <c r="AD45" i="1"/>
  <c r="AE45" i="1"/>
  <c r="AF45" i="1"/>
  <c r="AG45" i="1"/>
  <c r="AH45" i="1"/>
  <c r="AI45" i="1"/>
  <c r="AC46" i="1"/>
  <c r="AS46" i="1" s="1"/>
  <c r="AD46" i="1"/>
  <c r="AE46" i="1"/>
  <c r="AF46" i="1"/>
  <c r="AG46" i="1"/>
  <c r="AH46" i="1"/>
  <c r="AI46" i="1"/>
  <c r="AC47" i="1"/>
  <c r="AD47" i="1"/>
  <c r="AE47" i="1"/>
  <c r="AF47" i="1"/>
  <c r="AG47" i="1"/>
  <c r="AH47" i="1"/>
  <c r="AI47" i="1"/>
  <c r="AC48" i="1"/>
  <c r="AD48" i="1"/>
  <c r="AE48" i="1"/>
  <c r="AF48" i="1"/>
  <c r="AG48" i="1"/>
  <c r="AH48" i="1"/>
  <c r="AI48" i="1"/>
  <c r="AC49" i="1"/>
  <c r="AD49" i="1"/>
  <c r="AE49" i="1"/>
  <c r="AF49" i="1"/>
  <c r="AG49" i="1"/>
  <c r="AH49" i="1"/>
  <c r="AI49" i="1"/>
  <c r="AC50" i="1"/>
  <c r="AD50" i="1"/>
  <c r="AE50" i="1"/>
  <c r="AF50" i="1"/>
  <c r="AG50" i="1"/>
  <c r="AH50" i="1"/>
  <c r="AI50" i="1"/>
  <c r="AC51" i="1"/>
  <c r="AD51" i="1"/>
  <c r="AE51" i="1"/>
  <c r="AF51" i="1"/>
  <c r="AG51" i="1"/>
  <c r="AH51" i="1"/>
  <c r="AI51" i="1"/>
  <c r="AC52" i="1"/>
  <c r="AD52" i="1"/>
  <c r="AE52" i="1"/>
  <c r="AF52" i="1"/>
  <c r="AG52" i="1"/>
  <c r="AH52" i="1"/>
  <c r="AI52" i="1"/>
  <c r="AC53" i="1"/>
  <c r="AD53" i="1"/>
  <c r="AE53" i="1"/>
  <c r="AF53" i="1"/>
  <c r="AG53" i="1"/>
  <c r="AH53" i="1"/>
  <c r="AI53" i="1"/>
  <c r="AC54" i="1"/>
  <c r="AD54" i="1"/>
  <c r="AE54" i="1"/>
  <c r="AF54" i="1"/>
  <c r="AG54" i="1"/>
  <c r="AH54" i="1"/>
  <c r="AI54" i="1"/>
  <c r="AC55" i="1"/>
  <c r="AD55" i="1"/>
  <c r="AE55" i="1"/>
  <c r="AF55" i="1"/>
  <c r="AG55" i="1"/>
  <c r="AH55" i="1"/>
  <c r="AI55" i="1"/>
  <c r="AC56" i="1"/>
  <c r="AD56" i="1"/>
  <c r="AE56" i="1"/>
  <c r="AF56" i="1"/>
  <c r="AG56" i="1"/>
  <c r="AH56" i="1"/>
  <c r="AI56" i="1"/>
  <c r="AC57" i="1"/>
  <c r="AD57" i="1"/>
  <c r="AE57" i="1"/>
  <c r="AF57" i="1"/>
  <c r="AG57" i="1"/>
  <c r="AH57" i="1"/>
  <c r="AI57" i="1"/>
  <c r="AC58" i="1"/>
  <c r="AD58" i="1"/>
  <c r="AE58" i="1"/>
  <c r="AF58" i="1"/>
  <c r="AG58" i="1"/>
  <c r="AH58" i="1"/>
  <c r="AI58" i="1"/>
  <c r="AC59" i="1"/>
  <c r="AD59" i="1"/>
  <c r="AE59" i="1"/>
  <c r="AF59" i="1"/>
  <c r="AG59" i="1"/>
  <c r="AH59" i="1"/>
  <c r="AI59" i="1"/>
  <c r="AC60" i="1"/>
  <c r="AD60" i="1"/>
  <c r="AE60" i="1"/>
  <c r="AF60" i="1"/>
  <c r="AG60" i="1"/>
  <c r="AH60" i="1"/>
  <c r="AI60" i="1"/>
  <c r="AC61" i="1"/>
  <c r="AD61" i="1"/>
  <c r="AE61" i="1"/>
  <c r="AF61" i="1"/>
  <c r="AG61" i="1"/>
  <c r="AH61" i="1"/>
  <c r="AI61" i="1"/>
  <c r="AC62" i="1"/>
  <c r="AD62" i="1"/>
  <c r="AE62" i="1"/>
  <c r="AF62" i="1"/>
  <c r="AG62" i="1"/>
  <c r="AH62" i="1"/>
  <c r="AI62" i="1"/>
  <c r="AC63" i="1"/>
  <c r="AD63" i="1"/>
  <c r="AE63" i="1"/>
  <c r="AF63" i="1"/>
  <c r="AG63" i="1"/>
  <c r="AT63" i="1" s="1"/>
  <c r="AH63" i="1"/>
  <c r="AI63" i="1"/>
  <c r="AC64" i="1"/>
  <c r="AD64" i="1"/>
  <c r="AE64" i="1"/>
  <c r="AF64" i="1"/>
  <c r="AG64" i="1"/>
  <c r="AH64" i="1"/>
  <c r="AI64" i="1"/>
  <c r="AC65" i="1"/>
  <c r="AD65" i="1"/>
  <c r="AE65" i="1"/>
  <c r="AF65" i="1"/>
  <c r="AG65" i="1"/>
  <c r="AH65" i="1"/>
  <c r="AI65" i="1"/>
  <c r="AS65" i="1" s="1"/>
  <c r="AC66" i="1"/>
  <c r="AS66" i="1" s="1"/>
  <c r="AD66" i="1"/>
  <c r="AE66" i="1"/>
  <c r="AF66" i="1"/>
  <c r="AG66" i="1"/>
  <c r="AH66" i="1"/>
  <c r="AI66" i="1"/>
  <c r="AC67" i="1"/>
  <c r="AD67" i="1"/>
  <c r="AE67" i="1"/>
  <c r="AF67" i="1"/>
  <c r="AG67" i="1"/>
  <c r="AH67" i="1"/>
  <c r="AI67" i="1"/>
  <c r="AC68" i="1"/>
  <c r="AD68" i="1"/>
  <c r="AE68" i="1"/>
  <c r="AF68" i="1"/>
  <c r="AG68" i="1"/>
  <c r="AH68" i="1"/>
  <c r="AI68" i="1"/>
  <c r="AC69" i="1"/>
  <c r="AD69" i="1"/>
  <c r="AE69" i="1"/>
  <c r="AF69" i="1"/>
  <c r="AG69" i="1"/>
  <c r="AH69" i="1"/>
  <c r="AI69" i="1"/>
  <c r="AC70" i="1"/>
  <c r="AD70" i="1"/>
  <c r="AE70" i="1"/>
  <c r="AF70" i="1"/>
  <c r="AG70" i="1"/>
  <c r="AH70" i="1"/>
  <c r="AI70" i="1"/>
  <c r="AC71" i="1"/>
  <c r="AD71" i="1"/>
  <c r="AE71" i="1"/>
  <c r="AF71" i="1"/>
  <c r="AG71" i="1"/>
  <c r="AH71" i="1"/>
  <c r="AI71" i="1"/>
  <c r="AC72" i="1"/>
  <c r="AD72" i="1"/>
  <c r="AE72" i="1"/>
  <c r="AF72" i="1"/>
  <c r="AG72" i="1"/>
  <c r="AH72" i="1"/>
  <c r="AI72" i="1"/>
  <c r="AC73" i="1"/>
  <c r="AD73" i="1"/>
  <c r="AE73" i="1"/>
  <c r="AF73" i="1"/>
  <c r="AG73" i="1"/>
  <c r="AH73" i="1"/>
  <c r="AI73" i="1"/>
  <c r="AC74" i="1"/>
  <c r="AD74" i="1"/>
  <c r="AE74" i="1"/>
  <c r="AF74" i="1"/>
  <c r="AG74" i="1"/>
  <c r="AH74" i="1"/>
  <c r="AI74" i="1"/>
  <c r="AC75" i="1"/>
  <c r="AD75" i="1"/>
  <c r="AE75" i="1"/>
  <c r="AF75" i="1"/>
  <c r="AG75" i="1"/>
  <c r="AH75" i="1"/>
  <c r="AI75" i="1"/>
  <c r="AC76" i="1"/>
  <c r="AD76" i="1"/>
  <c r="AE76" i="1"/>
  <c r="AF76" i="1"/>
  <c r="AG76" i="1"/>
  <c r="AH76" i="1"/>
  <c r="AI76" i="1"/>
  <c r="AC77" i="1"/>
  <c r="AD77" i="1"/>
  <c r="AE77" i="1"/>
  <c r="AF77" i="1"/>
  <c r="AG77" i="1"/>
  <c r="AH77" i="1"/>
  <c r="AI77" i="1"/>
  <c r="AC78" i="1"/>
  <c r="AD78" i="1"/>
  <c r="AE78" i="1"/>
  <c r="AF78" i="1"/>
  <c r="AG78" i="1"/>
  <c r="AH78" i="1"/>
  <c r="AI78" i="1"/>
  <c r="AC79" i="1"/>
  <c r="AD79" i="1"/>
  <c r="AE79" i="1"/>
  <c r="AF79" i="1"/>
  <c r="AG79" i="1"/>
  <c r="AH79" i="1"/>
  <c r="AI79" i="1"/>
  <c r="AC80" i="1"/>
  <c r="AD80" i="1"/>
  <c r="AE80" i="1"/>
  <c r="AF80" i="1"/>
  <c r="AG80" i="1"/>
  <c r="AH80" i="1"/>
  <c r="AI80" i="1"/>
  <c r="AC81" i="1"/>
  <c r="AD81" i="1"/>
  <c r="AE81" i="1"/>
  <c r="AF81" i="1"/>
  <c r="AG81" i="1"/>
  <c r="AH81" i="1"/>
  <c r="AI81" i="1"/>
  <c r="AC82" i="1"/>
  <c r="AD82" i="1"/>
  <c r="AE82" i="1"/>
  <c r="AF82" i="1"/>
  <c r="AG82" i="1"/>
  <c r="AH82" i="1"/>
  <c r="AI82" i="1"/>
  <c r="AC83" i="1"/>
  <c r="AD83" i="1"/>
  <c r="AE83" i="1"/>
  <c r="AF83" i="1"/>
  <c r="AG83" i="1"/>
  <c r="AT83" i="1" s="1"/>
  <c r="AH83" i="1"/>
  <c r="AI83" i="1"/>
  <c r="AC84" i="1"/>
  <c r="AD84" i="1"/>
  <c r="AE84" i="1"/>
  <c r="AF84" i="1"/>
  <c r="AG84" i="1"/>
  <c r="AH84" i="1"/>
  <c r="AI84" i="1"/>
  <c r="AC85" i="1"/>
  <c r="AD85" i="1"/>
  <c r="AE85" i="1"/>
  <c r="AF85" i="1"/>
  <c r="AG85" i="1"/>
  <c r="AH85" i="1"/>
  <c r="AI85" i="1"/>
  <c r="AC86" i="1"/>
  <c r="AD86" i="1"/>
  <c r="AE86" i="1"/>
  <c r="AF86" i="1"/>
  <c r="AG86" i="1"/>
  <c r="AH86" i="1"/>
  <c r="AI86" i="1"/>
  <c r="AC87" i="1"/>
  <c r="AD87" i="1"/>
  <c r="AE87" i="1"/>
  <c r="AF87" i="1"/>
  <c r="AG87" i="1"/>
  <c r="AH87" i="1"/>
  <c r="AI87" i="1"/>
  <c r="AC88" i="1"/>
  <c r="AD88" i="1"/>
  <c r="AE88" i="1"/>
  <c r="AF88" i="1"/>
  <c r="AG88" i="1"/>
  <c r="AH88" i="1"/>
  <c r="AI88" i="1"/>
  <c r="AC89" i="1"/>
  <c r="AD89" i="1"/>
  <c r="AE89" i="1"/>
  <c r="AF89" i="1"/>
  <c r="AG89" i="1"/>
  <c r="AH89" i="1"/>
  <c r="AI89" i="1"/>
  <c r="AC90" i="1"/>
  <c r="AD90" i="1"/>
  <c r="AE90" i="1"/>
  <c r="AF90" i="1"/>
  <c r="AG90" i="1"/>
  <c r="AH90" i="1"/>
  <c r="AI90" i="1"/>
  <c r="AC91" i="1"/>
  <c r="AD91" i="1"/>
  <c r="AE91" i="1"/>
  <c r="AF91" i="1"/>
  <c r="AG91" i="1"/>
  <c r="AH91" i="1"/>
  <c r="AI91" i="1"/>
  <c r="AC92" i="1"/>
  <c r="AD92" i="1"/>
  <c r="AE92" i="1"/>
  <c r="AF92" i="1"/>
  <c r="AG92" i="1"/>
  <c r="AH92" i="1"/>
  <c r="AI92" i="1"/>
  <c r="AC93" i="1"/>
  <c r="AD93" i="1"/>
  <c r="AE93" i="1"/>
  <c r="AF93" i="1"/>
  <c r="AG93" i="1"/>
  <c r="AH93" i="1"/>
  <c r="AI93" i="1"/>
  <c r="AC94" i="1"/>
  <c r="AD94" i="1"/>
  <c r="AE94" i="1"/>
  <c r="AF94" i="1"/>
  <c r="AG94" i="1"/>
  <c r="AH94" i="1"/>
  <c r="AI94" i="1"/>
  <c r="AC95" i="1"/>
  <c r="AD95" i="1"/>
  <c r="AE95" i="1"/>
  <c r="AF95" i="1"/>
  <c r="AG95" i="1"/>
  <c r="AH95" i="1"/>
  <c r="AI95" i="1"/>
  <c r="AC96" i="1"/>
  <c r="AD96" i="1"/>
  <c r="AS96" i="1" s="1"/>
  <c r="AE96" i="1"/>
  <c r="AF96" i="1"/>
  <c r="AG96" i="1"/>
  <c r="AH96" i="1"/>
  <c r="AI96" i="1"/>
  <c r="AC97" i="1"/>
  <c r="AD97" i="1"/>
  <c r="AE97" i="1"/>
  <c r="AF97" i="1"/>
  <c r="AG97" i="1"/>
  <c r="AH97" i="1"/>
  <c r="AI97" i="1"/>
  <c r="AC98" i="1"/>
  <c r="AD98" i="1"/>
  <c r="AE98" i="1"/>
  <c r="AF98" i="1"/>
  <c r="AG98" i="1"/>
  <c r="AH98" i="1"/>
  <c r="AI98" i="1"/>
  <c r="AC99" i="1"/>
  <c r="AD99" i="1"/>
  <c r="AE99" i="1"/>
  <c r="AF99" i="1"/>
  <c r="AG99" i="1"/>
  <c r="AH99" i="1"/>
  <c r="AI99" i="1"/>
  <c r="AC100" i="1"/>
  <c r="AD100" i="1"/>
  <c r="AE100" i="1"/>
  <c r="AF100" i="1"/>
  <c r="AG100" i="1"/>
  <c r="AH100" i="1"/>
  <c r="AI100" i="1"/>
  <c r="AC101" i="1"/>
  <c r="AD101" i="1"/>
  <c r="AE101" i="1"/>
  <c r="AF101" i="1"/>
  <c r="AG101" i="1"/>
  <c r="AH101" i="1"/>
  <c r="AI101" i="1"/>
  <c r="AC102" i="1"/>
  <c r="AD102" i="1"/>
  <c r="AE102" i="1"/>
  <c r="AF102" i="1"/>
  <c r="AG102" i="1"/>
  <c r="AH102" i="1"/>
  <c r="AI102" i="1"/>
  <c r="AC103" i="1"/>
  <c r="AD103" i="1"/>
  <c r="AE103" i="1"/>
  <c r="AF103" i="1"/>
  <c r="AG103" i="1"/>
  <c r="AT103" i="1" s="1"/>
  <c r="AH103" i="1"/>
  <c r="AI103" i="1"/>
  <c r="AC104" i="1"/>
  <c r="AD104" i="1"/>
  <c r="AE104" i="1"/>
  <c r="AF104" i="1"/>
  <c r="AG104" i="1"/>
  <c r="AH104" i="1"/>
  <c r="AI104" i="1"/>
  <c r="AC105" i="1"/>
  <c r="AD105" i="1"/>
  <c r="AE105" i="1"/>
  <c r="AF105" i="1"/>
  <c r="AG105" i="1"/>
  <c r="AH105" i="1"/>
  <c r="AI105" i="1"/>
  <c r="AC106" i="1"/>
  <c r="AD106" i="1"/>
  <c r="AE106" i="1"/>
  <c r="AF106" i="1"/>
  <c r="AG106" i="1"/>
  <c r="AH106" i="1"/>
  <c r="AI106" i="1"/>
  <c r="AD7" i="1"/>
  <c r="AE7" i="1"/>
  <c r="AF7" i="1"/>
  <c r="AG7" i="1"/>
  <c r="AH7" i="1"/>
  <c r="AI7" i="1"/>
  <c r="AC7" i="1"/>
  <c r="AT7" i="1" s="1"/>
  <c r="V19" i="5" l="1"/>
  <c r="Y25" i="5"/>
  <c r="T60" i="5"/>
  <c r="V77" i="5"/>
  <c r="Z85" i="5"/>
  <c r="W19" i="5"/>
  <c r="X27" i="5"/>
  <c r="X60" i="5"/>
  <c r="T69" i="5"/>
  <c r="T75" i="5"/>
  <c r="W77" i="5"/>
  <c r="AA84" i="5"/>
  <c r="Z86" i="5"/>
  <c r="T19" i="5"/>
  <c r="T77" i="5"/>
  <c r="X19" i="5"/>
  <c r="T36" i="5"/>
  <c r="Y60" i="5"/>
  <c r="V69" i="5"/>
  <c r="V75" i="5"/>
  <c r="X77" i="5"/>
  <c r="AA82" i="5"/>
  <c r="AQ36" i="5"/>
  <c r="AA86" i="5"/>
  <c r="V36" i="5"/>
  <c r="W36" i="5"/>
  <c r="T65" i="5"/>
  <c r="X36" i="5"/>
  <c r="W38" i="5"/>
  <c r="X38" i="5"/>
  <c r="V30" i="5"/>
  <c r="X28" i="5"/>
  <c r="X30" i="5"/>
  <c r="Y28" i="5"/>
  <c r="Y30" i="5"/>
  <c r="AM59" i="5"/>
  <c r="X84" i="5"/>
  <c r="AA104" i="5"/>
  <c r="AA101" i="5"/>
  <c r="X33" i="5"/>
  <c r="V35" i="5"/>
  <c r="V66" i="5"/>
  <c r="Z82" i="5"/>
  <c r="V33" i="5"/>
  <c r="Y75" i="5"/>
  <c r="X31" i="5"/>
  <c r="W33" i="5"/>
  <c r="T35" i="5"/>
  <c r="T16" i="5"/>
  <c r="Y33" i="5"/>
  <c r="W35" i="5"/>
  <c r="W66" i="5"/>
  <c r="AA95" i="5"/>
  <c r="V16" i="5"/>
  <c r="Z95" i="5"/>
  <c r="W16" i="5"/>
  <c r="Y35" i="5"/>
  <c r="X49" i="5"/>
  <c r="Y66" i="5"/>
  <c r="T72" i="5"/>
  <c r="AA94" i="5"/>
  <c r="X16" i="5"/>
  <c r="T22" i="5"/>
  <c r="Y49" i="5"/>
  <c r="V51" i="5"/>
  <c r="Y72" i="5"/>
  <c r="T99" i="5"/>
  <c r="T41" i="5"/>
  <c r="X97" i="5"/>
  <c r="V99" i="5"/>
  <c r="AA92" i="5"/>
  <c r="Y16" i="5"/>
  <c r="W51" i="5"/>
  <c r="V41" i="5"/>
  <c r="X47" i="5"/>
  <c r="X51" i="5"/>
  <c r="V60" i="5"/>
  <c r="V84" i="5"/>
  <c r="V86" i="5"/>
  <c r="Y97" i="5"/>
  <c r="Z84" i="5"/>
  <c r="T33" i="5"/>
  <c r="X35" i="5"/>
  <c r="W47" i="5"/>
  <c r="Y20" i="5"/>
  <c r="W28" i="5"/>
  <c r="T30" i="5"/>
  <c r="W41" i="5"/>
  <c r="W60" i="5"/>
  <c r="W84" i="5"/>
  <c r="AA90" i="5"/>
  <c r="AQ59" i="5"/>
  <c r="AQ15" i="5"/>
  <c r="AA93" i="5"/>
  <c r="AQ91" i="5"/>
  <c r="AQ37" i="5"/>
  <c r="AA102" i="5"/>
  <c r="T15" i="5"/>
  <c r="T68" i="5"/>
  <c r="AQ26" i="5"/>
  <c r="Z81" i="5"/>
  <c r="V18" i="5"/>
  <c r="T40" i="5"/>
  <c r="Y59" i="5"/>
  <c r="X15" i="5"/>
  <c r="V21" i="5"/>
  <c r="Y71" i="5"/>
  <c r="W98" i="5"/>
  <c r="V104" i="5"/>
  <c r="Z100" i="5"/>
  <c r="X98" i="5"/>
  <c r="T102" i="5"/>
  <c r="W104" i="5"/>
  <c r="AA99" i="5"/>
  <c r="AA89" i="5"/>
  <c r="AQ70" i="5"/>
  <c r="V74" i="5"/>
  <c r="T71" i="5"/>
  <c r="W74" i="5"/>
  <c r="T18" i="5"/>
  <c r="V68" i="5"/>
  <c r="AQ23" i="5"/>
  <c r="Y74" i="5"/>
  <c r="W18" i="5"/>
  <c r="V29" i="5"/>
  <c r="X68" i="5"/>
  <c r="Y15" i="5"/>
  <c r="X18" i="5"/>
  <c r="Y18" i="5"/>
  <c r="X21" i="5"/>
  <c r="X29" i="5"/>
  <c r="Y40" i="5"/>
  <c r="T58" i="5"/>
  <c r="T67" i="5"/>
  <c r="AQ69" i="5"/>
  <c r="T76" i="5"/>
  <c r="T85" i="5"/>
  <c r="T100" i="5"/>
  <c r="Y102" i="5"/>
  <c r="X104" i="5"/>
  <c r="Z89" i="5"/>
  <c r="AQ98" i="5"/>
  <c r="V59" i="5"/>
  <c r="T32" i="5"/>
  <c r="X74" i="5"/>
  <c r="V40" i="5"/>
  <c r="W21" i="5"/>
  <c r="W29" i="5"/>
  <c r="X40" i="5"/>
  <c r="Y68" i="5"/>
  <c r="T26" i="5"/>
  <c r="V58" i="5"/>
  <c r="V67" i="5"/>
  <c r="T70" i="5"/>
  <c r="W73" i="5"/>
  <c r="V76" i="5"/>
  <c r="Y83" i="5"/>
  <c r="V85" i="5"/>
  <c r="T89" i="5"/>
  <c r="Y104" i="5"/>
  <c r="AA98" i="5"/>
  <c r="X59" i="5"/>
  <c r="W71" i="5"/>
  <c r="T21" i="5"/>
  <c r="V98" i="5"/>
  <c r="T23" i="5"/>
  <c r="V26" i="5"/>
  <c r="Y85" i="5"/>
  <c r="V89" i="5"/>
  <c r="Z98" i="5"/>
  <c r="W15" i="5"/>
  <c r="T29" i="5"/>
  <c r="T48" i="5"/>
  <c r="W58" i="5"/>
  <c r="W67" i="5"/>
  <c r="V70" i="5"/>
  <c r="X73" i="5"/>
  <c r="W76" i="5"/>
  <c r="AQ19" i="5"/>
  <c r="V23" i="5"/>
  <c r="W26" i="5"/>
  <c r="AQ30" i="5"/>
  <c r="X37" i="5"/>
  <c r="V48" i="5"/>
  <c r="X58" i="5"/>
  <c r="X67" i="5"/>
  <c r="X76" i="5"/>
  <c r="V79" i="5"/>
  <c r="T87" i="5"/>
  <c r="W89" i="5"/>
  <c r="AA97" i="5"/>
  <c r="AA87" i="5"/>
  <c r="T59" i="5"/>
  <c r="W14" i="5"/>
  <c r="T20" i="5"/>
  <c r="W23" i="5"/>
  <c r="X26" i="5"/>
  <c r="T31" i="5"/>
  <c r="V39" i="5"/>
  <c r="W48" i="5"/>
  <c r="Y58" i="5"/>
  <c r="Y67" i="5"/>
  <c r="Y76" i="5"/>
  <c r="W79" i="5"/>
  <c r="Y87" i="5"/>
  <c r="X89" i="5"/>
  <c r="T91" i="5"/>
  <c r="T97" i="5"/>
  <c r="Z97" i="5"/>
  <c r="Z87" i="5"/>
  <c r="AQ68" i="5"/>
  <c r="AQ71" i="5"/>
  <c r="Z104" i="5"/>
  <c r="Z83" i="5"/>
  <c r="AA91" i="5"/>
  <c r="T98" i="5"/>
  <c r="X14" i="5"/>
  <c r="V20" i="5"/>
  <c r="X23" i="5"/>
  <c r="V31" i="5"/>
  <c r="W39" i="5"/>
  <c r="X48" i="5"/>
  <c r="AA79" i="5"/>
  <c r="Y89" i="5"/>
  <c r="V97" i="5"/>
  <c r="AQ21" i="5"/>
  <c r="Z102" i="5"/>
  <c r="AQ31" i="5"/>
  <c r="AQ20" i="5"/>
  <c r="T104" i="5"/>
  <c r="X20" i="5"/>
  <c r="V28" i="5"/>
  <c r="W31" i="5"/>
  <c r="X39" i="5"/>
  <c r="Y48" i="5"/>
  <c r="X50" i="5"/>
  <c r="V52" i="5"/>
  <c r="AN44" i="5"/>
  <c r="AT90" i="5"/>
  <c r="AG28" i="5"/>
  <c r="AI35" i="5"/>
  <c r="AM35" i="5" s="1"/>
  <c r="AF38" i="5"/>
  <c r="AG51" i="5"/>
  <c r="AF53" i="5"/>
  <c r="AF55" i="5"/>
  <c r="AI58" i="5"/>
  <c r="AT58" i="5" s="1"/>
  <c r="AG61" i="5"/>
  <c r="AS61" i="5" s="1"/>
  <c r="AG63" i="5"/>
  <c r="AF76" i="5"/>
  <c r="AG84" i="5"/>
  <c r="AI87" i="5"/>
  <c r="AH94" i="5"/>
  <c r="AH97" i="5"/>
  <c r="AH102" i="5"/>
  <c r="AF14" i="5"/>
  <c r="AI18" i="5"/>
  <c r="AE21" i="5"/>
  <c r="AF24" i="5"/>
  <c r="AH28" i="5"/>
  <c r="AE31" i="5"/>
  <c r="AF34" i="5"/>
  <c r="AG38" i="5"/>
  <c r="AF41" i="5"/>
  <c r="AE48" i="5"/>
  <c r="AH51" i="5"/>
  <c r="AG53" i="5"/>
  <c r="AG55" i="5"/>
  <c r="AE57" i="5"/>
  <c r="AH61" i="5"/>
  <c r="AH63" i="5"/>
  <c r="AE65" i="5"/>
  <c r="AF69" i="5"/>
  <c r="AG76" i="5"/>
  <c r="AH84" i="5"/>
  <c r="AE89" i="5"/>
  <c r="AI94" i="5"/>
  <c r="AI97" i="5"/>
  <c r="AI102" i="5"/>
  <c r="AD104" i="5"/>
  <c r="AD106" i="5"/>
  <c r="AH58" i="5"/>
  <c r="AH87" i="5"/>
  <c r="AG94" i="5"/>
  <c r="AG97" i="5"/>
  <c r="AG102" i="5"/>
  <c r="AI12" i="5"/>
  <c r="AS12" i="5" s="1"/>
  <c r="AH18" i="5"/>
  <c r="AG14" i="5"/>
  <c r="AE17" i="5"/>
  <c r="AT17" i="5" s="1"/>
  <c r="AF21" i="5"/>
  <c r="AG24" i="5"/>
  <c r="AI28" i="5"/>
  <c r="AF31" i="5"/>
  <c r="AG34" i="5"/>
  <c r="AH38" i="5"/>
  <c r="AG41" i="5"/>
  <c r="AE43" i="5"/>
  <c r="AM43" i="5" s="1"/>
  <c r="AE45" i="5"/>
  <c r="AT45" i="5" s="1"/>
  <c r="AF48" i="5"/>
  <c r="AI51" i="5"/>
  <c r="AH53" i="5"/>
  <c r="AH55" i="5"/>
  <c r="AF57" i="5"/>
  <c r="AI61" i="5"/>
  <c r="AI63" i="5"/>
  <c r="AF65" i="5"/>
  <c r="AG69" i="5"/>
  <c r="AE72" i="5"/>
  <c r="AM72" i="5" s="1"/>
  <c r="AH76" i="5"/>
  <c r="AD79" i="5"/>
  <c r="AD81" i="5"/>
  <c r="AI84" i="5"/>
  <c r="AF89" i="5"/>
  <c r="AE96" i="5"/>
  <c r="AT96" i="5" s="1"/>
  <c r="AE104" i="5"/>
  <c r="AE106" i="5"/>
  <c r="AH24" i="5"/>
  <c r="AG31" i="5"/>
  <c r="AH34" i="5"/>
  <c r="AH41" i="5"/>
  <c r="AG48" i="5"/>
  <c r="AG57" i="5"/>
  <c r="AG65" i="5"/>
  <c r="AH69" i="5"/>
  <c r="AG89" i="5"/>
  <c r="AT98" i="5"/>
  <c r="AH79" i="5"/>
  <c r="AG86" i="5"/>
  <c r="AH91" i="5"/>
  <c r="AG99" i="5"/>
  <c r="AI106" i="5"/>
  <c r="AG7" i="5"/>
  <c r="AG9" i="5"/>
  <c r="AG11" i="5"/>
  <c r="AG27" i="5"/>
  <c r="AS27" i="5" s="1"/>
  <c r="AG75" i="5"/>
  <c r="AH81" i="5"/>
  <c r="AH7" i="5"/>
  <c r="AH9" i="5"/>
  <c r="AH11" i="5"/>
  <c r="AF13" i="5"/>
  <c r="AF20" i="5"/>
  <c r="AH27" i="5"/>
  <c r="AF30" i="5"/>
  <c r="AG37" i="5"/>
  <c r="AF40" i="5"/>
  <c r="AF47" i="5"/>
  <c r="AG50" i="5"/>
  <c r="AG68" i="5"/>
  <c r="AH75" i="5"/>
  <c r="AI79" i="5"/>
  <c r="AI81" i="5"/>
  <c r="AG83" i="5"/>
  <c r="AH86" i="5"/>
  <c r="AF88" i="5"/>
  <c r="AT88" i="5" s="1"/>
  <c r="AI91" i="5"/>
  <c r="AG93" i="5"/>
  <c r="AH99" i="5"/>
  <c r="AG101" i="5"/>
  <c r="AM101" i="5" s="1"/>
  <c r="AI7" i="5"/>
  <c r="AI9" i="5"/>
  <c r="AI11" i="5"/>
  <c r="AG13" i="5"/>
  <c r="AT13" i="5" s="1"/>
  <c r="AG20" i="5"/>
  <c r="AN20" i="5" s="1"/>
  <c r="AI27" i="5"/>
  <c r="AG30" i="5"/>
  <c r="AH37" i="5"/>
  <c r="AG40" i="5"/>
  <c r="AG47" i="5"/>
  <c r="AH50" i="5"/>
  <c r="AF60" i="5"/>
  <c r="AM60" i="5" s="1"/>
  <c r="AE62" i="5"/>
  <c r="AS62" i="5" s="1"/>
  <c r="AH68" i="5"/>
  <c r="AI75" i="5"/>
  <c r="AH83" i="5"/>
  <c r="AI86" i="5"/>
  <c r="AH93" i="5"/>
  <c r="AF95" i="5"/>
  <c r="AS95" i="5" s="1"/>
  <c r="AN103" i="5"/>
  <c r="AS64" i="5"/>
  <c r="AS56" i="5"/>
  <c r="AS25" i="5"/>
  <c r="AS44" i="5"/>
  <c r="AT70" i="5"/>
  <c r="AT49" i="5"/>
  <c r="AS70" i="5"/>
  <c r="AS90" i="5"/>
  <c r="AM103" i="5"/>
  <c r="AM56" i="5"/>
  <c r="AM54" i="5"/>
  <c r="AN54" i="5"/>
  <c r="AS98" i="5"/>
  <c r="AT85" i="5"/>
  <c r="AM64" i="5"/>
  <c r="AN64" i="5"/>
  <c r="AM90" i="5"/>
  <c r="AN8" i="5"/>
  <c r="AS71" i="5"/>
  <c r="AT10" i="5"/>
  <c r="AN23" i="5"/>
  <c r="AM15" i="5"/>
  <c r="AM29" i="5"/>
  <c r="AS59" i="5"/>
  <c r="AT59" i="5"/>
  <c r="AT105" i="5"/>
  <c r="AT36" i="5"/>
  <c r="AM44" i="5"/>
  <c r="AS16" i="5"/>
  <c r="AT35" i="5"/>
  <c r="V8" i="5"/>
  <c r="W8" i="5"/>
  <c r="Y8" i="5"/>
  <c r="X8" i="5"/>
  <c r="AS19" i="5"/>
  <c r="AM19" i="5"/>
  <c r="AT32" i="5"/>
  <c r="AN32" i="5"/>
  <c r="AQ62" i="5"/>
  <c r="X105" i="5"/>
  <c r="T105" i="5"/>
  <c r="V105" i="5"/>
  <c r="Y105" i="5"/>
  <c r="W105" i="5"/>
  <c r="AQ8" i="5"/>
  <c r="AQ61" i="5"/>
  <c r="AQ105" i="5"/>
  <c r="AS8" i="5"/>
  <c r="AS39" i="5"/>
  <c r="AM39" i="5"/>
  <c r="Y54" i="5"/>
  <c r="X54" i="5"/>
  <c r="T54" i="5"/>
  <c r="W54" i="5"/>
  <c r="V54" i="5"/>
  <c r="AQ54" i="5"/>
  <c r="AM77" i="5"/>
  <c r="AS77" i="5"/>
  <c r="AS105" i="5"/>
  <c r="X7" i="5"/>
  <c r="W7" i="5"/>
  <c r="V7" i="5"/>
  <c r="Y7" i="5"/>
  <c r="AT8" i="5"/>
  <c r="T12" i="5"/>
  <c r="AQ12" i="5"/>
  <c r="Y12" i="5"/>
  <c r="X12" i="5"/>
  <c r="T24" i="5"/>
  <c r="AQ24" i="5"/>
  <c r="W24" i="5"/>
  <c r="X24" i="5"/>
  <c r="Y24" i="5"/>
  <c r="V24" i="5"/>
  <c r="AQ7" i="5"/>
  <c r="AS42" i="5"/>
  <c r="AM42" i="5"/>
  <c r="T57" i="5"/>
  <c r="AQ57" i="5"/>
  <c r="Y57" i="5"/>
  <c r="X57" i="5"/>
  <c r="T81" i="5"/>
  <c r="AQ81" i="5"/>
  <c r="W81" i="5"/>
  <c r="V81" i="5"/>
  <c r="Y81" i="5"/>
  <c r="V11" i="5"/>
  <c r="T11" i="5"/>
  <c r="X11" i="5"/>
  <c r="Y11" i="5"/>
  <c r="W11" i="5"/>
  <c r="AS22" i="5"/>
  <c r="AM22" i="5"/>
  <c r="AM26" i="5"/>
  <c r="AS26" i="5"/>
  <c r="T61" i="5"/>
  <c r="T62" i="5"/>
  <c r="Y90" i="5"/>
  <c r="X90" i="5"/>
  <c r="W90" i="5"/>
  <c r="V90" i="5"/>
  <c r="T90" i="5"/>
  <c r="AS92" i="5"/>
  <c r="AM92" i="5"/>
  <c r="AM52" i="5"/>
  <c r="AS52" i="5"/>
  <c r="X9" i="5"/>
  <c r="T9" i="5"/>
  <c r="V9" i="5"/>
  <c r="Y9" i="5"/>
  <c r="W9" i="5"/>
  <c r="AT33" i="5"/>
  <c r="AN33" i="5"/>
  <c r="AM73" i="5"/>
  <c r="AS73" i="5"/>
  <c r="AN16" i="5"/>
  <c r="AT16" i="5"/>
  <c r="AS32" i="5"/>
  <c r="AM32" i="5"/>
  <c r="Y44" i="5"/>
  <c r="X44" i="5"/>
  <c r="T44" i="5"/>
  <c r="V44" i="5"/>
  <c r="W44" i="5"/>
  <c r="V63" i="5"/>
  <c r="Y63" i="5"/>
  <c r="X63" i="5"/>
  <c r="W63" i="5"/>
  <c r="AM8" i="5"/>
  <c r="AQ44" i="5"/>
  <c r="AQ63" i="5"/>
  <c r="AS66" i="5"/>
  <c r="AM66" i="5"/>
  <c r="AT15" i="5"/>
  <c r="AN15" i="5"/>
  <c r="AT80" i="5"/>
  <c r="AN80" i="5"/>
  <c r="AM100" i="5"/>
  <c r="AT100" i="5"/>
  <c r="AS100" i="5"/>
  <c r="AN100" i="5"/>
  <c r="V56" i="5"/>
  <c r="T56" i="5"/>
  <c r="W56" i="5"/>
  <c r="Y56" i="5"/>
  <c r="X56" i="5"/>
  <c r="V61" i="5"/>
  <c r="T8" i="5"/>
  <c r="AM10" i="5"/>
  <c r="AT22" i="5"/>
  <c r="AN22" i="5"/>
  <c r="AT39" i="5"/>
  <c r="AN39" i="5"/>
  <c r="AQ56" i="5"/>
  <c r="W61" i="5"/>
  <c r="AN10" i="5"/>
  <c r="AM23" i="5"/>
  <c r="X45" i="5"/>
  <c r="W45" i="5"/>
  <c r="V45" i="5"/>
  <c r="AQ45" i="5"/>
  <c r="Y45" i="5"/>
  <c r="T45" i="5"/>
  <c r="X61" i="5"/>
  <c r="AN70" i="5"/>
  <c r="AM70" i="5"/>
  <c r="AM82" i="5"/>
  <c r="AS82" i="5"/>
  <c r="X10" i="5"/>
  <c r="V10" i="5"/>
  <c r="AQ10" i="5"/>
  <c r="W10" i="5"/>
  <c r="Y10" i="5"/>
  <c r="T10" i="5"/>
  <c r="AN35" i="5"/>
  <c r="AS36" i="5"/>
  <c r="X65" i="5"/>
  <c r="W65" i="5"/>
  <c r="V65" i="5"/>
  <c r="AS10" i="5"/>
  <c r="W12" i="5"/>
  <c r="AQ65" i="5"/>
  <c r="AS33" i="5"/>
  <c r="AM33" i="5"/>
  <c r="V80" i="5"/>
  <c r="T80" i="5"/>
  <c r="AQ80" i="5"/>
  <c r="Y80" i="5"/>
  <c r="X80" i="5"/>
  <c r="W80" i="5"/>
  <c r="T34" i="5"/>
  <c r="V34" i="5"/>
  <c r="Y34" i="5"/>
  <c r="X34" i="5"/>
  <c r="W34" i="5"/>
  <c r="AT77" i="5"/>
  <c r="X81" i="5"/>
  <c r="T17" i="5"/>
  <c r="Y17" i="5"/>
  <c r="X17" i="5"/>
  <c r="W17" i="5"/>
  <c r="V17" i="5"/>
  <c r="AT46" i="5"/>
  <c r="AN46" i="5"/>
  <c r="AS46" i="5"/>
  <c r="AM46" i="5"/>
  <c r="AT52" i="5"/>
  <c r="AN52" i="5"/>
  <c r="AT73" i="5"/>
  <c r="AN73" i="5"/>
  <c r="X62" i="5"/>
  <c r="Y62" i="5"/>
  <c r="W62" i="5"/>
  <c r="V103" i="5"/>
  <c r="AQ103" i="5"/>
  <c r="T103" i="5"/>
  <c r="X103" i="5"/>
  <c r="W103" i="5"/>
  <c r="Y103" i="5"/>
  <c r="AT29" i="5"/>
  <c r="AN29" i="5"/>
  <c r="AM49" i="5"/>
  <c r="AS49" i="5"/>
  <c r="AT54" i="5"/>
  <c r="AS54" i="5"/>
  <c r="X55" i="5"/>
  <c r="W55" i="5"/>
  <c r="V55" i="5"/>
  <c r="AQ55" i="5"/>
  <c r="Y55" i="5"/>
  <c r="T55" i="5"/>
  <c r="Y64" i="5"/>
  <c r="X64" i="5"/>
  <c r="T64" i="5"/>
  <c r="V64" i="5"/>
  <c r="W64" i="5"/>
  <c r="AM67" i="5"/>
  <c r="AS67" i="5"/>
  <c r="AN74" i="5"/>
  <c r="AT74" i="5"/>
  <c r="AN67" i="5"/>
  <c r="AN78" i="5"/>
  <c r="AM78" i="5"/>
  <c r="AN82" i="5"/>
  <c r="AT92" i="5"/>
  <c r="V93" i="5"/>
  <c r="X93" i="5"/>
  <c r="W93" i="5"/>
  <c r="T93" i="5"/>
  <c r="AN26" i="5"/>
  <c r="AT26" i="5"/>
  <c r="V88" i="5"/>
  <c r="AQ88" i="5"/>
  <c r="T88" i="5"/>
  <c r="Y88" i="5"/>
  <c r="X88" i="5"/>
  <c r="W88" i="5"/>
  <c r="AQ93" i="5"/>
  <c r="Y101" i="5"/>
  <c r="X101" i="5"/>
  <c r="T101" i="5"/>
  <c r="W101" i="5"/>
  <c r="V101" i="5"/>
  <c r="AT42" i="5"/>
  <c r="V53" i="5"/>
  <c r="Y53" i="5"/>
  <c r="X53" i="5"/>
  <c r="W53" i="5"/>
  <c r="AT66" i="5"/>
  <c r="AQ101" i="5"/>
  <c r="V43" i="5"/>
  <c r="W43" i="5"/>
  <c r="T43" i="5"/>
  <c r="AQ53" i="5"/>
  <c r="AN59" i="5"/>
  <c r="AT82" i="5"/>
  <c r="V83" i="5"/>
  <c r="T83" i="5"/>
  <c r="AQ83" i="5"/>
  <c r="T14" i="5"/>
  <c r="AQ14" i="5"/>
  <c r="AM36" i="5"/>
  <c r="AN92" i="5"/>
  <c r="AN19" i="5"/>
  <c r="T47" i="5"/>
  <c r="AQ47" i="5"/>
  <c r="AQ50" i="5"/>
  <c r="AN77" i="5"/>
  <c r="X92" i="5"/>
  <c r="W92" i="5"/>
  <c r="V92" i="5"/>
  <c r="T92" i="5"/>
  <c r="X100" i="5"/>
  <c r="W100" i="5"/>
  <c r="Y100" i="5"/>
  <c r="V100" i="5"/>
  <c r="AS29" i="5"/>
  <c r="V38" i="5"/>
  <c r="T38" i="5"/>
  <c r="AQ38" i="5"/>
  <c r="AN42" i="5"/>
  <c r="V46" i="5"/>
  <c r="T46" i="5"/>
  <c r="Y46" i="5"/>
  <c r="X46" i="5"/>
  <c r="AQ51" i="5"/>
  <c r="X82" i="5"/>
  <c r="W82" i="5"/>
  <c r="V82" i="5"/>
  <c r="T82" i="5"/>
  <c r="AN90" i="5"/>
  <c r="AQ92" i="5"/>
  <c r="AM98" i="5"/>
  <c r="AQ100" i="5"/>
  <c r="AM105" i="5"/>
  <c r="AS23" i="5"/>
  <c r="AN36" i="5"/>
  <c r="AQ46" i="5"/>
  <c r="T49" i="5"/>
  <c r="T50" i="5"/>
  <c r="AQ82" i="5"/>
  <c r="AN98" i="5"/>
  <c r="Y99" i="5"/>
  <c r="X99" i="5"/>
  <c r="W99" i="5"/>
  <c r="AS103" i="5"/>
  <c r="AM16" i="5"/>
  <c r="AN66" i="5"/>
  <c r="AT67" i="5"/>
  <c r="AM71" i="5"/>
  <c r="AS74" i="5"/>
  <c r="AM74" i="5"/>
  <c r="AS78" i="5"/>
  <c r="Y93" i="5"/>
  <c r="AQ97" i="5"/>
  <c r="AQ99" i="5"/>
  <c r="AT25" i="5"/>
  <c r="AQ49" i="5"/>
  <c r="AS17" i="5"/>
  <c r="AQ43" i="5"/>
  <c r="AM25" i="5"/>
  <c r="W37" i="5"/>
  <c r="V37" i="5"/>
  <c r="T37" i="5"/>
  <c r="AT44" i="5"/>
  <c r="V49" i="5"/>
  <c r="V50" i="5"/>
  <c r="T51" i="5"/>
  <c r="T53" i="5"/>
  <c r="T66" i="5"/>
  <c r="AQ66" i="5"/>
  <c r="AN71" i="5"/>
  <c r="AT78" i="5"/>
  <c r="AM80" i="5"/>
  <c r="AS80" i="5"/>
  <c r="W83" i="5"/>
  <c r="AS85" i="5"/>
  <c r="AN85" i="5"/>
  <c r="AM85" i="5"/>
  <c r="T96" i="5"/>
  <c r="AQ96" i="5"/>
  <c r="V27" i="5"/>
  <c r="T27" i="5"/>
  <c r="AQ27" i="5"/>
  <c r="X52" i="5"/>
  <c r="Y52" i="5"/>
  <c r="W52" i="5"/>
  <c r="V14" i="5"/>
  <c r="AS15" i="5"/>
  <c r="AT19" i="5"/>
  <c r="AT23" i="5"/>
  <c r="AN25" i="5"/>
  <c r="W27" i="5"/>
  <c r="X43" i="5"/>
  <c r="V47" i="5"/>
  <c r="T52" i="5"/>
  <c r="X70" i="5"/>
  <c r="W70" i="5"/>
  <c r="V71" i="5"/>
  <c r="X83" i="5"/>
  <c r="Y91" i="5"/>
  <c r="X91" i="5"/>
  <c r="W91" i="5"/>
  <c r="V91" i="5"/>
  <c r="V95" i="5"/>
  <c r="T95" i="5"/>
  <c r="Y95" i="5"/>
  <c r="X95" i="5"/>
  <c r="W95" i="5"/>
  <c r="Y32" i="5"/>
  <c r="X32" i="5"/>
  <c r="W32" i="5"/>
  <c r="AT71" i="5"/>
  <c r="Y86" i="5"/>
  <c r="X86" i="5"/>
  <c r="T86" i="5"/>
  <c r="AQ28" i="5"/>
  <c r="AT56" i="5"/>
  <c r="AN56" i="5"/>
  <c r="AT64" i="5"/>
  <c r="V73" i="5"/>
  <c r="T73" i="5"/>
  <c r="AQ84" i="5"/>
  <c r="AQ86" i="5"/>
  <c r="AN105" i="5"/>
  <c r="Y22" i="5"/>
  <c r="X22" i="5"/>
  <c r="W22" i="5"/>
  <c r="AQ32" i="5"/>
  <c r="AQ39" i="5"/>
  <c r="AQ22" i="5"/>
  <c r="AQ29" i="5"/>
  <c r="AQ40" i="5"/>
  <c r="AQ41" i="5"/>
  <c r="AN49" i="5"/>
  <c r="AQ73" i="5"/>
  <c r="X85" i="5"/>
  <c r="W85" i="5"/>
  <c r="AT103" i="5"/>
  <c r="T39" i="5"/>
  <c r="Y77" i="5"/>
  <c r="T84" i="5"/>
  <c r="AQ72" i="5"/>
  <c r="T79" i="5"/>
  <c r="AQ79" i="5"/>
  <c r="AQ87" i="5"/>
  <c r="T94" i="5"/>
  <c r="AQ94" i="5"/>
  <c r="AQ102" i="5"/>
  <c r="V72" i="5"/>
  <c r="X79" i="5"/>
  <c r="V87" i="5"/>
  <c r="X94" i="5"/>
  <c r="V102" i="5"/>
  <c r="W72" i="5"/>
  <c r="Y79" i="5"/>
  <c r="W87" i="5"/>
  <c r="Y94" i="5"/>
  <c r="W102" i="5"/>
  <c r="T74" i="5"/>
  <c r="AT72" i="1"/>
  <c r="AT86" i="1"/>
  <c r="AT91" i="1"/>
  <c r="AT51" i="1"/>
  <c r="AT11" i="1"/>
  <c r="U11" i="1" s="1"/>
  <c r="AS11" i="1"/>
  <c r="AS37" i="1"/>
  <c r="AS48" i="1"/>
  <c r="AS103" i="1"/>
  <c r="AT52" i="1"/>
  <c r="AT32" i="1"/>
  <c r="AS23" i="1"/>
  <c r="AT12" i="1"/>
  <c r="AT82" i="1"/>
  <c r="AT62" i="1"/>
  <c r="AS69" i="1"/>
  <c r="AS49" i="1"/>
  <c r="U49" i="1" s="1"/>
  <c r="AS29" i="1"/>
  <c r="AT71" i="1"/>
  <c r="AT31" i="1"/>
  <c r="AS100" i="1"/>
  <c r="AS80" i="1"/>
  <c r="AS20" i="1"/>
  <c r="AS97" i="1"/>
  <c r="AS77" i="1"/>
  <c r="AS68" i="1"/>
  <c r="AS79" i="1"/>
  <c r="AT96" i="1"/>
  <c r="U96" i="1" s="1"/>
  <c r="AT76" i="1"/>
  <c r="AT56" i="1"/>
  <c r="AT36" i="1"/>
  <c r="AT16" i="1"/>
  <c r="AS86" i="1"/>
  <c r="AS76" i="1"/>
  <c r="AS43" i="1"/>
  <c r="U43" i="1" s="1"/>
  <c r="AS89" i="1"/>
  <c r="AT106" i="1"/>
  <c r="AS31" i="1"/>
  <c r="U31" i="1" s="1"/>
  <c r="AS59" i="1"/>
  <c r="AS19" i="1"/>
  <c r="AS90" i="1"/>
  <c r="AS70" i="1"/>
  <c r="AS50" i="1"/>
  <c r="U50" i="1" s="1"/>
  <c r="AS30" i="1"/>
  <c r="AS10" i="1"/>
  <c r="AS105" i="1"/>
  <c r="AS85" i="1"/>
  <c r="AT45" i="1"/>
  <c r="AS25" i="1"/>
  <c r="AS40" i="1"/>
  <c r="AS88" i="1"/>
  <c r="AS8" i="1"/>
  <c r="AS87" i="1"/>
  <c r="AT75" i="1"/>
  <c r="AS67" i="1"/>
  <c r="AT55" i="1"/>
  <c r="U55" i="1" s="1"/>
  <c r="AS47" i="1"/>
  <c r="AT35" i="1"/>
  <c r="AS27" i="1"/>
  <c r="AT15" i="1"/>
  <c r="AS56" i="1"/>
  <c r="AS83" i="1"/>
  <c r="AS9" i="1"/>
  <c r="AT66" i="1"/>
  <c r="AS51" i="1"/>
  <c r="AS57" i="1"/>
  <c r="AS17" i="1"/>
  <c r="AS104" i="1"/>
  <c r="AS84" i="1"/>
  <c r="AS75" i="1"/>
  <c r="AT64" i="1"/>
  <c r="AS55" i="1"/>
  <c r="AS44" i="1"/>
  <c r="AS35" i="1"/>
  <c r="U35" i="1" s="1"/>
  <c r="AS24" i="1"/>
  <c r="AS15" i="1"/>
  <c r="AS94" i="1"/>
  <c r="AS74" i="1"/>
  <c r="AT54" i="1"/>
  <c r="AT34" i="1"/>
  <c r="AT14" i="1"/>
  <c r="AT42" i="1"/>
  <c r="AT46" i="1"/>
  <c r="AS60" i="1"/>
  <c r="AS101" i="1"/>
  <c r="AT81" i="1"/>
  <c r="AS21" i="1"/>
  <c r="AS36" i="1"/>
  <c r="AT92" i="1"/>
  <c r="AS63" i="1"/>
  <c r="AT102" i="1"/>
  <c r="AS22" i="1"/>
  <c r="AT26" i="1"/>
  <c r="AS91" i="1"/>
  <c r="U91" i="1" s="1"/>
  <c r="AS71" i="1"/>
  <c r="U71" i="1" s="1"/>
  <c r="AS28" i="1"/>
  <c r="AS106" i="1"/>
  <c r="U106" i="1" s="1"/>
  <c r="AS99" i="1"/>
  <c r="AS39" i="1"/>
  <c r="AT95" i="1"/>
  <c r="AS95" i="1"/>
  <c r="AS61" i="1"/>
  <c r="AT41" i="1"/>
  <c r="AS98" i="1"/>
  <c r="AS78" i="1"/>
  <c r="AS58" i="1"/>
  <c r="AS38" i="1"/>
  <c r="AS18" i="1"/>
  <c r="AT93" i="1"/>
  <c r="AS73" i="1"/>
  <c r="AT53" i="1"/>
  <c r="AT33" i="1"/>
  <c r="AS13" i="1"/>
  <c r="AS26" i="1"/>
  <c r="U56" i="1"/>
  <c r="U76" i="1"/>
  <c r="U83" i="1"/>
  <c r="U23" i="1"/>
  <c r="U95" i="1"/>
  <c r="U46" i="1"/>
  <c r="U61" i="1"/>
  <c r="U36" i="1"/>
  <c r="U51" i="1"/>
  <c r="U75" i="1"/>
  <c r="U44" i="1"/>
  <c r="U16" i="1"/>
  <c r="AT104" i="1"/>
  <c r="U104" i="1" s="1"/>
  <c r="AS34" i="1"/>
  <c r="U34" i="1" s="1"/>
  <c r="AS32" i="1"/>
  <c r="AT61" i="1"/>
  <c r="AT105" i="1"/>
  <c r="U105" i="1" s="1"/>
  <c r="AT85" i="1"/>
  <c r="AS14" i="1"/>
  <c r="AT73" i="1"/>
  <c r="AS93" i="1"/>
  <c r="AS53" i="1"/>
  <c r="AS33" i="1"/>
  <c r="AS102" i="1"/>
  <c r="AS72" i="1"/>
  <c r="U72" i="1" s="1"/>
  <c r="AS62" i="1"/>
  <c r="AS52" i="1"/>
  <c r="AS42" i="1"/>
  <c r="U42" i="1" s="1"/>
  <c r="AS81" i="1"/>
  <c r="U81" i="1" s="1"/>
  <c r="AT100" i="1"/>
  <c r="AT90" i="1"/>
  <c r="U90" i="1" s="1"/>
  <c r="AT80" i="1"/>
  <c r="U80" i="1" s="1"/>
  <c r="AT70" i="1"/>
  <c r="U70" i="1" s="1"/>
  <c r="AT60" i="1"/>
  <c r="U60" i="1" s="1"/>
  <c r="AT50" i="1"/>
  <c r="AT40" i="1"/>
  <c r="AT30" i="1"/>
  <c r="U30" i="1" s="1"/>
  <c r="AT20" i="1"/>
  <c r="AT10" i="1"/>
  <c r="AT25" i="1"/>
  <c r="U25" i="1" s="1"/>
  <c r="AT74" i="1"/>
  <c r="AS82" i="1"/>
  <c r="AT21" i="1"/>
  <c r="AT99" i="1"/>
  <c r="AT89" i="1"/>
  <c r="AT79" i="1"/>
  <c r="U79" i="1" s="1"/>
  <c r="AT69" i="1"/>
  <c r="AT59" i="1"/>
  <c r="AT49" i="1"/>
  <c r="AT39" i="1"/>
  <c r="AT29" i="1"/>
  <c r="AT19" i="1"/>
  <c r="U19" i="1" s="1"/>
  <c r="AT9" i="1"/>
  <c r="U9" i="1" s="1"/>
  <c r="AT24" i="1"/>
  <c r="U24" i="1" s="1"/>
  <c r="AS64" i="1"/>
  <c r="AT13" i="1"/>
  <c r="AS12" i="1"/>
  <c r="AT94" i="1"/>
  <c r="AS54" i="1"/>
  <c r="AS92" i="1"/>
  <c r="AT101" i="1"/>
  <c r="AT98" i="1"/>
  <c r="U98" i="1" s="1"/>
  <c r="AT88" i="1"/>
  <c r="AT78" i="1"/>
  <c r="AT68" i="1"/>
  <c r="AT58" i="1"/>
  <c r="U58" i="1" s="1"/>
  <c r="AT48" i="1"/>
  <c r="AT38" i="1"/>
  <c r="AT28" i="1"/>
  <c r="AT18" i="1"/>
  <c r="U18" i="1" s="1"/>
  <c r="AT8" i="1"/>
  <c r="U8" i="1" s="1"/>
  <c r="AS45" i="1"/>
  <c r="AT22" i="1"/>
  <c r="U22" i="1" s="1"/>
  <c r="Z79" i="1"/>
  <c r="AS7" i="1"/>
  <c r="AT97" i="1"/>
  <c r="U97" i="1" s="1"/>
  <c r="AT87" i="1"/>
  <c r="AT77" i="1"/>
  <c r="AT67" i="1"/>
  <c r="AT57" i="1"/>
  <c r="U57" i="1" s="1"/>
  <c r="AT47" i="1"/>
  <c r="AT37" i="1"/>
  <c r="U37" i="1" s="1"/>
  <c r="AT27" i="1"/>
  <c r="AT17" i="1"/>
  <c r="U17" i="1" s="1"/>
  <c r="W7" i="1"/>
  <c r="AT84" i="1"/>
  <c r="AT44" i="1"/>
  <c r="AS41" i="1"/>
  <c r="AT65" i="1"/>
  <c r="U65" i="1" s="1"/>
  <c r="Z68" i="1"/>
  <c r="AA68" i="1"/>
  <c r="AA77" i="1"/>
  <c r="AA79" i="1"/>
  <c r="Z82" i="1"/>
  <c r="AA82" i="1"/>
  <c r="Z88" i="1"/>
  <c r="AM91" i="1"/>
  <c r="Z97" i="1"/>
  <c r="AA97" i="1"/>
  <c r="Z100" i="1"/>
  <c r="Z85" i="1"/>
  <c r="AA88" i="1"/>
  <c r="Z91" i="1"/>
  <c r="AA85" i="1"/>
  <c r="AA91" i="1"/>
  <c r="Z94" i="1"/>
  <c r="AA94" i="1"/>
  <c r="Z71" i="1"/>
  <c r="Z65" i="1"/>
  <c r="AA65" i="1"/>
  <c r="AA100" i="1"/>
  <c r="Z74" i="1"/>
  <c r="AA74" i="1"/>
  <c r="AA71" i="1"/>
  <c r="Z103" i="1"/>
  <c r="AA103" i="1"/>
  <c r="Z77" i="1"/>
  <c r="V95" i="1"/>
  <c r="X34" i="1"/>
  <c r="AQ14" i="1"/>
  <c r="Y90" i="1"/>
  <c r="V32" i="1"/>
  <c r="X72" i="1"/>
  <c r="W71" i="1"/>
  <c r="AQ29" i="1"/>
  <c r="AQ70" i="1"/>
  <c r="V96" i="1"/>
  <c r="AQ69" i="1"/>
  <c r="AQ52" i="1"/>
  <c r="W95" i="1"/>
  <c r="AQ68" i="1"/>
  <c r="X55" i="1"/>
  <c r="W55" i="1"/>
  <c r="V55" i="1"/>
  <c r="T55" i="1"/>
  <c r="AQ54" i="1"/>
  <c r="AN57" i="1"/>
  <c r="W35" i="1"/>
  <c r="AQ53" i="1"/>
  <c r="AQ73" i="1"/>
  <c r="AQ10" i="1"/>
  <c r="AQ72" i="1"/>
  <c r="AQ66" i="1"/>
  <c r="U66" i="1" s="1"/>
  <c r="AQ11" i="1"/>
  <c r="AQ71" i="1"/>
  <c r="AQ26" i="1"/>
  <c r="AQ15" i="1"/>
  <c r="AQ90" i="1"/>
  <c r="X79" i="1"/>
  <c r="W79" i="1"/>
  <c r="T79" i="1"/>
  <c r="W78" i="1"/>
  <c r="T34" i="1"/>
  <c r="W76" i="1"/>
  <c r="AQ28" i="1"/>
  <c r="X75" i="1"/>
  <c r="X27" i="1"/>
  <c r="AQ33" i="1"/>
  <c r="V75" i="1"/>
  <c r="V14" i="1"/>
  <c r="AQ32" i="1"/>
  <c r="AQ76" i="1"/>
  <c r="Y72" i="1"/>
  <c r="AQ86" i="1"/>
  <c r="AQ36" i="1"/>
  <c r="AQ85" i="1"/>
  <c r="AQ49" i="1"/>
  <c r="V100" i="1"/>
  <c r="W66" i="1"/>
  <c r="AQ48" i="1"/>
  <c r="AQ89" i="1"/>
  <c r="U89" i="1" s="1"/>
  <c r="V99" i="1"/>
  <c r="V60" i="1"/>
  <c r="AQ7" i="1"/>
  <c r="AQ47" i="1"/>
  <c r="AQ88" i="1"/>
  <c r="T99" i="1"/>
  <c r="X59" i="1"/>
  <c r="T59" i="1"/>
  <c r="AQ9" i="1"/>
  <c r="AQ92" i="1"/>
  <c r="Y98" i="1"/>
  <c r="X98" i="1"/>
  <c r="Y56" i="1"/>
  <c r="AQ91" i="1"/>
  <c r="W97" i="1"/>
  <c r="X56" i="1"/>
  <c r="AQ12" i="1"/>
  <c r="AQ55" i="1"/>
  <c r="AN32" i="1"/>
  <c r="Y19" i="1"/>
  <c r="T95" i="1"/>
  <c r="W72" i="1"/>
  <c r="X19" i="1"/>
  <c r="AQ35" i="1"/>
  <c r="V92" i="1"/>
  <c r="V72" i="1"/>
  <c r="Y52" i="1"/>
  <c r="V19" i="1"/>
  <c r="AQ18" i="1"/>
  <c r="AQ74" i="1"/>
  <c r="T52" i="1"/>
  <c r="T19" i="1"/>
  <c r="AQ39" i="1"/>
  <c r="AQ57" i="1"/>
  <c r="AQ99" i="1"/>
  <c r="AM21" i="1"/>
  <c r="X20" i="1"/>
  <c r="X47" i="1"/>
  <c r="V16" i="1"/>
  <c r="AQ16" i="1"/>
  <c r="AQ38" i="1"/>
  <c r="AQ77" i="1"/>
  <c r="AM101" i="1"/>
  <c r="AM40" i="1"/>
  <c r="AM20" i="1"/>
  <c r="X90" i="1"/>
  <c r="T71" i="1"/>
  <c r="X40" i="1"/>
  <c r="AQ21" i="1"/>
  <c r="AQ61" i="1"/>
  <c r="AQ81" i="1"/>
  <c r="AQ44" i="1"/>
  <c r="AN92" i="1"/>
  <c r="T89" i="1"/>
  <c r="W40" i="1"/>
  <c r="AQ20" i="1"/>
  <c r="AQ41" i="1"/>
  <c r="AQ60" i="1"/>
  <c r="AQ80" i="1"/>
  <c r="AQ102" i="1"/>
  <c r="AM78" i="1"/>
  <c r="W39" i="1"/>
  <c r="W12" i="1"/>
  <c r="AQ19" i="1"/>
  <c r="AQ40" i="1"/>
  <c r="AQ59" i="1"/>
  <c r="AQ79" i="1"/>
  <c r="AQ101" i="1"/>
  <c r="W20" i="1"/>
  <c r="Y80" i="1"/>
  <c r="X80" i="1"/>
  <c r="Y64" i="1"/>
  <c r="V39" i="1"/>
  <c r="X10" i="1"/>
  <c r="AQ24" i="1"/>
  <c r="AQ43" i="1"/>
  <c r="AQ64" i="1"/>
  <c r="AQ84" i="1"/>
  <c r="AQ100" i="1"/>
  <c r="AM69" i="1"/>
  <c r="AN31" i="1"/>
  <c r="Y104" i="1"/>
  <c r="W80" i="1"/>
  <c r="X64" i="1"/>
  <c r="AQ23" i="1"/>
  <c r="AQ63" i="1"/>
  <c r="U63" i="1" s="1"/>
  <c r="AQ83" i="1"/>
  <c r="W64" i="1"/>
  <c r="Y35" i="1"/>
  <c r="AQ22" i="1"/>
  <c r="AQ46" i="1"/>
  <c r="AQ82" i="1"/>
  <c r="AQ104" i="1"/>
  <c r="Y20" i="1"/>
  <c r="X104" i="1"/>
  <c r="V80" i="1"/>
  <c r="AQ62" i="1"/>
  <c r="Y100" i="1"/>
  <c r="W60" i="1"/>
  <c r="AQ27" i="1"/>
  <c r="AQ45" i="1"/>
  <c r="AQ67" i="1"/>
  <c r="AQ103" i="1"/>
  <c r="U103" i="1" s="1"/>
  <c r="AN38" i="1"/>
  <c r="AM72" i="1"/>
  <c r="AM89" i="1"/>
  <c r="AN69" i="1"/>
  <c r="AN28" i="1"/>
  <c r="AM68" i="1"/>
  <c r="AN74" i="1"/>
  <c r="AN54" i="1"/>
  <c r="AM103" i="1"/>
  <c r="AM54" i="1"/>
  <c r="AM34" i="1"/>
  <c r="AM11" i="1"/>
  <c r="AN51" i="1"/>
  <c r="AM31" i="1"/>
  <c r="AN14" i="1"/>
  <c r="AM44" i="1"/>
  <c r="AN55" i="1"/>
  <c r="AM74" i="1"/>
  <c r="AN34" i="1"/>
  <c r="AN11" i="1"/>
  <c r="AN68" i="1"/>
  <c r="W47" i="1"/>
  <c r="Y24" i="1"/>
  <c r="AM98" i="1"/>
  <c r="AN15" i="1"/>
  <c r="V89" i="1"/>
  <c r="W73" i="1"/>
  <c r="X66" i="1"/>
  <c r="T48" i="1"/>
  <c r="Y27" i="1"/>
  <c r="AM58" i="1"/>
  <c r="Y88" i="1"/>
  <c r="X88" i="1"/>
  <c r="AM32" i="1"/>
  <c r="V26" i="1"/>
  <c r="Y44" i="1"/>
  <c r="Y84" i="1"/>
  <c r="W44" i="1"/>
  <c r="X24" i="1"/>
  <c r="AN91" i="1"/>
  <c r="AN71" i="1"/>
  <c r="Y103" i="1"/>
  <c r="X84" i="1"/>
  <c r="Y33" i="1"/>
  <c r="W24" i="1"/>
  <c r="AM51" i="1"/>
  <c r="X103" i="1"/>
  <c r="W84" i="1"/>
  <c r="W69" i="1"/>
  <c r="W63" i="1"/>
  <c r="X52" i="1"/>
  <c r="T44" i="1"/>
  <c r="Y32" i="1"/>
  <c r="V24" i="1"/>
  <c r="W103" i="1"/>
  <c r="X92" i="1"/>
  <c r="V84" i="1"/>
  <c r="Y76" i="1"/>
  <c r="V69" i="1"/>
  <c r="V63" i="1"/>
  <c r="W52" i="1"/>
  <c r="Y43" i="1"/>
  <c r="X32" i="1"/>
  <c r="X15" i="1"/>
  <c r="AM15" i="1"/>
  <c r="AM55" i="1"/>
  <c r="V64" i="1"/>
  <c r="V104" i="1"/>
  <c r="T104" i="1"/>
  <c r="Y63" i="1"/>
  <c r="AM60" i="1"/>
  <c r="X63" i="1"/>
  <c r="V44" i="1"/>
  <c r="AN48" i="1"/>
  <c r="AM28" i="1"/>
  <c r="AM17" i="1"/>
  <c r="AN8" i="1"/>
  <c r="Y92" i="1"/>
  <c r="Y15" i="1"/>
  <c r="AN65" i="1"/>
  <c r="AN42" i="1"/>
  <c r="AM8" i="1"/>
  <c r="V103" i="1"/>
  <c r="W92" i="1"/>
  <c r="X76" i="1"/>
  <c r="T69" i="1"/>
  <c r="X43" i="1"/>
  <c r="W32" i="1"/>
  <c r="Y23" i="1"/>
  <c r="AN97" i="1"/>
  <c r="Y83" i="1"/>
  <c r="Y68" i="1"/>
  <c r="W43" i="1"/>
  <c r="X23" i="1"/>
  <c r="AN7" i="1"/>
  <c r="AM105" i="1"/>
  <c r="AN96" i="1"/>
  <c r="AN87" i="1"/>
  <c r="AM85" i="1"/>
  <c r="AN76" i="1"/>
  <c r="AN67" i="1"/>
  <c r="AM65" i="1"/>
  <c r="AN56" i="1"/>
  <c r="AN47" i="1"/>
  <c r="AM45" i="1"/>
  <c r="AN36" i="1"/>
  <c r="AN27" i="1"/>
  <c r="AM25" i="1"/>
  <c r="AN22" i="1"/>
  <c r="AN16" i="1"/>
  <c r="AM57" i="1"/>
  <c r="AM37" i="1"/>
  <c r="AN103" i="1"/>
  <c r="Y102" i="1"/>
  <c r="X83" i="1"/>
  <c r="V76" i="1"/>
  <c r="X68" i="1"/>
  <c r="X62" i="1"/>
  <c r="Y49" i="1"/>
  <c r="V43" i="1"/>
  <c r="W23" i="1"/>
  <c r="Y12" i="1"/>
  <c r="W26" i="1"/>
  <c r="AM83" i="1"/>
  <c r="Y62" i="1"/>
  <c r="AM104" i="1"/>
  <c r="AM102" i="1"/>
  <c r="AM99" i="1"/>
  <c r="AN93" i="1"/>
  <c r="AM90" i="1"/>
  <c r="AM82" i="1"/>
  <c r="AN79" i="1"/>
  <c r="AN73" i="1"/>
  <c r="AM70" i="1"/>
  <c r="AN62" i="1"/>
  <c r="AN53" i="1"/>
  <c r="AM42" i="1"/>
  <c r="AM39" i="1"/>
  <c r="AN33" i="1"/>
  <c r="AM22" i="1"/>
  <c r="AN19" i="1"/>
  <c r="W102" i="1"/>
  <c r="W83" i="1"/>
  <c r="V68" i="1"/>
  <c r="W49" i="1"/>
  <c r="V23" i="1"/>
  <c r="X12" i="1"/>
  <c r="AM43" i="1"/>
  <c r="AM9" i="1"/>
  <c r="V83" i="1"/>
  <c r="T68" i="1"/>
  <c r="V49" i="1"/>
  <c r="Y28" i="1"/>
  <c r="AM92" i="1"/>
  <c r="AN21" i="1"/>
  <c r="W67" i="1"/>
  <c r="X28" i="1"/>
  <c r="X22" i="1"/>
  <c r="V88" i="1"/>
  <c r="AM80" i="1"/>
  <c r="AM75" i="1"/>
  <c r="AM63" i="1"/>
  <c r="AN23" i="1"/>
  <c r="T88" i="1"/>
  <c r="AN89" i="1"/>
  <c r="Y48" i="1"/>
  <c r="AM93" i="1"/>
  <c r="AN44" i="1"/>
  <c r="AM33" i="1"/>
  <c r="AN24" i="1"/>
  <c r="AM13" i="1"/>
  <c r="T100" i="1"/>
  <c r="Y89" i="1"/>
  <c r="Y82" i="1"/>
  <c r="V67" i="1"/>
  <c r="T60" i="1"/>
  <c r="X48" i="1"/>
  <c r="V40" i="1"/>
  <c r="W28" i="1"/>
  <c r="W22" i="1"/>
  <c r="X9" i="1"/>
  <c r="AN101" i="1"/>
  <c r="AM87" i="1"/>
  <c r="AN81" i="1"/>
  <c r="AM50" i="1"/>
  <c r="AM30" i="1"/>
  <c r="AM10" i="1"/>
  <c r="X99" i="1"/>
  <c r="X89" i="1"/>
  <c r="Y73" i="1"/>
  <c r="W48" i="1"/>
  <c r="T40" i="1"/>
  <c r="V28" i="1"/>
  <c r="V22" i="1"/>
  <c r="V9" i="1"/>
  <c r="AN98" i="1"/>
  <c r="AM81" i="1"/>
  <c r="AN78" i="1"/>
  <c r="AM67" i="1"/>
  <c r="AN58" i="1"/>
  <c r="AM52" i="1"/>
  <c r="AM47" i="1"/>
  <c r="AM27" i="1"/>
  <c r="AN18" i="1"/>
  <c r="AN9" i="1"/>
  <c r="W99" i="1"/>
  <c r="W59" i="1"/>
  <c r="Y39" i="1"/>
  <c r="T22" i="1"/>
  <c r="T9" i="1"/>
  <c r="T105" i="1"/>
  <c r="W105" i="1"/>
  <c r="X105" i="1"/>
  <c r="T65" i="1"/>
  <c r="V65" i="1"/>
  <c r="W65" i="1"/>
  <c r="T25" i="1"/>
  <c r="V25" i="1"/>
  <c r="W25" i="1"/>
  <c r="X25" i="1"/>
  <c r="AN39" i="1"/>
  <c r="X85" i="1"/>
  <c r="AM96" i="1"/>
  <c r="AM56" i="1"/>
  <c r="AM36" i="1"/>
  <c r="W85" i="1"/>
  <c r="AM73" i="1"/>
  <c r="AM53" i="1"/>
  <c r="X81" i="1"/>
  <c r="Y81" i="1"/>
  <c r="AN61" i="1"/>
  <c r="AN41" i="1"/>
  <c r="T85" i="1"/>
  <c r="AN102" i="1"/>
  <c r="AN85" i="1"/>
  <c r="AM19" i="1"/>
  <c r="W61" i="1"/>
  <c r="AN95" i="1"/>
  <c r="AM84" i="1"/>
  <c r="AN75" i="1"/>
  <c r="AM64" i="1"/>
  <c r="AN35" i="1"/>
  <c r="AM24" i="1"/>
  <c r="T98" i="1"/>
  <c r="V98" i="1"/>
  <c r="W98" i="1"/>
  <c r="T78" i="1"/>
  <c r="V78" i="1"/>
  <c r="T58" i="1"/>
  <c r="V58" i="1"/>
  <c r="X58" i="1"/>
  <c r="Y58" i="1"/>
  <c r="V61" i="1"/>
  <c r="W53" i="1"/>
  <c r="X33" i="1"/>
  <c r="AN72" i="1"/>
  <c r="AM61" i="1"/>
  <c r="AN52" i="1"/>
  <c r="AM41" i="1"/>
  <c r="AN12" i="1"/>
  <c r="AN83" i="1"/>
  <c r="X97" i="1"/>
  <c r="Y97" i="1"/>
  <c r="T77" i="1"/>
  <c r="V77" i="1"/>
  <c r="X77" i="1"/>
  <c r="Y77" i="1"/>
  <c r="T37" i="1"/>
  <c r="V37" i="1"/>
  <c r="T17" i="1"/>
  <c r="V17" i="1"/>
  <c r="W17" i="1"/>
  <c r="V97" i="1"/>
  <c r="V53" i="1"/>
  <c r="AN49" i="1"/>
  <c r="AM38" i="1"/>
  <c r="AN29" i="1"/>
  <c r="AM18" i="1"/>
  <c r="T96" i="1"/>
  <c r="W96" i="1"/>
  <c r="X96" i="1"/>
  <c r="T56" i="1"/>
  <c r="V56" i="1"/>
  <c r="W56" i="1"/>
  <c r="V36" i="1"/>
  <c r="W36" i="1"/>
  <c r="X36" i="1"/>
  <c r="W16" i="1"/>
  <c r="X16" i="1"/>
  <c r="Y16" i="1"/>
  <c r="T97" i="1"/>
  <c r="Y78" i="1"/>
  <c r="Y65" i="1"/>
  <c r="AN106" i="1"/>
  <c r="AN86" i="1"/>
  <c r="AN66" i="1"/>
  <c r="AN46" i="1"/>
  <c r="AN37" i="1"/>
  <c r="AM35" i="1"/>
  <c r="AN26" i="1"/>
  <c r="Y95" i="1"/>
  <c r="X95" i="1"/>
  <c r="Y75" i="1"/>
  <c r="T75" i="1"/>
  <c r="T35" i="1"/>
  <c r="V35" i="1"/>
  <c r="V15" i="1"/>
  <c r="W15" i="1"/>
  <c r="Y96" i="1"/>
  <c r="X78" i="1"/>
  <c r="X71" i="1"/>
  <c r="X65" i="1"/>
  <c r="Y11" i="1"/>
  <c r="Y45" i="1"/>
  <c r="Y25" i="1"/>
  <c r="X11" i="1"/>
  <c r="AN84" i="1"/>
  <c r="AN94" i="1"/>
  <c r="AM12" i="1"/>
  <c r="T94" i="1"/>
  <c r="V94" i="1"/>
  <c r="T74" i="1"/>
  <c r="V74" i="1"/>
  <c r="X74" i="1"/>
  <c r="Y74" i="1"/>
  <c r="T54" i="1"/>
  <c r="V54" i="1"/>
  <c r="X54" i="1"/>
  <c r="Y54" i="1"/>
  <c r="Y34" i="1"/>
  <c r="V34" i="1"/>
  <c r="W34" i="1"/>
  <c r="Y14" i="1"/>
  <c r="W14" i="1"/>
  <c r="X14" i="1"/>
  <c r="AM49" i="1"/>
  <c r="AM29" i="1"/>
  <c r="AN63" i="1"/>
  <c r="AN45" i="1"/>
  <c r="T93" i="1"/>
  <c r="V93" i="1"/>
  <c r="W93" i="1"/>
  <c r="T73" i="1"/>
  <c r="V73" i="1"/>
  <c r="X53" i="1"/>
  <c r="Y53" i="1"/>
  <c r="T33" i="1"/>
  <c r="V33" i="1"/>
  <c r="V71" i="1"/>
  <c r="X45" i="1"/>
  <c r="X38" i="1"/>
  <c r="W38" i="1"/>
  <c r="X31" i="1"/>
  <c r="Y31" i="1"/>
  <c r="W58" i="1"/>
  <c r="V38" i="1"/>
  <c r="W31" i="1"/>
  <c r="X18" i="1"/>
  <c r="W10" i="1"/>
  <c r="AN104" i="1"/>
  <c r="Y61" i="1"/>
  <c r="AM79" i="1"/>
  <c r="Y51" i="1"/>
  <c r="V51" i="1"/>
  <c r="W51" i="1"/>
  <c r="X51" i="1"/>
  <c r="AM62" i="1"/>
  <c r="T90" i="1"/>
  <c r="V90" i="1"/>
  <c r="T70" i="1"/>
  <c r="V70" i="1"/>
  <c r="W70" i="1"/>
  <c r="T50" i="1"/>
  <c r="V50" i="1"/>
  <c r="Y30" i="1"/>
  <c r="V30" i="1"/>
  <c r="W30" i="1"/>
  <c r="Y101" i="1"/>
  <c r="Y94" i="1"/>
  <c r="X70" i="1"/>
  <c r="Y57" i="1"/>
  <c r="T51" i="1"/>
  <c r="T38" i="1"/>
  <c r="V31" i="1"/>
  <c r="W18" i="1"/>
  <c r="V10" i="1"/>
  <c r="AM7" i="1"/>
  <c r="AN13" i="1"/>
  <c r="T21" i="1"/>
  <c r="V21" i="1"/>
  <c r="W21" i="1"/>
  <c r="Y21" i="1"/>
  <c r="AM95" i="1"/>
  <c r="Y91" i="1"/>
  <c r="T91" i="1"/>
  <c r="V91" i="1"/>
  <c r="X91" i="1"/>
  <c r="AN88" i="1"/>
  <c r="AN43" i="1"/>
  <c r="X57" i="1"/>
  <c r="Y50" i="1"/>
  <c r="Y37" i="1"/>
  <c r="T31" i="1"/>
  <c r="V18" i="1"/>
  <c r="T10" i="1"/>
  <c r="T45" i="1"/>
  <c r="V45" i="1"/>
  <c r="Y105" i="1"/>
  <c r="AM76" i="1"/>
  <c r="AM16" i="1"/>
  <c r="AN64" i="1"/>
  <c r="T101" i="1"/>
  <c r="V101" i="1"/>
  <c r="V85" i="1"/>
  <c r="T11" i="1"/>
  <c r="V11" i="1"/>
  <c r="AN59" i="1"/>
  <c r="AM59" i="1"/>
  <c r="V105" i="1"/>
  <c r="T41" i="1"/>
  <c r="V41" i="1"/>
  <c r="W41" i="1"/>
  <c r="X41" i="1"/>
  <c r="X94" i="1"/>
  <c r="X61" i="1"/>
  <c r="AN17" i="1"/>
  <c r="AM100" i="1"/>
  <c r="AM97" i="1"/>
  <c r="AM77" i="1"/>
  <c r="AN105" i="1"/>
  <c r="AM94" i="1"/>
  <c r="AN25" i="1"/>
  <c r="AM14" i="1"/>
  <c r="AN77" i="1"/>
  <c r="W101" i="1"/>
  <c r="W94" i="1"/>
  <c r="W57" i="1"/>
  <c r="X50" i="1"/>
  <c r="X37" i="1"/>
  <c r="X30" i="1"/>
  <c r="T18" i="1"/>
  <c r="AN82" i="1"/>
  <c r="AM71" i="1"/>
  <c r="AM48" i="1"/>
  <c r="X7" i="1"/>
  <c r="Y7" i="1"/>
  <c r="Y87" i="1"/>
  <c r="T87" i="1"/>
  <c r="V87" i="1"/>
  <c r="Y67" i="1"/>
  <c r="X67" i="1"/>
  <c r="Y47" i="1"/>
  <c r="T47" i="1"/>
  <c r="T27" i="1"/>
  <c r="V27" i="1"/>
  <c r="T7" i="1"/>
  <c r="Y93" i="1"/>
  <c r="X87" i="1"/>
  <c r="W81" i="1"/>
  <c r="V57" i="1"/>
  <c r="W50" i="1"/>
  <c r="W37" i="1"/>
  <c r="T30" i="1"/>
  <c r="Y17" i="1"/>
  <c r="AN99" i="1"/>
  <c r="AM88" i="1"/>
  <c r="AM23" i="1"/>
  <c r="T86" i="1"/>
  <c r="V86" i="1"/>
  <c r="W86" i="1"/>
  <c r="X86" i="1"/>
  <c r="T66" i="1"/>
  <c r="V66" i="1"/>
  <c r="T46" i="1"/>
  <c r="V46" i="1"/>
  <c r="X46" i="1"/>
  <c r="Y46" i="1"/>
  <c r="Y26" i="1"/>
  <c r="X26" i="1"/>
  <c r="X93" i="1"/>
  <c r="W87" i="1"/>
  <c r="V81" i="1"/>
  <c r="W75" i="1"/>
  <c r="Y36" i="1"/>
  <c r="X17" i="1"/>
  <c r="AN100" i="1"/>
  <c r="AN80" i="1"/>
  <c r="AN60" i="1"/>
  <c r="AN40" i="1"/>
  <c r="AN20" i="1"/>
  <c r="T29" i="1"/>
  <c r="V29" i="1"/>
  <c r="W29" i="1"/>
  <c r="Y69" i="1"/>
  <c r="Y60" i="1"/>
  <c r="AM106" i="1"/>
  <c r="AM86" i="1"/>
  <c r="AM66" i="1"/>
  <c r="AM46" i="1"/>
  <c r="AM26" i="1"/>
  <c r="T8" i="1"/>
  <c r="V8" i="1"/>
  <c r="W8" i="1"/>
  <c r="X8" i="1"/>
  <c r="V79" i="1"/>
  <c r="V20" i="1"/>
  <c r="AN90" i="1"/>
  <c r="AN70" i="1"/>
  <c r="AN50" i="1"/>
  <c r="AN30" i="1"/>
  <c r="AN10" i="1"/>
  <c r="T102" i="1"/>
  <c r="V102" i="1"/>
  <c r="T82" i="1"/>
  <c r="V82" i="1"/>
  <c r="T62" i="1"/>
  <c r="V62" i="1"/>
  <c r="X82" i="1"/>
  <c r="V59" i="1"/>
  <c r="X49" i="1"/>
  <c r="X39" i="1"/>
  <c r="W9" i="1"/>
  <c r="X100" i="1"/>
  <c r="X29" i="1"/>
  <c r="Y8" i="1"/>
  <c r="V12" i="1"/>
  <c r="AT87" i="5" l="1"/>
  <c r="AS79" i="5"/>
  <c r="AT48" i="5"/>
  <c r="AT37" i="5"/>
  <c r="AS48" i="5"/>
  <c r="AM79" i="5"/>
  <c r="AN65" i="5"/>
  <c r="AM104" i="5"/>
  <c r="AT7" i="5"/>
  <c r="AT55" i="5"/>
  <c r="AM61" i="5"/>
  <c r="AS51" i="5"/>
  <c r="AN96" i="5"/>
  <c r="AT68" i="5"/>
  <c r="AN62" i="5"/>
  <c r="AN40" i="5"/>
  <c r="AT50" i="5"/>
  <c r="AM57" i="5"/>
  <c r="AT63" i="5"/>
  <c r="AM11" i="5"/>
  <c r="AM38" i="5"/>
  <c r="AN95" i="5"/>
  <c r="AT51" i="5"/>
  <c r="U51" i="5" s="1"/>
  <c r="AS58" i="5"/>
  <c r="U58" i="5" s="1"/>
  <c r="AN34" i="5"/>
  <c r="AM99" i="5"/>
  <c r="S59" i="5"/>
  <c r="AN53" i="5"/>
  <c r="AM7" i="5"/>
  <c r="AN24" i="5"/>
  <c r="AT21" i="5"/>
  <c r="AM68" i="5"/>
  <c r="AN37" i="5"/>
  <c r="AT76" i="5"/>
  <c r="AM17" i="5"/>
  <c r="AT47" i="5"/>
  <c r="AS40" i="5"/>
  <c r="AM47" i="5"/>
  <c r="AN50" i="5"/>
  <c r="S50" i="5" s="1"/>
  <c r="AS68" i="5"/>
  <c r="U68" i="5" s="1"/>
  <c r="AN58" i="5"/>
  <c r="AN55" i="5"/>
  <c r="AN51" i="5"/>
  <c r="AS53" i="5"/>
  <c r="AS37" i="5"/>
  <c r="U37" i="5" s="1"/>
  <c r="AT53" i="5"/>
  <c r="AM51" i="5"/>
  <c r="AS35" i="5"/>
  <c r="U35" i="5" s="1"/>
  <c r="AM53" i="5"/>
  <c r="S53" i="5" s="1"/>
  <c r="AM48" i="5"/>
  <c r="AN38" i="5"/>
  <c r="AN102" i="5"/>
  <c r="AT24" i="5"/>
  <c r="AT38" i="5"/>
  <c r="AN93" i="5"/>
  <c r="AT97" i="5"/>
  <c r="AN21" i="5"/>
  <c r="AM12" i="5"/>
  <c r="AN86" i="5"/>
  <c r="AN91" i="5"/>
  <c r="AN75" i="5"/>
  <c r="AN106" i="5"/>
  <c r="AT41" i="5"/>
  <c r="AN18" i="5"/>
  <c r="AT27" i="5"/>
  <c r="U27" i="5" s="1"/>
  <c r="AT104" i="5"/>
  <c r="AS38" i="5"/>
  <c r="AT89" i="5"/>
  <c r="AN17" i="5"/>
  <c r="S17" i="5" s="1"/>
  <c r="AN63" i="5"/>
  <c r="AN61" i="5"/>
  <c r="S61" i="5" s="1"/>
  <c r="AT65" i="5"/>
  <c r="AT12" i="5"/>
  <c r="U12" i="5" s="1"/>
  <c r="AM50" i="5"/>
  <c r="AS50" i="5"/>
  <c r="AT57" i="5"/>
  <c r="AT14" i="5"/>
  <c r="AS99" i="5"/>
  <c r="AT11" i="5"/>
  <c r="AT34" i="5"/>
  <c r="AS84" i="5"/>
  <c r="AT102" i="5"/>
  <c r="AN60" i="5"/>
  <c r="S60" i="5" s="1"/>
  <c r="AN30" i="5"/>
  <c r="AM37" i="5"/>
  <c r="AM20" i="5"/>
  <c r="S20" i="5" s="1"/>
  <c r="AT30" i="5"/>
  <c r="AM13" i="5"/>
  <c r="AN99" i="5"/>
  <c r="AS101" i="5"/>
  <c r="AM30" i="5"/>
  <c r="AT99" i="5"/>
  <c r="AT83" i="5"/>
  <c r="AT9" i="5"/>
  <c r="AM89" i="5"/>
  <c r="AT31" i="5"/>
  <c r="AS76" i="5"/>
  <c r="U76" i="5" s="1"/>
  <c r="AM95" i="5"/>
  <c r="AS30" i="5"/>
  <c r="AS13" i="5"/>
  <c r="U13" i="5" s="1"/>
  <c r="AM40" i="5"/>
  <c r="AN7" i="5"/>
  <c r="AT28" i="5"/>
  <c r="AM69" i="5"/>
  <c r="AT91" i="5"/>
  <c r="AM18" i="5"/>
  <c r="AT94" i="5"/>
  <c r="AM81" i="5"/>
  <c r="AM28" i="5"/>
  <c r="S28" i="5" s="1"/>
  <c r="AM84" i="5"/>
  <c r="AM86" i="5"/>
  <c r="AN97" i="5"/>
  <c r="AN12" i="5"/>
  <c r="AM58" i="5"/>
  <c r="AS28" i="5"/>
  <c r="AN28" i="5"/>
  <c r="AM97" i="5"/>
  <c r="AN79" i="5"/>
  <c r="S79" i="5" s="1"/>
  <c r="AN87" i="5"/>
  <c r="AT20" i="5"/>
  <c r="AS60" i="5"/>
  <c r="AS47" i="5"/>
  <c r="AN47" i="5"/>
  <c r="AM14" i="5"/>
  <c r="AM88" i="5"/>
  <c r="AN69" i="5"/>
  <c r="AS69" i="5"/>
  <c r="AN48" i="5"/>
  <c r="AS14" i="5"/>
  <c r="U14" i="5" s="1"/>
  <c r="AS20" i="5"/>
  <c r="AN31" i="5"/>
  <c r="AN13" i="5"/>
  <c r="U98" i="5"/>
  <c r="U64" i="5"/>
  <c r="AM27" i="5"/>
  <c r="AS102" i="5"/>
  <c r="AM106" i="5"/>
  <c r="AS11" i="5"/>
  <c r="AN89" i="5"/>
  <c r="S89" i="5" s="1"/>
  <c r="AT43" i="5"/>
  <c r="U43" i="5" s="1"/>
  <c r="AS18" i="5"/>
  <c r="AN76" i="5"/>
  <c r="AM102" i="5"/>
  <c r="AN27" i="5"/>
  <c r="AM96" i="5"/>
  <c r="AS93" i="5"/>
  <c r="AM83" i="5"/>
  <c r="AS63" i="5"/>
  <c r="AS81" i="5"/>
  <c r="AS31" i="5"/>
  <c r="AT95" i="5"/>
  <c r="U95" i="5" s="1"/>
  <c r="AT79" i="5"/>
  <c r="AT93" i="5"/>
  <c r="AS7" i="5"/>
  <c r="AN14" i="5"/>
  <c r="AS83" i="5"/>
  <c r="AS45" i="5"/>
  <c r="U45" i="5" s="1"/>
  <c r="AT60" i="5"/>
  <c r="AT84" i="5"/>
  <c r="AM65" i="5"/>
  <c r="S65" i="5" s="1"/>
  <c r="AS21" i="5"/>
  <c r="AM87" i="5"/>
  <c r="AN101" i="5"/>
  <c r="S101" i="5" s="1"/>
  <c r="AM93" i="5"/>
  <c r="S93" i="5" s="1"/>
  <c r="AM62" i="5"/>
  <c r="AM55" i="5"/>
  <c r="AS57" i="5"/>
  <c r="AM24" i="5"/>
  <c r="AS24" i="5"/>
  <c r="AS106" i="5"/>
  <c r="AM41" i="5"/>
  <c r="AN43" i="5"/>
  <c r="S43" i="5" s="1"/>
  <c r="AS43" i="5"/>
  <c r="AT106" i="5"/>
  <c r="AS89" i="5"/>
  <c r="AM31" i="5"/>
  <c r="AT86" i="5"/>
  <c r="AM21" i="5"/>
  <c r="S21" i="5" s="1"/>
  <c r="AM9" i="5"/>
  <c r="AS87" i="5"/>
  <c r="U87" i="5" s="1"/>
  <c r="AT101" i="5"/>
  <c r="AS94" i="5"/>
  <c r="AN57" i="5"/>
  <c r="AS86" i="5"/>
  <c r="AS88" i="5"/>
  <c r="U88" i="5" s="1"/>
  <c r="AT81" i="5"/>
  <c r="AN84" i="5"/>
  <c r="AN45" i="5"/>
  <c r="U90" i="5"/>
  <c r="AN104" i="5"/>
  <c r="AS41" i="5"/>
  <c r="AM34" i="5"/>
  <c r="AN88" i="5"/>
  <c r="AS104" i="5"/>
  <c r="AT69" i="5"/>
  <c r="AM91" i="5"/>
  <c r="AN11" i="5"/>
  <c r="AM45" i="5"/>
  <c r="AN9" i="5"/>
  <c r="AS75" i="5"/>
  <c r="AN83" i="5"/>
  <c r="AN81" i="5"/>
  <c r="AS9" i="5"/>
  <c r="U9" i="5" s="1"/>
  <c r="AT62" i="5"/>
  <c r="U62" i="5" s="1"/>
  <c r="AS96" i="5"/>
  <c r="U96" i="5" s="1"/>
  <c r="AM75" i="5"/>
  <c r="AM63" i="5"/>
  <c r="AN68" i="5"/>
  <c r="AT61" i="5"/>
  <c r="U61" i="5" s="1"/>
  <c r="AN41" i="5"/>
  <c r="AS34" i="5"/>
  <c r="AS91" i="5"/>
  <c r="AT18" i="5"/>
  <c r="AS97" i="5"/>
  <c r="AM76" i="5"/>
  <c r="AM94" i="5"/>
  <c r="AT40" i="5"/>
  <c r="AT72" i="5"/>
  <c r="AS72" i="5"/>
  <c r="U72" i="5" s="1"/>
  <c r="AS55" i="5"/>
  <c r="AS65" i="5"/>
  <c r="AN94" i="5"/>
  <c r="AT75" i="5"/>
  <c r="AN72" i="5"/>
  <c r="S72" i="5" s="1"/>
  <c r="U25" i="5"/>
  <c r="U70" i="5"/>
  <c r="U26" i="5"/>
  <c r="S25" i="5"/>
  <c r="S85" i="5"/>
  <c r="S36" i="5"/>
  <c r="S42" i="5"/>
  <c r="U71" i="5"/>
  <c r="S16" i="5"/>
  <c r="U33" i="5"/>
  <c r="S64" i="5"/>
  <c r="S35" i="5"/>
  <c r="U48" i="5"/>
  <c r="S90" i="5"/>
  <c r="U52" i="5"/>
  <c r="S52" i="5"/>
  <c r="U16" i="5"/>
  <c r="U74" i="5"/>
  <c r="S71" i="5"/>
  <c r="U85" i="5"/>
  <c r="S74" i="5"/>
  <c r="U78" i="5"/>
  <c r="U17" i="5"/>
  <c r="S15" i="5"/>
  <c r="U36" i="5"/>
  <c r="S23" i="5"/>
  <c r="S78" i="5"/>
  <c r="U77" i="5"/>
  <c r="S77" i="5"/>
  <c r="U23" i="5"/>
  <c r="S70" i="5"/>
  <c r="U15" i="5"/>
  <c r="S19" i="5"/>
  <c r="U19" i="5"/>
  <c r="S98" i="5"/>
  <c r="S26" i="5"/>
  <c r="U59" i="5"/>
  <c r="U103" i="5"/>
  <c r="S103" i="5"/>
  <c r="U54" i="5"/>
  <c r="S54" i="5"/>
  <c r="U73" i="5"/>
  <c r="S73" i="5"/>
  <c r="U10" i="5"/>
  <c r="S10" i="5"/>
  <c r="S33" i="5"/>
  <c r="U49" i="5"/>
  <c r="S49" i="5"/>
  <c r="U100" i="5"/>
  <c r="S100" i="5"/>
  <c r="U80" i="5"/>
  <c r="S80" i="5"/>
  <c r="U8" i="5"/>
  <c r="S8" i="5"/>
  <c r="S29" i="5"/>
  <c r="U29" i="5"/>
  <c r="U56" i="5"/>
  <c r="S56" i="5"/>
  <c r="S22" i="5"/>
  <c r="U22" i="5"/>
  <c r="U46" i="5"/>
  <c r="S46" i="5"/>
  <c r="U67" i="5"/>
  <c r="U92" i="5"/>
  <c r="S92" i="5"/>
  <c r="U82" i="5"/>
  <c r="S82" i="5"/>
  <c r="U42" i="5"/>
  <c r="S67" i="5"/>
  <c r="U44" i="5"/>
  <c r="S44" i="5"/>
  <c r="S39" i="5"/>
  <c r="U39" i="5"/>
  <c r="S66" i="5"/>
  <c r="U66" i="5"/>
  <c r="S32" i="5"/>
  <c r="U32" i="5"/>
  <c r="U105" i="5"/>
  <c r="S105" i="5"/>
  <c r="U39" i="1"/>
  <c r="U26" i="1"/>
  <c r="U68" i="1"/>
  <c r="U86" i="1"/>
  <c r="U78" i="1"/>
  <c r="U99" i="1"/>
  <c r="U100" i="1"/>
  <c r="U28" i="1"/>
  <c r="U69" i="1"/>
  <c r="U84" i="1"/>
  <c r="U88" i="1"/>
  <c r="U21" i="1"/>
  <c r="U33" i="1"/>
  <c r="U10" i="1"/>
  <c r="U47" i="1"/>
  <c r="U101" i="1"/>
  <c r="U74" i="1"/>
  <c r="U93" i="1"/>
  <c r="U73" i="1"/>
  <c r="U54" i="1"/>
  <c r="U59" i="1"/>
  <c r="U94" i="1"/>
  <c r="U87" i="1"/>
  <c r="U13" i="1"/>
  <c r="U40" i="1"/>
  <c r="U29" i="1"/>
  <c r="U38" i="1"/>
  <c r="U15" i="1"/>
  <c r="U48" i="1"/>
  <c r="U67" i="1"/>
  <c r="U77" i="1"/>
  <c r="U20" i="1"/>
  <c r="U85" i="1"/>
  <c r="U27" i="1"/>
  <c r="U41" i="1"/>
  <c r="U102" i="1"/>
  <c r="U82" i="1"/>
  <c r="U53" i="1"/>
  <c r="U92" i="1"/>
  <c r="U52" i="1"/>
  <c r="U62" i="1"/>
  <c r="U14" i="1"/>
  <c r="U45" i="1"/>
  <c r="U12" i="1"/>
  <c r="S7" i="1"/>
  <c r="U7" i="1"/>
  <c r="U64" i="1"/>
  <c r="U32" i="1"/>
  <c r="S56" i="1"/>
  <c r="S29" i="1"/>
  <c r="S40" i="1"/>
  <c r="S82" i="1"/>
  <c r="S57" i="1"/>
  <c r="S9" i="1"/>
  <c r="S23" i="1"/>
  <c r="S15" i="1"/>
  <c r="S20" i="1"/>
  <c r="S16" i="1"/>
  <c r="S69" i="1"/>
  <c r="S66" i="1"/>
  <c r="S35" i="1"/>
  <c r="S106" i="1"/>
  <c r="S36" i="1"/>
  <c r="S26" i="1"/>
  <c r="S52" i="1"/>
  <c r="S75" i="1"/>
  <c r="S65" i="1"/>
  <c r="S8" i="1"/>
  <c r="S86" i="1"/>
  <c r="S18" i="1"/>
  <c r="S78" i="1"/>
  <c r="S28" i="1"/>
  <c r="S70" i="1"/>
  <c r="S32" i="1"/>
  <c r="S31" i="1"/>
  <c r="S101" i="1"/>
  <c r="S60" i="1"/>
  <c r="S64" i="1"/>
  <c r="S80" i="1"/>
  <c r="S68" i="1"/>
  <c r="S99" i="1"/>
  <c r="S41" i="1"/>
  <c r="S84" i="1"/>
  <c r="S22" i="1"/>
  <c r="S46" i="1"/>
  <c r="S61" i="1"/>
  <c r="S81" i="1"/>
  <c r="S74" i="1"/>
  <c r="S49" i="1"/>
  <c r="S21" i="1"/>
  <c r="S105" i="1"/>
  <c r="S17" i="1"/>
  <c r="S44" i="1"/>
  <c r="S92" i="1"/>
  <c r="S38" i="1"/>
  <c r="S97" i="1"/>
  <c r="S72" i="1"/>
  <c r="S89" i="1"/>
  <c r="S59" i="1"/>
  <c r="S85" i="1"/>
  <c r="S12" i="1"/>
  <c r="S95" i="1"/>
  <c r="S94" i="1"/>
  <c r="S13" i="1"/>
  <c r="S37" i="1"/>
  <c r="S11" i="1"/>
  <c r="S58" i="1"/>
  <c r="S34" i="1"/>
  <c r="S77" i="1"/>
  <c r="S76" i="1"/>
  <c r="S33" i="1"/>
  <c r="S91" i="1"/>
  <c r="S90" i="1"/>
  <c r="S54" i="1"/>
  <c r="S67" i="1"/>
  <c r="S39" i="1"/>
  <c r="S19" i="1"/>
  <c r="S42" i="1"/>
  <c r="S14" i="1"/>
  <c r="S53" i="1"/>
  <c r="S103" i="1"/>
  <c r="S100" i="1"/>
  <c r="S62" i="1"/>
  <c r="S73" i="1"/>
  <c r="S10" i="1"/>
  <c r="S93" i="1"/>
  <c r="S43" i="1"/>
  <c r="S25" i="1"/>
  <c r="S88" i="1"/>
  <c r="S30" i="1"/>
  <c r="S102" i="1"/>
  <c r="S50" i="1"/>
  <c r="S104" i="1"/>
  <c r="S55" i="1"/>
  <c r="S51" i="1"/>
  <c r="S48" i="1"/>
  <c r="S45" i="1"/>
  <c r="S71" i="1"/>
  <c r="S24" i="1"/>
  <c r="S96" i="1"/>
  <c r="S27" i="1"/>
  <c r="S87" i="1"/>
  <c r="S83" i="1"/>
  <c r="S98" i="1"/>
  <c r="S79" i="1"/>
  <c r="S47" i="1"/>
  <c r="S63" i="1"/>
  <c r="U50" i="5" l="1"/>
  <c r="S37" i="5"/>
  <c r="U79" i="5"/>
  <c r="S104" i="5"/>
  <c r="U31" i="5"/>
  <c r="S47" i="5"/>
  <c r="S18" i="5"/>
  <c r="S57" i="5"/>
  <c r="U28" i="5"/>
  <c r="U47" i="5"/>
  <c r="S40" i="5"/>
  <c r="S58" i="5"/>
  <c r="U55" i="5"/>
  <c r="S13" i="5"/>
  <c r="U7" i="5"/>
  <c r="S97" i="5"/>
  <c r="U99" i="5"/>
  <c r="U34" i="5"/>
  <c r="U41" i="5"/>
  <c r="S41" i="5"/>
  <c r="S86" i="5"/>
  <c r="S30" i="5"/>
  <c r="S38" i="5"/>
  <c r="S7" i="5"/>
  <c r="U57" i="5"/>
  <c r="U30" i="5"/>
  <c r="U38" i="5"/>
  <c r="S51" i="5"/>
  <c r="U63" i="5"/>
  <c r="S75" i="5"/>
  <c r="S55" i="5"/>
  <c r="U53" i="5"/>
  <c r="S99" i="5"/>
  <c r="S62" i="5"/>
  <c r="S96" i="5"/>
  <c r="S69" i="5"/>
  <c r="S87" i="5"/>
  <c r="U11" i="5"/>
  <c r="U40" i="5"/>
  <c r="S11" i="5"/>
  <c r="S95" i="5"/>
  <c r="S68" i="5"/>
  <c r="S24" i="5"/>
  <c r="U21" i="5"/>
  <c r="U84" i="5"/>
  <c r="U97" i="5"/>
  <c r="S34" i="5"/>
  <c r="S12" i="5"/>
  <c r="S84" i="5"/>
  <c r="S102" i="5"/>
  <c r="U65" i="5"/>
  <c r="S81" i="5"/>
  <c r="U94" i="5"/>
  <c r="U101" i="5"/>
  <c r="S48" i="5"/>
  <c r="S31" i="5"/>
  <c r="U102" i="5"/>
  <c r="U69" i="5"/>
  <c r="U104" i="5"/>
  <c r="S106" i="5"/>
  <c r="S91" i="5"/>
  <c r="U83" i="5"/>
  <c r="U89" i="5"/>
  <c r="S88" i="5"/>
  <c r="U24" i="5"/>
  <c r="S63" i="5"/>
  <c r="U91" i="5"/>
  <c r="S14" i="5"/>
  <c r="U81" i="5"/>
  <c r="U20" i="5"/>
  <c r="U60" i="5"/>
  <c r="U106" i="5"/>
  <c r="U93" i="5"/>
  <c r="S27" i="5"/>
  <c r="S9" i="5"/>
  <c r="S83" i="5"/>
  <c r="S45" i="5"/>
  <c r="U75" i="5"/>
  <c r="S76" i="5"/>
  <c r="U86" i="5"/>
  <c r="S94" i="5"/>
  <c r="U18" i="5"/>
</calcChain>
</file>

<file path=xl/sharedStrings.xml><?xml version="1.0" encoding="utf-8"?>
<sst xmlns="http://schemas.openxmlformats.org/spreadsheetml/2006/main" count="1537" uniqueCount="686">
  <si>
    <t>date</t>
  </si>
  <si>
    <t>shift</t>
  </si>
  <si>
    <t>activeClay</t>
  </si>
  <si>
    <t>compactibility</t>
  </si>
  <si>
    <t>gcs</t>
  </si>
  <si>
    <t>gfnAfs</t>
  </si>
  <si>
    <t>loi</t>
  </si>
  <si>
    <t>moisture</t>
  </si>
  <si>
    <t>permeability</t>
  </si>
  <si>
    <t>sand_metal_ratio</t>
  </si>
  <si>
    <t>core_sand_ratio</t>
  </si>
  <si>
    <t>core_metal_ratio</t>
  </si>
  <si>
    <t>bentonite_predicted_kg</t>
  </si>
  <si>
    <t>fresh silica sand_predicted_kg</t>
  </si>
  <si>
    <t>return sand_predicted_kg</t>
  </si>
  <si>
    <t>water_predicted_kg</t>
  </si>
  <si>
    <t>csi</t>
  </si>
  <si>
    <t>bentonite_predicted_kg1</t>
  </si>
  <si>
    <t>C</t>
  </si>
  <si>
    <t>A</t>
  </si>
  <si>
    <t>B</t>
  </si>
  <si>
    <t>14.54</t>
  </si>
  <si>
    <t>21.98</t>
  </si>
  <si>
    <t>20.53</t>
  </si>
  <si>
    <t>23.06</t>
  </si>
  <si>
    <t>25.63</t>
  </si>
  <si>
    <t>27.05</t>
  </si>
  <si>
    <t>18.69</t>
  </si>
  <si>
    <t>23.8</t>
  </si>
  <si>
    <t>22.32</t>
  </si>
  <si>
    <t>21.92</t>
  </si>
  <si>
    <t>25.57</t>
  </si>
  <si>
    <t>19.9</t>
  </si>
  <si>
    <t>20.94</t>
  </si>
  <si>
    <t>20.08</t>
  </si>
  <si>
    <t>26.21</t>
  </si>
  <si>
    <t>22.5</t>
  </si>
  <si>
    <t>20.15</t>
  </si>
  <si>
    <t>19.28</t>
  </si>
  <si>
    <t>18.78</t>
  </si>
  <si>
    <t>19.22</t>
  </si>
  <si>
    <t>19.5</t>
  </si>
  <si>
    <t>26.15</t>
  </si>
  <si>
    <t>24.42</t>
  </si>
  <si>
    <t>22.76</t>
  </si>
  <si>
    <t>24.32</t>
  </si>
  <si>
    <t>13.23</t>
  </si>
  <si>
    <t>13.22</t>
  </si>
  <si>
    <t>13.24</t>
  </si>
  <si>
    <t>20.8</t>
  </si>
  <si>
    <t>19.97</t>
  </si>
  <si>
    <t>25.05</t>
  </si>
  <si>
    <t>20.93</t>
  </si>
  <si>
    <t>20.73</t>
  </si>
  <si>
    <t>23.93</t>
  </si>
  <si>
    <t>15.94</t>
  </si>
  <si>
    <t>16.98</t>
  </si>
  <si>
    <t>14.35</t>
  </si>
  <si>
    <t>17.88</t>
  </si>
  <si>
    <t>13.28</t>
  </si>
  <si>
    <t>13.32</t>
  </si>
  <si>
    <t>13.34</t>
  </si>
  <si>
    <t>19.46</t>
  </si>
  <si>
    <t>14.63</t>
  </si>
  <si>
    <t>17.23</t>
  </si>
  <si>
    <t>20.3</t>
  </si>
  <si>
    <t>19.33</t>
  </si>
  <si>
    <t>23.65</t>
  </si>
  <si>
    <t>24.0</t>
  </si>
  <si>
    <t>18.51</t>
  </si>
  <si>
    <t>15.79</t>
  </si>
  <si>
    <t>14.46</t>
  </si>
  <si>
    <t>17.67</t>
  </si>
  <si>
    <t>17.02</t>
  </si>
  <si>
    <t>13.25</t>
  </si>
  <si>
    <t>13.29</t>
  </si>
  <si>
    <t>22.98</t>
  </si>
  <si>
    <t>20.59</t>
  </si>
  <si>
    <t>15.3</t>
  </si>
  <si>
    <t>17.91</t>
  </si>
  <si>
    <t>15.47</t>
  </si>
  <si>
    <t>13.33</t>
  </si>
  <si>
    <t>15.34</t>
  </si>
  <si>
    <t>20.82</t>
  </si>
  <si>
    <t>15.03</t>
  </si>
  <si>
    <t>Customer:</t>
  </si>
  <si>
    <t>Cadillac Casting, Inc.</t>
  </si>
  <si>
    <t>Foundry Line:</t>
  </si>
  <si>
    <t>Foundry Line Group:</t>
  </si>
  <si>
    <t>Group 1</t>
  </si>
  <si>
    <t>From:</t>
  </si>
  <si>
    <t>To:</t>
  </si>
  <si>
    <t>Acceptable Dev(%):</t>
  </si>
  <si>
    <t>Bentonite Dev(%):</t>
  </si>
  <si>
    <t>FSS Dev(%):</t>
  </si>
  <si>
    <t>LCA Dev(%):</t>
  </si>
  <si>
    <t>Water Dev(%):</t>
  </si>
  <si>
    <t>Date</t>
  </si>
  <si>
    <t>Shift</t>
  </si>
  <si>
    <t>Bentonite</t>
  </si>
  <si>
    <t>FSS</t>
  </si>
  <si>
    <t>Water</t>
  </si>
  <si>
    <t>Active Clay</t>
  </si>
  <si>
    <t>Compactability</t>
  </si>
  <si>
    <t>GCS</t>
  </si>
  <si>
    <t>GFN/AFS</t>
  </si>
  <si>
    <t>LOI</t>
  </si>
  <si>
    <t>Moisture</t>
  </si>
  <si>
    <t>Permeability</t>
  </si>
  <si>
    <t>Predicted</t>
  </si>
  <si>
    <t>Actual</t>
  </si>
  <si>
    <t>Dev. Actual(%)</t>
  </si>
  <si>
    <t>Dev. Optimum(%)</t>
  </si>
  <si>
    <t>Optimal</t>
  </si>
  <si>
    <t>Model(Low)</t>
  </si>
  <si>
    <t>Model(High)</t>
  </si>
  <si>
    <t>0.0</t>
  </si>
  <si>
    <t>81.18</t>
  </si>
  <si>
    <t>7.83</t>
  </si>
  <si>
    <t>37.54</t>
  </si>
  <si>
    <t>27.15</t>
  </si>
  <si>
    <t>3.44</t>
  </si>
  <si>
    <t>3.22</t>
  </si>
  <si>
    <t>157.16</t>
  </si>
  <si>
    <t>81.3</t>
  </si>
  <si>
    <t>7.58</t>
  </si>
  <si>
    <t>37.46</t>
  </si>
  <si>
    <t>26.77</t>
  </si>
  <si>
    <t>53.48</t>
  </si>
  <si>
    <t>3.38</t>
  </si>
  <si>
    <t>3.15</t>
  </si>
  <si>
    <t>155.63</t>
  </si>
  <si>
    <t>81.22</t>
  </si>
  <si>
    <t>7.73</t>
  </si>
  <si>
    <t>37.52</t>
  </si>
  <si>
    <t>27.56</t>
  </si>
  <si>
    <t>53.33</t>
  </si>
  <si>
    <t>3.4</t>
  </si>
  <si>
    <t>3.19</t>
  </si>
  <si>
    <t>156.08</t>
  </si>
  <si>
    <t>81.23</t>
  </si>
  <si>
    <t>7.5</t>
  </si>
  <si>
    <t>36.91</t>
  </si>
  <si>
    <t>27.42</t>
  </si>
  <si>
    <t>53.1</t>
  </si>
  <si>
    <t>3.34</t>
  </si>
  <si>
    <t>3.12</t>
  </si>
  <si>
    <t>155.51</t>
  </si>
  <si>
    <t>81.26</t>
  </si>
  <si>
    <t>7.39</t>
  </si>
  <si>
    <t>37.23</t>
  </si>
  <si>
    <t>26.79</t>
  </si>
  <si>
    <t>52.99</t>
  </si>
  <si>
    <t>3.3</t>
  </si>
  <si>
    <t>153.79</t>
  </si>
  <si>
    <t>7.82</t>
  </si>
  <si>
    <t>37.94</t>
  </si>
  <si>
    <t>26.86</t>
  </si>
  <si>
    <t>53.94</t>
  </si>
  <si>
    <t>3.5</t>
  </si>
  <si>
    <t>3.21</t>
  </si>
  <si>
    <t>157.25</t>
  </si>
  <si>
    <t>81.28</t>
  </si>
  <si>
    <t>7.52</t>
  </si>
  <si>
    <t>37.11</t>
  </si>
  <si>
    <t>27.21</t>
  </si>
  <si>
    <t>53.84</t>
  </si>
  <si>
    <t>3.56</t>
  </si>
  <si>
    <t>153.58</t>
  </si>
  <si>
    <t>81.32</t>
  </si>
  <si>
    <t>7.79</t>
  </si>
  <si>
    <t>38.52</t>
  </si>
  <si>
    <t>25.94</t>
  </si>
  <si>
    <t>54.82</t>
  </si>
  <si>
    <t>3.69</t>
  </si>
  <si>
    <t>3.25</t>
  </si>
  <si>
    <t>150.83</t>
  </si>
  <si>
    <t>81.36</t>
  </si>
  <si>
    <t>7.61</t>
  </si>
  <si>
    <t>37.7</t>
  </si>
  <si>
    <t>26.19</t>
  </si>
  <si>
    <t>54.66</t>
  </si>
  <si>
    <t>3.45</t>
  </si>
  <si>
    <t>146.19</t>
  </si>
  <si>
    <t>81.38</t>
  </si>
  <si>
    <t>7.69</t>
  </si>
  <si>
    <t>38.25</t>
  </si>
  <si>
    <t>25.98</t>
  </si>
  <si>
    <t>54.72</t>
  </si>
  <si>
    <t>3.51</t>
  </si>
  <si>
    <t>150.19</t>
  </si>
  <si>
    <t>81.25</t>
  </si>
  <si>
    <t>7.81</t>
  </si>
  <si>
    <t>38.17</t>
  </si>
  <si>
    <t>26.51</t>
  </si>
  <si>
    <t>3.27</t>
  </si>
  <si>
    <t>144.6</t>
  </si>
  <si>
    <t>81.33</t>
  </si>
  <si>
    <t>7.85</t>
  </si>
  <si>
    <t>38.15</t>
  </si>
  <si>
    <t>54.94</t>
  </si>
  <si>
    <t>3.6</t>
  </si>
  <si>
    <t>3.23</t>
  </si>
  <si>
    <t>147.85</t>
  </si>
  <si>
    <t>25.85</t>
  </si>
  <si>
    <t>54.86</t>
  </si>
  <si>
    <t>3.55</t>
  </si>
  <si>
    <t>3.24</t>
  </si>
  <si>
    <t>149.87</t>
  </si>
  <si>
    <t>7.91</t>
  </si>
  <si>
    <t>26.96</t>
  </si>
  <si>
    <t>54.4</t>
  </si>
  <si>
    <t>3.49</t>
  </si>
  <si>
    <t>3.2</t>
  </si>
  <si>
    <t>154.96</t>
  </si>
  <si>
    <t>7.43</t>
  </si>
  <si>
    <t>37.84</t>
  </si>
  <si>
    <t>26.3</t>
  </si>
  <si>
    <t>54.07</t>
  </si>
  <si>
    <t>3.26</t>
  </si>
  <si>
    <t>152.78</t>
  </si>
  <si>
    <t>81.35</t>
  </si>
  <si>
    <t>7.78</t>
  </si>
  <si>
    <t>37.81</t>
  </si>
  <si>
    <t>27.04</t>
  </si>
  <si>
    <t>54.35</t>
  </si>
  <si>
    <t>3.33</t>
  </si>
  <si>
    <t>3.17</t>
  </si>
  <si>
    <t>147.05</t>
  </si>
  <si>
    <t>81.27</t>
  </si>
  <si>
    <t>7.95</t>
  </si>
  <si>
    <t>37.49</t>
  </si>
  <si>
    <t>27.31</t>
  </si>
  <si>
    <t>54.77</t>
  </si>
  <si>
    <t>151.69</t>
  </si>
  <si>
    <t>37.27</t>
  </si>
  <si>
    <t>27.34</t>
  </si>
  <si>
    <t>55.15</t>
  </si>
  <si>
    <t>146.7</t>
  </si>
  <si>
    <t>7.96</t>
  </si>
  <si>
    <t>37.9</t>
  </si>
  <si>
    <t>26.45</t>
  </si>
  <si>
    <t>55.08</t>
  </si>
  <si>
    <t>3.53</t>
  </si>
  <si>
    <t>149.3</t>
  </si>
  <si>
    <t>2.19</t>
  </si>
  <si>
    <t>81.4</t>
  </si>
  <si>
    <t>8.11</t>
  </si>
  <si>
    <t>38.16</t>
  </si>
  <si>
    <t>26.03</t>
  </si>
  <si>
    <t>56.1</t>
  </si>
  <si>
    <t>151.9</t>
  </si>
  <si>
    <t>7.93</t>
  </si>
  <si>
    <t>37.62</t>
  </si>
  <si>
    <t>26.26</t>
  </si>
  <si>
    <t>3.16</t>
  </si>
  <si>
    <t>150.61</t>
  </si>
  <si>
    <t>3.14</t>
  </si>
  <si>
    <t>8.06</t>
  </si>
  <si>
    <t>25.97</t>
  </si>
  <si>
    <t>56.06</t>
  </si>
  <si>
    <t>3.66</t>
  </si>
  <si>
    <t>147.66</t>
  </si>
  <si>
    <t>8.94</t>
  </si>
  <si>
    <t>81.47</t>
  </si>
  <si>
    <t>8.26</t>
  </si>
  <si>
    <t>38.73</t>
  </si>
  <si>
    <t>25.7</t>
  </si>
  <si>
    <t>56.51</t>
  </si>
  <si>
    <t>3.82</t>
  </si>
  <si>
    <t>150.94</t>
  </si>
  <si>
    <t>6.45</t>
  </si>
  <si>
    <t>81.41</t>
  </si>
  <si>
    <t>8.15</t>
  </si>
  <si>
    <t>25.73</t>
  </si>
  <si>
    <t>56.52</t>
  </si>
  <si>
    <t>3.89</t>
  </si>
  <si>
    <t>152.23</t>
  </si>
  <si>
    <t>25.99</t>
  </si>
  <si>
    <t>3.81</t>
  </si>
  <si>
    <t>149.8</t>
  </si>
  <si>
    <t>8.98</t>
  </si>
  <si>
    <t>114.64</t>
  </si>
  <si>
    <t>8.24</t>
  </si>
  <si>
    <t>38.9</t>
  </si>
  <si>
    <t>25.41</t>
  </si>
  <si>
    <t>3.95</t>
  </si>
  <si>
    <t>150.16</t>
  </si>
  <si>
    <t>120.48</t>
  </si>
  <si>
    <t>8.2</t>
  </si>
  <si>
    <t>38.39</t>
  </si>
  <si>
    <t>3.37</t>
  </si>
  <si>
    <t>151.87</t>
  </si>
  <si>
    <t>88.32</t>
  </si>
  <si>
    <t>8.02</t>
  </si>
  <si>
    <t>25.62</t>
  </si>
  <si>
    <t>3.93</t>
  </si>
  <si>
    <t>3.32</t>
  </si>
  <si>
    <t>148.28</t>
  </si>
  <si>
    <t>87.8</t>
  </si>
  <si>
    <t>8.09</t>
  </si>
  <si>
    <t>38.53</t>
  </si>
  <si>
    <t>26.11</t>
  </si>
  <si>
    <t>3.86</t>
  </si>
  <si>
    <t>3.31</t>
  </si>
  <si>
    <t>150.66</t>
  </si>
  <si>
    <t>91.94</t>
  </si>
  <si>
    <t>8.08</t>
  </si>
  <si>
    <t>26.34</t>
  </si>
  <si>
    <t>3.84</t>
  </si>
  <si>
    <t>3.28</t>
  </si>
  <si>
    <t>152.04</t>
  </si>
  <si>
    <t>38.66</t>
  </si>
  <si>
    <t>55.66</t>
  </si>
  <si>
    <t>3.77</t>
  </si>
  <si>
    <t>3.29</t>
  </si>
  <si>
    <t>146.21</t>
  </si>
  <si>
    <t>38.94</t>
  </si>
  <si>
    <t>26.0</t>
  </si>
  <si>
    <t>55.24</t>
  </si>
  <si>
    <t>153.26</t>
  </si>
  <si>
    <t>8.05</t>
  </si>
  <si>
    <t>38.03</t>
  </si>
  <si>
    <t>26.5</t>
  </si>
  <si>
    <t>55.03</t>
  </si>
  <si>
    <t>155.65</t>
  </si>
  <si>
    <t>81.34</t>
  </si>
  <si>
    <t>7.76</t>
  </si>
  <si>
    <t>37.35</t>
  </si>
  <si>
    <t>26.59</t>
  </si>
  <si>
    <t>54.88</t>
  </si>
  <si>
    <t>147.59</t>
  </si>
  <si>
    <t>81.31</t>
  </si>
  <si>
    <t>38.42</t>
  </si>
  <si>
    <t>26.38</t>
  </si>
  <si>
    <t>3.62</t>
  </si>
  <si>
    <t>151.73</t>
  </si>
  <si>
    <t>7.92</t>
  </si>
  <si>
    <t>38.64</t>
  </si>
  <si>
    <t>25.48</t>
  </si>
  <si>
    <t>55.0</t>
  </si>
  <si>
    <t>3.54</t>
  </si>
  <si>
    <t>151.81</t>
  </si>
  <si>
    <t>84.15</t>
  </si>
  <si>
    <t>37.74</t>
  </si>
  <si>
    <t>27.27</t>
  </si>
  <si>
    <t>53.74</t>
  </si>
  <si>
    <t>3.61</t>
  </si>
  <si>
    <t>153.56</t>
  </si>
  <si>
    <t>81.65</t>
  </si>
  <si>
    <t>37.75</t>
  </si>
  <si>
    <t>26.92</t>
  </si>
  <si>
    <t>53.67</t>
  </si>
  <si>
    <t>3.59</t>
  </si>
  <si>
    <t>151.37</t>
  </si>
  <si>
    <t>89.08</t>
  </si>
  <si>
    <t>38.13</t>
  </si>
  <si>
    <t>26.85</t>
  </si>
  <si>
    <t>55.09</t>
  </si>
  <si>
    <t>3.76</t>
  </si>
  <si>
    <t>149.11</t>
  </si>
  <si>
    <t>37.4</t>
  </si>
  <si>
    <t>26.68</t>
  </si>
  <si>
    <t>54.74</t>
  </si>
  <si>
    <t>145.52</t>
  </si>
  <si>
    <t>37.66</t>
  </si>
  <si>
    <t>54.81</t>
  </si>
  <si>
    <t>145.65</t>
  </si>
  <si>
    <t>7.74</t>
  </si>
  <si>
    <t>25.92</t>
  </si>
  <si>
    <t>54.6</t>
  </si>
  <si>
    <t>149.56</t>
  </si>
  <si>
    <t>7.75</t>
  </si>
  <si>
    <t>38.48</t>
  </si>
  <si>
    <t>54.58</t>
  </si>
  <si>
    <t>3.36</t>
  </si>
  <si>
    <t>150.75</t>
  </si>
  <si>
    <t>26.41</t>
  </si>
  <si>
    <t>146.67</t>
  </si>
  <si>
    <t>7.89</t>
  </si>
  <si>
    <t>38.55</t>
  </si>
  <si>
    <t>145.86</t>
  </si>
  <si>
    <t>38.14</t>
  </si>
  <si>
    <t>26.13</t>
  </si>
  <si>
    <t>3.57</t>
  </si>
  <si>
    <t>147.18</t>
  </si>
  <si>
    <t>81.2</t>
  </si>
  <si>
    <t>55.19</t>
  </si>
  <si>
    <t>3.72</t>
  </si>
  <si>
    <t>3.35</t>
  </si>
  <si>
    <t>148.61</t>
  </si>
  <si>
    <t>8.0</t>
  </si>
  <si>
    <t>38.38</t>
  </si>
  <si>
    <t>26.61</t>
  </si>
  <si>
    <t>3.74</t>
  </si>
  <si>
    <t>146.01</t>
  </si>
  <si>
    <t>7.99</t>
  </si>
  <si>
    <t>37.95</t>
  </si>
  <si>
    <t>26.74</t>
  </si>
  <si>
    <t>3.7</t>
  </si>
  <si>
    <t>147.77</t>
  </si>
  <si>
    <t>37.86</t>
  </si>
  <si>
    <t>26.16</t>
  </si>
  <si>
    <t>54.89</t>
  </si>
  <si>
    <t>155.37</t>
  </si>
  <si>
    <t>3.64</t>
  </si>
  <si>
    <t>101.48</t>
  </si>
  <si>
    <t>8.19</t>
  </si>
  <si>
    <t>38.51</t>
  </si>
  <si>
    <t>26.46</t>
  </si>
  <si>
    <t>54.9</t>
  </si>
  <si>
    <t>152.37</t>
  </si>
  <si>
    <t>120.27</t>
  </si>
  <si>
    <t>38.09</t>
  </si>
  <si>
    <t>3.85</t>
  </si>
  <si>
    <t>147.27</t>
  </si>
  <si>
    <t>0.48</t>
  </si>
  <si>
    <t>120.28</t>
  </si>
  <si>
    <t>8.36</t>
  </si>
  <si>
    <t>39.15</t>
  </si>
  <si>
    <t>25.0</t>
  </si>
  <si>
    <t>54.87</t>
  </si>
  <si>
    <t>3.98</t>
  </si>
  <si>
    <t>3.47</t>
  </si>
  <si>
    <t>149.76</t>
  </si>
  <si>
    <t>8.31</t>
  </si>
  <si>
    <t>37.55</t>
  </si>
  <si>
    <t>26.82</t>
  </si>
  <si>
    <t>54.64</t>
  </si>
  <si>
    <t>137.97</t>
  </si>
  <si>
    <t>8.44</t>
  </si>
  <si>
    <t>38.33</t>
  </si>
  <si>
    <t>25.86</t>
  </si>
  <si>
    <t>54.59</t>
  </si>
  <si>
    <t>4.21</t>
  </si>
  <si>
    <t>144.46</t>
  </si>
  <si>
    <t>8.3</t>
  </si>
  <si>
    <t>25.78</t>
  </si>
  <si>
    <t>54.57</t>
  </si>
  <si>
    <t>4.1</t>
  </si>
  <si>
    <t>3.41</t>
  </si>
  <si>
    <t>145.67</t>
  </si>
  <si>
    <t>38.82</t>
  </si>
  <si>
    <t>25.67</t>
  </si>
  <si>
    <t>4.13</t>
  </si>
  <si>
    <t>144.07</t>
  </si>
  <si>
    <t>38.29</t>
  </si>
  <si>
    <t>3.42</t>
  </si>
  <si>
    <t>144.1</t>
  </si>
  <si>
    <t>8.1</t>
  </si>
  <si>
    <t>37.91</t>
  </si>
  <si>
    <t>25.71</t>
  </si>
  <si>
    <t>56.62</t>
  </si>
  <si>
    <t>4.04</t>
  </si>
  <si>
    <t>140.93</t>
  </si>
  <si>
    <t>0.28</t>
  </si>
  <si>
    <t>8.13</t>
  </si>
  <si>
    <t>56.26</t>
  </si>
  <si>
    <t>144.19</t>
  </si>
  <si>
    <t>7.8</t>
  </si>
  <si>
    <t>37.99</t>
  </si>
  <si>
    <t>26.04</t>
  </si>
  <si>
    <t>55.88</t>
  </si>
  <si>
    <t>3.88</t>
  </si>
  <si>
    <t>143.64</t>
  </si>
  <si>
    <t>7.9</t>
  </si>
  <si>
    <t>38.78</t>
  </si>
  <si>
    <t>25.3</t>
  </si>
  <si>
    <t>55.71</t>
  </si>
  <si>
    <t>3.75</t>
  </si>
  <si>
    <t>148.75</t>
  </si>
  <si>
    <t>0.96</t>
  </si>
  <si>
    <t>8.12</t>
  </si>
  <si>
    <t>38.8</t>
  </si>
  <si>
    <t>55.77</t>
  </si>
  <si>
    <t>145.32</t>
  </si>
  <si>
    <t>38.36</t>
  </si>
  <si>
    <t>55.61</t>
  </si>
  <si>
    <t>3.8</t>
  </si>
  <si>
    <t>149.58</t>
  </si>
  <si>
    <t>39.03</t>
  </si>
  <si>
    <t>25.31</t>
  </si>
  <si>
    <t>55.52</t>
  </si>
  <si>
    <t>149.4</t>
  </si>
  <si>
    <t>6.05</t>
  </si>
  <si>
    <t>87.88</t>
  </si>
  <si>
    <t>8.14</t>
  </si>
  <si>
    <t>39.28</t>
  </si>
  <si>
    <t>25.58</t>
  </si>
  <si>
    <t>56.01</t>
  </si>
  <si>
    <t>147.61</t>
  </si>
  <si>
    <t>26.53</t>
  </si>
  <si>
    <t>55.8</t>
  </si>
  <si>
    <t>145.14</t>
  </si>
  <si>
    <t>1.05</t>
  </si>
  <si>
    <t>8.07</t>
  </si>
  <si>
    <t>38.96</t>
  </si>
  <si>
    <t>55.87</t>
  </si>
  <si>
    <t>108.02</t>
  </si>
  <si>
    <t>38.74</t>
  </si>
  <si>
    <t>55.73</t>
  </si>
  <si>
    <t>147.71</t>
  </si>
  <si>
    <t>6.0</t>
  </si>
  <si>
    <t>103.58</t>
  </si>
  <si>
    <t>39.0</t>
  </si>
  <si>
    <t>26.12</t>
  </si>
  <si>
    <t>55.53</t>
  </si>
  <si>
    <t>146.24</t>
  </si>
  <si>
    <t>38.05</t>
  </si>
  <si>
    <t>26.52</t>
  </si>
  <si>
    <t>55.43</t>
  </si>
  <si>
    <t>3.79</t>
  </si>
  <si>
    <t>142.18</t>
  </si>
  <si>
    <t>7.98</t>
  </si>
  <si>
    <t>27.1</t>
  </si>
  <si>
    <t>55.69</t>
  </si>
  <si>
    <t>3.71</t>
  </si>
  <si>
    <t>141.39</t>
  </si>
  <si>
    <t>38.85</t>
  </si>
  <si>
    <t>25.56</t>
  </si>
  <si>
    <t>55.47</t>
  </si>
  <si>
    <t>147.15</t>
  </si>
  <si>
    <t>39.01</t>
  </si>
  <si>
    <t>26.23</t>
  </si>
  <si>
    <t>55.22</t>
  </si>
  <si>
    <t>149.04</t>
  </si>
  <si>
    <t>92.31</t>
  </si>
  <si>
    <t>27.11</t>
  </si>
  <si>
    <t>55.28</t>
  </si>
  <si>
    <t>146.46</t>
  </si>
  <si>
    <t>82.75</t>
  </si>
  <si>
    <t>26.24</t>
  </si>
  <si>
    <t>55.12</t>
  </si>
  <si>
    <t>149.63</t>
  </si>
  <si>
    <t>2.69</t>
  </si>
  <si>
    <t>120.33</t>
  </si>
  <si>
    <t>38.5</t>
  </si>
  <si>
    <t>55.86</t>
  </si>
  <si>
    <t>142.49</t>
  </si>
  <si>
    <t>37.79</t>
  </si>
  <si>
    <t>26.65</t>
  </si>
  <si>
    <t>55.25</t>
  </si>
  <si>
    <t>143.33</t>
  </si>
  <si>
    <t>95.15</t>
  </si>
  <si>
    <t>38.72</t>
  </si>
  <si>
    <t>25.6</t>
  </si>
  <si>
    <t>55.07</t>
  </si>
  <si>
    <t>146.98</t>
  </si>
  <si>
    <t>111.37</t>
  </si>
  <si>
    <t>38.34</t>
  </si>
  <si>
    <t>26.44</t>
  </si>
  <si>
    <t>54.83</t>
  </si>
  <si>
    <t>3.83</t>
  </si>
  <si>
    <t>142.34</t>
  </si>
  <si>
    <t>4.31</t>
  </si>
  <si>
    <t>25.89</t>
  </si>
  <si>
    <t>150.12</t>
  </si>
  <si>
    <t>1.17</t>
  </si>
  <si>
    <t>39.09</t>
  </si>
  <si>
    <t>25.09</t>
  </si>
  <si>
    <t>148.01</t>
  </si>
  <si>
    <t>7.94</t>
  </si>
  <si>
    <t>105.12</t>
  </si>
  <si>
    <t>39.08</t>
  </si>
  <si>
    <t>26.05</t>
  </si>
  <si>
    <t>55.74</t>
  </si>
  <si>
    <t>3.87</t>
  </si>
  <si>
    <t>147.75</t>
  </si>
  <si>
    <t>38.4</t>
  </si>
  <si>
    <t>143.41</t>
  </si>
  <si>
    <t>38.75</t>
  </si>
  <si>
    <t>26.07</t>
  </si>
  <si>
    <t>148.87</t>
  </si>
  <si>
    <t>81.24</t>
  </si>
  <si>
    <t>39.47</t>
  </si>
  <si>
    <t>147.88</t>
  </si>
  <si>
    <t>113.39</t>
  </si>
  <si>
    <t>8.01</t>
  </si>
  <si>
    <t>38.26</t>
  </si>
  <si>
    <t>26.56</t>
  </si>
  <si>
    <t>55.7</t>
  </si>
  <si>
    <t>0.46</t>
  </si>
  <si>
    <t>103.26</t>
  </si>
  <si>
    <t>39.21</t>
  </si>
  <si>
    <t>25.23</t>
  </si>
  <si>
    <t>3.91</t>
  </si>
  <si>
    <t>146.11</t>
  </si>
  <si>
    <t>8.4</t>
  </si>
  <si>
    <t>39.02</t>
  </si>
  <si>
    <t>4.06</t>
  </si>
  <si>
    <t>138.69</t>
  </si>
  <si>
    <t>6.82</t>
  </si>
  <si>
    <t>120.43</t>
  </si>
  <si>
    <t>8.41</t>
  </si>
  <si>
    <t>38.6</t>
  </si>
  <si>
    <t>25.79</t>
  </si>
  <si>
    <t>56.37</t>
  </si>
  <si>
    <t>4.32</t>
  </si>
  <si>
    <t>141.27</t>
  </si>
  <si>
    <t>0.19</t>
  </si>
  <si>
    <t>39.11</t>
  </si>
  <si>
    <t>25.28</t>
  </si>
  <si>
    <t>4.11</t>
  </si>
  <si>
    <t>3.43</t>
  </si>
  <si>
    <t>143.08</t>
  </si>
  <si>
    <t>7.12</t>
  </si>
  <si>
    <t>56.97</t>
  </si>
  <si>
    <t>4.15</t>
  </si>
  <si>
    <t>140.58</t>
  </si>
  <si>
    <t>119.0</t>
  </si>
  <si>
    <t>38.58</t>
  </si>
  <si>
    <t>25.44</t>
  </si>
  <si>
    <t>57.32</t>
  </si>
  <si>
    <t>144.25</t>
  </si>
  <si>
    <t>1.52</t>
  </si>
  <si>
    <t>109.63</t>
  </si>
  <si>
    <t>39.41</t>
  </si>
  <si>
    <t>24.47</t>
  </si>
  <si>
    <t>57.24</t>
  </si>
  <si>
    <t>142.74</t>
  </si>
  <si>
    <t>120.39</t>
  </si>
  <si>
    <t>26.14</t>
  </si>
  <si>
    <t>56.19</t>
  </si>
  <si>
    <t>3.39</t>
  </si>
  <si>
    <t>141.21</t>
  </si>
  <si>
    <t>8.45</t>
  </si>
  <si>
    <t>38.7</t>
  </si>
  <si>
    <t>26.2</t>
  </si>
  <si>
    <t>4.14</t>
  </si>
  <si>
    <t>146.87</t>
  </si>
  <si>
    <t>8.48</t>
  </si>
  <si>
    <t>39.77</t>
  </si>
  <si>
    <t>24.18</t>
  </si>
  <si>
    <t>4.23</t>
  </si>
  <si>
    <t>3.52</t>
  </si>
  <si>
    <t>53.83</t>
  </si>
  <si>
    <t>141.2</t>
  </si>
  <si>
    <t>106.06</t>
  </si>
  <si>
    <t>37.73</t>
  </si>
  <si>
    <t>27.16</t>
  </si>
  <si>
    <t>53.79</t>
  </si>
  <si>
    <t>143.8</t>
  </si>
  <si>
    <t>RMSE</t>
  </si>
  <si>
    <t>Std. Dev</t>
  </si>
  <si>
    <t>Target Values</t>
  </si>
  <si>
    <t>Coefficient</t>
  </si>
  <si>
    <t>Weight</t>
  </si>
  <si>
    <t>CORE</t>
  </si>
  <si>
    <t>Mean</t>
  </si>
  <si>
    <t>SMR</t>
  </si>
  <si>
    <t>Offet</t>
  </si>
  <si>
    <t>COEFF</t>
  </si>
  <si>
    <t>Coeff</t>
  </si>
  <si>
    <t>Final Prediction</t>
  </si>
  <si>
    <t>Actual Bentonite</t>
  </si>
  <si>
    <t xml:space="preserve">Actual MB CLAY </t>
  </si>
  <si>
    <t>Actual GCS</t>
  </si>
  <si>
    <t>ACTUAL MOISTURE</t>
  </si>
  <si>
    <t>ACTUAL LOI</t>
  </si>
  <si>
    <t>PK-1</t>
  </si>
  <si>
    <t>RK-1</t>
  </si>
  <si>
    <t>AK</t>
  </si>
  <si>
    <t>New Sand (lbs)</t>
  </si>
  <si>
    <t>new sand coefficient</t>
  </si>
  <si>
    <t>45533B</t>
  </si>
  <si>
    <t>45533A</t>
  </si>
  <si>
    <t>45532B</t>
  </si>
  <si>
    <t>45532A</t>
  </si>
  <si>
    <t>45531B</t>
  </si>
  <si>
    <t>45531A</t>
  </si>
  <si>
    <t>45530B</t>
  </si>
  <si>
    <t>45530A</t>
  </si>
  <si>
    <t>45526B</t>
  </si>
  <si>
    <t>45526A</t>
  </si>
  <si>
    <t>45525B</t>
  </si>
  <si>
    <t>45525A</t>
  </si>
  <si>
    <t>45524B</t>
  </si>
  <si>
    <t>45524A</t>
  </si>
  <si>
    <t>45523B</t>
  </si>
  <si>
    <t>45523A</t>
  </si>
  <si>
    <t>45520B</t>
  </si>
  <si>
    <t>45520A</t>
  </si>
  <si>
    <t>ACTUAL Prediction</t>
  </si>
  <si>
    <t>Current ACTUAL ADDItion</t>
  </si>
  <si>
    <t>Mean Model</t>
  </si>
  <si>
    <t>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</si>
</sst>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name val="Calibri"/>
    </font>
    <font>
      <sz val="11"/>
      <color rgb="FFFF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7DC6F"/>
      </patternFill>
    </fill>
    <fill>
      <patternFill patternType="solid">
        <fgColor rgb="FFF89BAF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38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2" fontId="0" fillId="0" borderId="0" xfId="0" applyNumberFormat="1"/>
    <xf numFmtId="0" fontId="2" fillId="0" borderId="0" xfId="1" applyFill="1" applyBorder="1" applyAlignment="1">
      <alignment horizontal="center"/>
    </xf>
    <xf numFmtId="0" fontId="2" fillId="0" borderId="0" xfId="1"/>
    <xf numFmtId="14" fontId="3" fillId="0" borderId="0" xfId="1" applyNumberFormat="1" applyFont="1"/>
    <xf numFmtId="14" fontId="2" fillId="0" borderId="0" xfId="1" applyNumberFormat="1" applyAlignment="1">
      <alignment horizontal="left"/>
    </xf>
    <xf numFmtId="0" fontId="2" fillId="2" borderId="0" xfId="1" applyFill="1" applyAlignment="1">
      <alignment wrapText="1"/>
    </xf>
    <xf numFmtId="0" fontId="2" fillId="0" borderId="0" xfId="1" applyAlignment="1">
      <alignment wrapText="1"/>
    </xf>
    <xf numFmtId="0" fontId="2" fillId="3" borderId="0" xfId="1" applyFill="1"/>
    <xf numFmtId="0" fontId="4" fillId="3" borderId="0" xfId="1" applyFont="1" applyFill="1"/>
    <xf numFmtId="0" fontId="4" fillId="0" borderId="0" xfId="1" applyFont="1"/>
    <xf numFmtId="0" fontId="2" fillId="0" borderId="0" xfId="1"/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1" xfId="0" applyNumberFormat="1" applyBorder="1"/>
    <xf numFmtId="0" fontId="0" fillId="0" borderId="2" xfId="0" applyBorder="1" applyAlignment="1">
      <alignment horizontal="center"/>
    </xf>
    <xf numFmtId="0" fontId="1" fillId="4" borderId="3" xfId="0" applyFont="1" applyFill="1" applyBorder="1"/>
    <xf numFmtId="14" fontId="1" fillId="0" borderId="0" xfId="0" applyNumberFormat="1" applyFont="1"/>
    <xf numFmtId="14" fontId="1" fillId="0" borderId="3" xfId="0" applyNumberFormat="1" applyFont="1" applyBorder="1"/>
    <xf numFmtId="2" fontId="0" fillId="5" borderId="1" xfId="0" applyNumberFormat="1" applyFill="1" applyBorder="1"/>
    <xf numFmtId="14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  <xf numFmtId="2" fontId="0" fillId="6" borderId="1" xfId="0" applyNumberFormat="1" applyFill="1" applyBorder="1"/>
    <xf numFmtId="0" fontId="0" fillId="6" borderId="0" xfId="0" applyFill="1"/>
    <xf numFmtId="2" fontId="0" fillId="6" borderId="0" xfId="0" applyNumberFormat="1" applyFill="1"/>
    <xf numFmtId="0" fontId="1" fillId="0" borderId="0" xfId="0" applyFont="1" applyFill="1" applyBorder="1" applyAlignment="1">
      <alignment horizontal="center" vertical="center"/>
    </xf>
    <xf numFmtId="2" fontId="0" fillId="0" borderId="0" xfId="0" applyNumberFormat="1" applyBorder="1"/>
    <xf numFmtId="2" fontId="0" fillId="6" borderId="0" xfId="0" applyNumberFormat="1" applyFill="1" applyBorder="1"/>
    <xf numFmtId="2" fontId="0" fillId="7" borderId="1" xfId="0" applyNumberFormat="1" applyFill="1" applyBorder="1"/>
    <xf numFmtId="2" fontId="0" fillId="8" borderId="1" xfId="0" applyNumberFormat="1" applyFill="1" applyBorder="1"/>
    <xf numFmtId="2" fontId="0" fillId="0" borderId="1" xfId="0" applyNumberFormat="1" applyFill="1" applyBorder="1"/>
  </cellXfs>
  <cellStyles count="2">
    <cellStyle name="Normal" xfId="0" builtinId="0"/>
    <cellStyle name="Normal 2" xfId="1" xr:uid="{F5969930-9EA7-40CA-9312-6178B0DC249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06"/>
  <sheetViews>
    <sheetView workbookViewId="0">
      <pane ySplit="6" topLeftCell="A8" activePane="bottomLeft" state="frozen"/>
      <selection pane="bottomLeft" sqref="A1:XFD1048576"/>
    </sheetView>
  </sheetViews>
  <sheetFormatPr defaultRowHeight="14.4" x14ac:dyDescent="0.3"/>
  <cols>
    <col min="1" max="1" width="10.33203125" style="1" bestFit="1" customWidth="1"/>
    <col min="2" max="2" width="12.77734375" bestFit="1" customWidth="1"/>
    <col min="3" max="3" width="9.6640625" bestFit="1" customWidth="1"/>
    <col min="4" max="4" width="13.33203125" bestFit="1" customWidth="1"/>
    <col min="5" max="5" width="6" bestFit="1" customWidth="1"/>
    <col min="6" max="6" width="6.5546875" bestFit="1" customWidth="1"/>
    <col min="7" max="7" width="5" bestFit="1" customWidth="1"/>
    <col min="8" max="8" width="8.77734375" bestFit="1" customWidth="1"/>
    <col min="9" max="9" width="12.109375" bestFit="1" customWidth="1"/>
    <col min="10" max="10" width="16.109375" bestFit="1" customWidth="1"/>
    <col min="11" max="11" width="14.88671875" bestFit="1" customWidth="1"/>
    <col min="12" max="12" width="15.77734375" bestFit="1" customWidth="1"/>
    <col min="13" max="13" width="22.21875" bestFit="1" customWidth="1"/>
    <col min="14" max="14" width="27.33203125" bestFit="1" customWidth="1"/>
    <col min="15" max="15" width="23.44140625" bestFit="1" customWidth="1"/>
    <col min="16" max="16" width="18.44140625" bestFit="1" customWidth="1"/>
    <col min="17" max="17" width="10" bestFit="1" customWidth="1"/>
    <col min="18" max="18" width="23.21875" bestFit="1" customWidth="1"/>
    <col min="19" max="19" width="14.5546875" bestFit="1" customWidth="1"/>
    <col min="20" max="21" width="19.44140625" customWidth="1"/>
    <col min="22" max="22" width="15" bestFit="1" customWidth="1"/>
    <col min="23" max="23" width="10.21875" bestFit="1" customWidth="1"/>
    <col min="24" max="24" width="17.6640625" bestFit="1" customWidth="1"/>
    <col min="25" max="25" width="11" bestFit="1" customWidth="1"/>
    <col min="26" max="26" width="17.33203125" customWidth="1"/>
    <col min="27" max="27" width="20.5546875" customWidth="1"/>
    <col min="29" max="29" width="12.6640625" bestFit="1" customWidth="1"/>
    <col min="30" max="30" width="13.33203125" bestFit="1" customWidth="1"/>
    <col min="31" max="32" width="12.6640625" bestFit="1" customWidth="1"/>
    <col min="33" max="33" width="6.6640625" bestFit="1" customWidth="1"/>
    <col min="34" max="34" width="12.6640625" bestFit="1" customWidth="1"/>
    <col min="35" max="35" width="12.109375" bestFit="1" customWidth="1"/>
    <col min="36" max="36" width="12.6640625" bestFit="1" customWidth="1"/>
    <col min="37" max="37" width="16.109375" bestFit="1" customWidth="1"/>
    <col min="39" max="40" width="5.5546875" bestFit="1" customWidth="1"/>
  </cols>
  <sheetData>
    <row r="1" spans="1:46" x14ac:dyDescent="0.3">
      <c r="B1" t="s">
        <v>644</v>
      </c>
      <c r="C1">
        <v>8.15</v>
      </c>
      <c r="D1">
        <v>38.78</v>
      </c>
      <c r="E1">
        <v>26.21</v>
      </c>
      <c r="F1">
        <v>55.07</v>
      </c>
      <c r="G1">
        <v>3.81</v>
      </c>
      <c r="H1">
        <v>3.4</v>
      </c>
      <c r="I1">
        <v>152.22999999999999</v>
      </c>
      <c r="K1" t="s">
        <v>647</v>
      </c>
      <c r="L1" t="s">
        <v>648</v>
      </c>
      <c r="M1">
        <v>16520.68</v>
      </c>
      <c r="O1" t="s">
        <v>649</v>
      </c>
      <c r="P1" t="s">
        <v>648</v>
      </c>
      <c r="Q1">
        <v>9.23</v>
      </c>
      <c r="S1" t="s">
        <v>650</v>
      </c>
      <c r="T1">
        <v>-3</v>
      </c>
      <c r="W1" t="s">
        <v>663</v>
      </c>
      <c r="X1">
        <v>8000</v>
      </c>
      <c r="Z1" t="s">
        <v>648</v>
      </c>
      <c r="AA1">
        <v>20</v>
      </c>
    </row>
    <row r="2" spans="1:46" x14ac:dyDescent="0.3">
      <c r="B2" t="s">
        <v>645</v>
      </c>
      <c r="C2">
        <v>0.5</v>
      </c>
      <c r="D2">
        <v>9999</v>
      </c>
      <c r="E2">
        <v>0.6</v>
      </c>
      <c r="F2">
        <v>2.9000000000000001E-2</v>
      </c>
      <c r="G2">
        <v>0.1</v>
      </c>
      <c r="H2">
        <v>-0.01</v>
      </c>
      <c r="I2">
        <v>9999</v>
      </c>
      <c r="L2" t="s">
        <v>651</v>
      </c>
      <c r="M2">
        <v>8000</v>
      </c>
      <c r="P2" t="s">
        <v>652</v>
      </c>
      <c r="Q2">
        <v>-0.5</v>
      </c>
    </row>
    <row r="3" spans="1:46" x14ac:dyDescent="0.3">
      <c r="B3" t="s">
        <v>646</v>
      </c>
      <c r="C3">
        <v>0.1</v>
      </c>
      <c r="D3">
        <v>0</v>
      </c>
      <c r="E3">
        <v>0.5</v>
      </c>
      <c r="F3">
        <v>0.05</v>
      </c>
      <c r="G3">
        <v>0.3</v>
      </c>
      <c r="H3">
        <v>0.05</v>
      </c>
      <c r="I3">
        <v>0</v>
      </c>
    </row>
    <row r="5" spans="1:46" x14ac:dyDescent="0.3">
      <c r="C5" s="21" t="s">
        <v>659</v>
      </c>
      <c r="D5" s="21"/>
      <c r="E5" s="21"/>
      <c r="F5" s="21"/>
      <c r="G5" s="21"/>
      <c r="H5" s="21"/>
      <c r="I5" s="21"/>
      <c r="J5" s="21" t="s">
        <v>660</v>
      </c>
      <c r="K5" s="21"/>
      <c r="L5" s="21"/>
      <c r="M5" s="21" t="s">
        <v>661</v>
      </c>
      <c r="N5" s="21"/>
      <c r="O5" s="21"/>
      <c r="P5" s="21"/>
      <c r="Q5" s="21"/>
      <c r="R5" s="21"/>
    </row>
    <row r="6" spans="1:46" x14ac:dyDescent="0.3">
      <c r="A6" s="14" t="s">
        <v>0</v>
      </c>
      <c r="B6" s="15" t="s">
        <v>1</v>
      </c>
      <c r="C6" s="15" t="s">
        <v>2</v>
      </c>
      <c r="D6" s="15" t="s">
        <v>3</v>
      </c>
      <c r="E6" s="15" t="s">
        <v>4</v>
      </c>
      <c r="F6" s="15" t="s">
        <v>5</v>
      </c>
      <c r="G6" s="15" t="s">
        <v>6</v>
      </c>
      <c r="H6" s="15" t="s">
        <v>7</v>
      </c>
      <c r="I6" s="15" t="s">
        <v>8</v>
      </c>
      <c r="J6" s="15" t="s">
        <v>9</v>
      </c>
      <c r="K6" s="15" t="s">
        <v>10</v>
      </c>
      <c r="L6" s="15" t="s">
        <v>11</v>
      </c>
      <c r="M6" s="15" t="s">
        <v>12</v>
      </c>
      <c r="N6" s="15" t="s">
        <v>13</v>
      </c>
      <c r="O6" s="15" t="s">
        <v>14</v>
      </c>
      <c r="P6" s="15" t="s">
        <v>15</v>
      </c>
      <c r="Q6" s="15" t="s">
        <v>16</v>
      </c>
      <c r="R6" s="15" t="s">
        <v>17</v>
      </c>
      <c r="S6" s="16" t="s">
        <v>653</v>
      </c>
      <c r="T6" s="16" t="s">
        <v>654</v>
      </c>
      <c r="U6" s="16" t="s">
        <v>684</v>
      </c>
      <c r="V6" s="16" t="s">
        <v>655</v>
      </c>
      <c r="W6" s="16" t="s">
        <v>656</v>
      </c>
      <c r="X6" s="16" t="s">
        <v>657</v>
      </c>
      <c r="Y6" s="16" t="s">
        <v>658</v>
      </c>
      <c r="Z6" s="32" t="s">
        <v>682</v>
      </c>
      <c r="AA6" s="32" t="s">
        <v>683</v>
      </c>
      <c r="AC6" s="15" t="s">
        <v>2</v>
      </c>
      <c r="AD6" s="15" t="s">
        <v>3</v>
      </c>
      <c r="AE6" s="15" t="s">
        <v>4</v>
      </c>
      <c r="AF6" s="15" t="s">
        <v>5</v>
      </c>
      <c r="AG6" s="15" t="s">
        <v>6</v>
      </c>
      <c r="AH6" s="15" t="s">
        <v>7</v>
      </c>
      <c r="AI6" s="15" t="s">
        <v>8</v>
      </c>
      <c r="AJ6" s="15" t="s">
        <v>16</v>
      </c>
      <c r="AK6" s="15" t="s">
        <v>9</v>
      </c>
    </row>
    <row r="7" spans="1:46" x14ac:dyDescent="0.3">
      <c r="A7" s="17">
        <v>45482</v>
      </c>
      <c r="B7" s="18" t="s">
        <v>18</v>
      </c>
      <c r="C7" s="19">
        <v>8.3249999999999993</v>
      </c>
      <c r="D7" s="19">
        <v>39.25</v>
      </c>
      <c r="E7" s="19">
        <v>28.024999999999999</v>
      </c>
      <c r="F7" s="19">
        <v>53.43</v>
      </c>
      <c r="G7" s="19">
        <v>3.39</v>
      </c>
      <c r="H7" s="19">
        <v>3.2574999999999998</v>
      </c>
      <c r="I7" s="19">
        <v>159.5</v>
      </c>
      <c r="J7" s="19">
        <v>9.5057959973738289</v>
      </c>
      <c r="K7" s="19">
        <v>3.4359706063204539E-3</v>
      </c>
      <c r="L7" s="19">
        <v>3.2661635636655098E-2</v>
      </c>
      <c r="M7" s="19">
        <v>14.526165180549221</v>
      </c>
      <c r="N7" s="19">
        <v>2.580747374307516E-3</v>
      </c>
      <c r="O7" s="19">
        <v>5225</v>
      </c>
      <c r="P7" s="19">
        <v>81.182942716588485</v>
      </c>
      <c r="Q7" s="19">
        <v>7080.32</v>
      </c>
      <c r="R7" s="19">
        <v>18.187665809254462</v>
      </c>
      <c r="S7" s="20">
        <f>SUM(AM7:AN7)/2+(AQ7/$X$1)</f>
        <v>10.208321289249842</v>
      </c>
      <c r="T7" s="20">
        <f>VLOOKUP(AP7,ggg,3,0)</f>
        <v>9.36</v>
      </c>
      <c r="U7" s="20">
        <f>AVERAGE(AS7:AT7)+(AQ7/$X$1)</f>
        <v>15.682156108700623</v>
      </c>
      <c r="V7" s="20">
        <f>VLOOKUP(AP7,ggg,12,0)</f>
        <v>8.01</v>
      </c>
      <c r="W7" s="20">
        <f>VLOOKUP(AP7,ggg,20,0)</f>
        <v>27.06</v>
      </c>
      <c r="X7" s="20">
        <f>VLOOKUP(AP7,ggg,32,0)</f>
        <v>3.19</v>
      </c>
      <c r="Y7" s="20">
        <f>VLOOKUP(AP7,ggg,28,0)</f>
        <v>3.39</v>
      </c>
      <c r="Z7" s="33"/>
      <c r="AA7" s="33"/>
      <c r="AC7">
        <f>C$3*(C$1-C7)/C$2</f>
        <v>-3.4999999999999788E-2</v>
      </c>
      <c r="AD7">
        <f>D$3*(D$1-D7)/D$2</f>
        <v>0</v>
      </c>
      <c r="AE7">
        <f>E$3*(E$1-E7)/E$2</f>
        <v>-1.5124999999999982</v>
      </c>
      <c r="AF7">
        <f>F$3*(F$1-F7)/F$2</f>
        <v>2.8275862068965525</v>
      </c>
      <c r="AG7">
        <f>G$3*(G$1-G7)/G$2</f>
        <v>1.2599999999999996</v>
      </c>
      <c r="AH7">
        <f>H$3*(H$1-H7)/H$2</f>
        <v>-0.71250000000000036</v>
      </c>
      <c r="AI7">
        <f>I$3*(I$1-I7)/I$2</f>
        <v>0</v>
      </c>
      <c r="AJ7">
        <f>(Q7-$M$1)/$M$2</f>
        <v>-1.180045</v>
      </c>
      <c r="AK7">
        <f>(J7-$Q$1)/$Q$2</f>
        <v>-0.55159199474765686</v>
      </c>
      <c r="AM7" s="3">
        <f>SUM(AC7:AK7)+M7+$T$1</f>
        <v>11.622114392698117</v>
      </c>
      <c r="AN7" s="3">
        <f>SUM(AC7:AK7)+M7+$T$1-AF7-AI7</f>
        <v>8.794528185801564</v>
      </c>
      <c r="AP7" t="str">
        <f>A7&amp;B7</f>
        <v>45482C</v>
      </c>
      <c r="AQ7">
        <f>VLOOKUP(AP7,kut,4,0)</f>
        <v>0</v>
      </c>
      <c r="AS7" s="3">
        <f>SUM(AC7:AK7)+$AA$1+$T$1</f>
        <v>17.095949212148899</v>
      </c>
      <c r="AT7" s="3">
        <f>SUM(AC7:AK7)+$AA$1+$T$1-AF7-AI7</f>
        <v>14.268363005252347</v>
      </c>
    </row>
    <row r="8" spans="1:46" x14ac:dyDescent="0.3">
      <c r="A8" s="17">
        <v>45483</v>
      </c>
      <c r="B8" s="18" t="s">
        <v>19</v>
      </c>
      <c r="C8" s="19">
        <v>8.0124999999999993</v>
      </c>
      <c r="D8" s="19">
        <v>39.142857142857153</v>
      </c>
      <c r="E8" s="19">
        <v>27.055714285714281</v>
      </c>
      <c r="F8" s="19">
        <v>53.43</v>
      </c>
      <c r="G8" s="19">
        <v>3.39</v>
      </c>
      <c r="H8" s="19">
        <v>3.1857142857142859</v>
      </c>
      <c r="I8" s="19">
        <v>162</v>
      </c>
      <c r="J8" s="19">
        <v>9.1392026566565576</v>
      </c>
      <c r="K8" s="19">
        <v>1.064085855552236E-2</v>
      </c>
      <c r="L8" s="19">
        <v>9.7248962779736631E-2</v>
      </c>
      <c r="M8" s="19">
        <v>22.034216698896451</v>
      </c>
      <c r="N8" s="19">
        <v>2.5844764792093398E-3</v>
      </c>
      <c r="O8" s="19">
        <v>5225</v>
      </c>
      <c r="P8" s="19">
        <v>81.299275008337332</v>
      </c>
      <c r="Q8" s="19">
        <v>31557.572</v>
      </c>
      <c r="R8" s="19">
        <v>25.09731308533247</v>
      </c>
      <c r="S8" s="20">
        <f>SUM(AM8:AN8)/2 + (AQ8/$X$1)</f>
        <v>22.020525512841139</v>
      </c>
      <c r="T8" s="20">
        <f>VLOOKUP(AP8,ggg,3,0)</f>
        <v>18.86</v>
      </c>
      <c r="U8" s="20">
        <f t="shared" ref="U8:U71" si="0">AVERAGE(AS8:AT8)+(AQ8/$X$1)</f>
        <v>19.986308813944689</v>
      </c>
      <c r="V8" s="20">
        <f>VLOOKUP(AP8,ggg,12,0)</f>
        <v>7.7</v>
      </c>
      <c r="W8" s="20">
        <f>VLOOKUP(AP8,ggg,20,0)</f>
        <v>27.87</v>
      </c>
      <c r="X8" s="20">
        <f>VLOOKUP(AP8,ggg,32,0)</f>
        <v>3.09</v>
      </c>
      <c r="Y8" s="20">
        <f>VLOOKUP(AP8,ggg,28,0)</f>
        <v>3.46</v>
      </c>
      <c r="Z8" s="33"/>
      <c r="AA8" s="33"/>
      <c r="AC8">
        <f>C$3*(C$1-C8)/C$2</f>
        <v>2.7500000000000215E-2</v>
      </c>
      <c r="AD8">
        <f>D$3*(D$1-D8)/D$2</f>
        <v>0</v>
      </c>
      <c r="AE8">
        <f>E$3*(E$1-E8)/E$2</f>
        <v>-0.70476190476189993</v>
      </c>
      <c r="AF8">
        <f>F$3*(F$1-F8)/F$2</f>
        <v>2.8275862068965525</v>
      </c>
      <c r="AG8">
        <f>G$3*(G$1-G8)/G$2</f>
        <v>1.2599999999999996</v>
      </c>
      <c r="AH8">
        <f>H$3*(H$1-H8)/H$2</f>
        <v>-1.0714285714285698</v>
      </c>
      <c r="AI8">
        <f>I$3*(I$1-I8)/I$2</f>
        <v>0</v>
      </c>
      <c r="AJ8">
        <f>(Q8-$M$1)/$M$2</f>
        <v>1.8796115</v>
      </c>
      <c r="AK8">
        <f>(J8-$Q$1)/$Q$2</f>
        <v>0.18159468668688561</v>
      </c>
      <c r="AM8" s="3">
        <f>SUM(AC8:AK8)+M8+$T$1</f>
        <v>23.434318616289417</v>
      </c>
      <c r="AN8" s="3">
        <f>SUM(AC8:AK8)+M8+$T$1-AF8-AI8</f>
        <v>20.606732409392865</v>
      </c>
      <c r="AP8" t="str">
        <f>A8&amp;B8</f>
        <v>45483A</v>
      </c>
      <c r="AQ8">
        <f>VLOOKUP(AP8,kut,4,0)</f>
        <v>0</v>
      </c>
      <c r="AS8" s="3">
        <f t="shared" ref="AS8:AS71" si="1">SUM(AC8:AK8)+$AA$1+$T$1</f>
        <v>21.400101917392966</v>
      </c>
      <c r="AT8" s="3">
        <f t="shared" ref="AT8:AT71" si="2">SUM(AC8:AK8)+$AA$1+$T$1-AF8-AI8</f>
        <v>18.572515710496415</v>
      </c>
    </row>
    <row r="9" spans="1:46" x14ac:dyDescent="0.3">
      <c r="A9" s="17">
        <v>45483</v>
      </c>
      <c r="B9" s="18" t="s">
        <v>20</v>
      </c>
      <c r="C9" s="19">
        <v>7.8840000000000003</v>
      </c>
      <c r="D9" s="19">
        <v>37</v>
      </c>
      <c r="E9" s="19">
        <v>27.354285714285709</v>
      </c>
      <c r="F9" s="19">
        <v>52.86</v>
      </c>
      <c r="G9" s="19">
        <v>3.46</v>
      </c>
      <c r="H9" s="19">
        <v>3.12</v>
      </c>
      <c r="I9" s="19">
        <v>156.85714285714289</v>
      </c>
      <c r="J9" s="19">
        <v>10.320365921681191</v>
      </c>
      <c r="K9" s="19">
        <v>2.0592134810471568E-3</v>
      </c>
      <c r="L9" s="19">
        <v>2.1251836635265569E-2</v>
      </c>
      <c r="M9" s="19">
        <v>16.870876016591112</v>
      </c>
      <c r="N9" s="19">
        <v>2.5819919904163909E-3</v>
      </c>
      <c r="O9" s="19">
        <v>5225</v>
      </c>
      <c r="P9" s="19">
        <v>81.219274615221437</v>
      </c>
      <c r="Q9" s="19">
        <v>7208.8928000000014</v>
      </c>
      <c r="R9" s="19">
        <v>23.06830027462232</v>
      </c>
      <c r="S9" s="20">
        <f>SUM(AM9:AN9)/2 + (AQ9/$X$1)</f>
        <v>11.180971758450415</v>
      </c>
      <c r="T9" s="20">
        <f>VLOOKUP(AP9,ggg,3,0)</f>
        <v>14.89</v>
      </c>
      <c r="U9" s="20">
        <f t="shared" si="0"/>
        <v>14.310095741859303</v>
      </c>
      <c r="V9" s="20">
        <f>VLOOKUP(AP9,ggg,12,0)</f>
        <v>8.15</v>
      </c>
      <c r="W9" s="20">
        <f>VLOOKUP(AP9,ggg,20,0)</f>
        <v>28.77</v>
      </c>
      <c r="X9" s="20">
        <f>VLOOKUP(AP9,ggg,32,0)</f>
        <v>3.09</v>
      </c>
      <c r="Y9" s="20">
        <f>VLOOKUP(AP9,ggg,28,0)</f>
        <v>3.46</v>
      </c>
      <c r="Z9" s="33"/>
      <c r="AA9" s="33"/>
      <c r="AC9">
        <f>C$3*(C$1-C9)/C$2</f>
        <v>5.3200000000000004E-2</v>
      </c>
      <c r="AD9">
        <f>D$3*(D$1-D9)/D$2</f>
        <v>0</v>
      </c>
      <c r="AE9">
        <f>E$3*(E$1-E9)/E$2</f>
        <v>-0.9535714285714233</v>
      </c>
      <c r="AF9">
        <f>F$3*(F$1-F9)/F$2</f>
        <v>3.8103448275862082</v>
      </c>
      <c r="AG9">
        <f>G$3*(G$1-G9)/G$2</f>
        <v>1.0500000000000003</v>
      </c>
      <c r="AH9">
        <f>H$3*(H$1-H9)/H$2</f>
        <v>-1.399999999999999</v>
      </c>
      <c r="AI9">
        <f>I$3*(I$1-I9)/I$2</f>
        <v>0</v>
      </c>
      <c r="AJ9">
        <f>(Q9-$M$1)/$M$2</f>
        <v>-1.1639733999999999</v>
      </c>
      <c r="AK9">
        <f>(J9-$Q$1)/$Q$2</f>
        <v>-2.1807318433623806</v>
      </c>
      <c r="AM9" s="3">
        <f>SUM(AC9:AK9)+M9+$T$1</f>
        <v>13.086144172243518</v>
      </c>
      <c r="AN9" s="3">
        <f>SUM(AC9:AK9)+M9+$T$1-AF9-AI9</f>
        <v>9.2757993446573099</v>
      </c>
      <c r="AP9" t="str">
        <f>A9&amp;B9</f>
        <v>45483B</v>
      </c>
      <c r="AQ9">
        <f>VLOOKUP(AP9,kut,4,0)</f>
        <v>0</v>
      </c>
      <c r="AS9" s="3">
        <f t="shared" si="1"/>
        <v>16.215268155652407</v>
      </c>
      <c r="AT9" s="3">
        <f t="shared" si="2"/>
        <v>12.404923328066198</v>
      </c>
    </row>
    <row r="10" spans="1:46" x14ac:dyDescent="0.3">
      <c r="A10" s="17">
        <v>45483</v>
      </c>
      <c r="B10" s="18" t="s">
        <v>18</v>
      </c>
      <c r="C10" s="19">
        <v>8.1</v>
      </c>
      <c r="D10" s="19">
        <v>37.799999999999997</v>
      </c>
      <c r="E10" s="19">
        <v>28.24</v>
      </c>
      <c r="F10" s="19">
        <v>52.86</v>
      </c>
      <c r="G10" s="19">
        <v>3.46</v>
      </c>
      <c r="H10" s="19">
        <v>3.14</v>
      </c>
      <c r="I10" s="19">
        <v>161</v>
      </c>
      <c r="J10" s="19">
        <v>8.960527790515382</v>
      </c>
      <c r="K10" s="19">
        <v>7.0080871723806459E-3</v>
      </c>
      <c r="L10" s="19">
        <v>6.2796159866471149E-2</v>
      </c>
      <c r="M10" s="19">
        <v>17.720283664734321</v>
      </c>
      <c r="N10" s="19">
        <v>2.582367365817558E-3</v>
      </c>
      <c r="O10" s="19">
        <v>5225</v>
      </c>
      <c r="P10" s="19">
        <v>81.232434681998512</v>
      </c>
      <c r="Q10" s="19">
        <v>18022.0936</v>
      </c>
      <c r="R10" s="19">
        <v>22.911433097549281</v>
      </c>
      <c r="S10" s="20">
        <f>SUM(AM10:AN10)/2 + (AQ10/$X$1)</f>
        <v>15.420410530830001</v>
      </c>
      <c r="T10" s="20">
        <f>VLOOKUP(AP10,ggg,3,0)</f>
        <v>25.15</v>
      </c>
      <c r="U10" s="20">
        <f t="shared" si="0"/>
        <v>17.70012686609568</v>
      </c>
      <c r="V10" s="20">
        <f>VLOOKUP(AP10,ggg,12,0)</f>
        <v>8.1</v>
      </c>
      <c r="W10" s="20">
        <f>VLOOKUP(AP10,ggg,20,0)</f>
        <v>27.5</v>
      </c>
      <c r="X10" s="20">
        <f>VLOOKUP(AP10,ggg,32,0)</f>
        <v>3.1</v>
      </c>
      <c r="Y10" s="20">
        <f>VLOOKUP(AP10,ggg,28,0)</f>
        <v>3.46</v>
      </c>
      <c r="Z10" s="33"/>
      <c r="AA10" s="33"/>
      <c r="AC10">
        <f>C$3*(C$1-C10)/C$2</f>
        <v>1.0000000000000142E-2</v>
      </c>
      <c r="AD10">
        <f>D$3*(D$1-D10)/D$2</f>
        <v>0</v>
      </c>
      <c r="AE10">
        <f>E$3*(E$1-E10)/E$2</f>
        <v>-1.6916666666666647</v>
      </c>
      <c r="AF10">
        <f>F$3*(F$1-F10)/F$2</f>
        <v>3.8103448275862082</v>
      </c>
      <c r="AG10">
        <f>G$3*(G$1-G10)/G$2</f>
        <v>1.0500000000000003</v>
      </c>
      <c r="AH10">
        <f>H$3*(H$1-H10)/H$2</f>
        <v>-1.2999999999999992</v>
      </c>
      <c r="AI10">
        <f>I$3*(I$1-I10)/I$2</f>
        <v>0</v>
      </c>
      <c r="AJ10">
        <f>(Q10-$M$1)/$M$2</f>
        <v>0.18767669999999997</v>
      </c>
      <c r="AK10">
        <f>(J10-$Q$1)/$Q$2</f>
        <v>0.53894441896923695</v>
      </c>
      <c r="AM10" s="3">
        <f>SUM(AC10:AK10)+M10+$T$1</f>
        <v>17.325582944623104</v>
      </c>
      <c r="AN10" s="3">
        <f>SUM(AC10:AK10)+M10+$T$1-AF10-AI10</f>
        <v>13.515238117036896</v>
      </c>
      <c r="AP10" t="str">
        <f>A10&amp;B10</f>
        <v>45483C</v>
      </c>
      <c r="AQ10">
        <f>VLOOKUP(AP10,kut,4,0)</f>
        <v>0</v>
      </c>
      <c r="AS10" s="3">
        <f t="shared" si="1"/>
        <v>19.605299279888783</v>
      </c>
      <c r="AT10" s="3">
        <f t="shared" si="2"/>
        <v>15.794954452302575</v>
      </c>
    </row>
    <row r="11" spans="1:46" x14ac:dyDescent="0.3">
      <c r="A11" s="17">
        <v>45484</v>
      </c>
      <c r="B11" s="18" t="s">
        <v>19</v>
      </c>
      <c r="C11" s="19">
        <v>8.1</v>
      </c>
      <c r="D11" s="19">
        <v>37.799999999999997</v>
      </c>
      <c r="E11" s="19">
        <v>27.501999999999999</v>
      </c>
      <c r="F11" s="19">
        <v>52.86</v>
      </c>
      <c r="G11" s="19">
        <v>3.46</v>
      </c>
      <c r="H11" s="19">
        <v>3.0960000000000001</v>
      </c>
      <c r="I11" s="19">
        <v>159.19999999999999</v>
      </c>
      <c r="J11" s="19">
        <v>6.7853767553115869</v>
      </c>
      <c r="K11" s="19">
        <v>7.8541630090998207E-3</v>
      </c>
      <c r="L11" s="19">
        <v>5.3293455114374028E-2</v>
      </c>
      <c r="M11" s="19">
        <v>19.585711823137199</v>
      </c>
      <c r="N11" s="19">
        <v>2.5832692855588292E-3</v>
      </c>
      <c r="O11" s="19">
        <v>5225</v>
      </c>
      <c r="P11" s="19">
        <v>81.261337163156</v>
      </c>
      <c r="Q11" s="19">
        <v>21866.438399999999</v>
      </c>
      <c r="R11" s="19">
        <v>25.218904492423881</v>
      </c>
      <c r="S11" s="20">
        <f>SUM(AM11:AN11)/2 + (AQ11/$X$1)</f>
        <v>22.511683859640463</v>
      </c>
      <c r="T11" s="20">
        <f>VLOOKUP(AP11,ggg,3,0)</f>
        <v>19.14</v>
      </c>
      <c r="U11" s="20">
        <f t="shared" si="0"/>
        <v>22.925972036503268</v>
      </c>
      <c r="V11" s="20">
        <f>VLOOKUP(AP11,ggg,12,0)</f>
        <v>7.9</v>
      </c>
      <c r="W11" s="20">
        <f>VLOOKUP(AP11,ggg,20,0)</f>
        <v>27.42</v>
      </c>
      <c r="X11" s="20">
        <f>VLOOKUP(AP11,ggg,32,0)</f>
        <v>3.19</v>
      </c>
      <c r="Y11" s="20">
        <f>VLOOKUP(AP11,ggg,28,0)</f>
        <v>3.55</v>
      </c>
      <c r="Z11" s="33"/>
      <c r="AA11" s="33"/>
      <c r="AC11">
        <f>C$3*(C$1-C11)/C$2</f>
        <v>1.0000000000000142E-2</v>
      </c>
      <c r="AD11">
        <f>D$3*(D$1-D11)/D$2</f>
        <v>0</v>
      </c>
      <c r="AE11">
        <f>E$3*(E$1-E11)/E$2</f>
        <v>-1.0766666666666651</v>
      </c>
      <c r="AF11">
        <f>F$3*(F$1-F11)/F$2</f>
        <v>3.8103448275862082</v>
      </c>
      <c r="AG11">
        <f>G$3*(G$1-G11)/G$2</f>
        <v>1.0500000000000003</v>
      </c>
      <c r="AH11">
        <f>H$3*(H$1-H11)/H$2</f>
        <v>-1.5199999999999991</v>
      </c>
      <c r="AI11">
        <f>I$3*(I$1-I11)/I$2</f>
        <v>0</v>
      </c>
      <c r="AJ11">
        <f>(Q11-$M$1)/$M$2</f>
        <v>0.66821979999999981</v>
      </c>
      <c r="AK11">
        <f>(J11-$Q$1)/$Q$2</f>
        <v>4.889246489376827</v>
      </c>
      <c r="AM11" s="3">
        <f>SUM(AC11:AK11)+M11+$T$1</f>
        <v>24.41685627343357</v>
      </c>
      <c r="AN11" s="3">
        <f>SUM(AC11:AK11)+M11+$T$1-AF11-AI11</f>
        <v>20.60651144584736</v>
      </c>
      <c r="AP11" t="str">
        <f>A11&amp;B11</f>
        <v>45484A</v>
      </c>
      <c r="AQ11">
        <f>VLOOKUP(AP11,kut,4,0)</f>
        <v>0</v>
      </c>
      <c r="AS11" s="3">
        <f t="shared" si="1"/>
        <v>24.831144450296371</v>
      </c>
      <c r="AT11" s="3">
        <f t="shared" si="2"/>
        <v>21.020799622710165</v>
      </c>
    </row>
    <row r="12" spans="1:46" x14ac:dyDescent="0.3">
      <c r="A12" s="17">
        <v>45484</v>
      </c>
      <c r="B12" s="18" t="s">
        <v>20</v>
      </c>
      <c r="C12" s="19">
        <v>7.9060000000000006</v>
      </c>
      <c r="D12" s="19">
        <v>37.571428571428569</v>
      </c>
      <c r="E12" s="19">
        <v>26.97428571428571</v>
      </c>
      <c r="F12" s="19">
        <v>53.72</v>
      </c>
      <c r="G12" s="19">
        <v>3.55</v>
      </c>
      <c r="H12" s="19">
        <v>3.1742857142857139</v>
      </c>
      <c r="I12" s="19">
        <v>159.57142857142861</v>
      </c>
      <c r="J12" s="19">
        <v>9.9460168771347597</v>
      </c>
      <c r="K12" s="19">
        <v>3.2073731084661908E-3</v>
      </c>
      <c r="L12" s="19">
        <v>3.1900587068072923E-2</v>
      </c>
      <c r="M12" s="19">
        <v>19.611418320725871</v>
      </c>
      <c r="N12" s="19">
        <v>2.5833098446853748E-3</v>
      </c>
      <c r="O12" s="19">
        <v>5225</v>
      </c>
      <c r="P12" s="19">
        <v>81.261736026029297</v>
      </c>
      <c r="Q12" s="19">
        <v>11044.2024</v>
      </c>
      <c r="R12" s="19">
        <v>22.300800176206138</v>
      </c>
      <c r="S12" s="20">
        <f>SUM(AM12:AN12)/2 + (AQ12/$X$1)</f>
        <v>14.721941779428441</v>
      </c>
      <c r="T12" s="20">
        <f>VLOOKUP(AP12,ggg,3,0)</f>
        <v>25.01</v>
      </c>
      <c r="U12" s="20">
        <f t="shared" si="0"/>
        <v>15.11052345870257</v>
      </c>
      <c r="V12" s="20">
        <f>VLOOKUP(AP12,ggg,12,0)</f>
        <v>8.0399999999999991</v>
      </c>
      <c r="W12" s="20">
        <f>VLOOKUP(AP12,ggg,20,0)</f>
        <v>28.07</v>
      </c>
      <c r="X12" s="20">
        <f>VLOOKUP(AP12,ggg,32,0)</f>
        <v>3.2</v>
      </c>
      <c r="Y12" s="20">
        <f>VLOOKUP(AP12,ggg,28,0)</f>
        <v>3.79</v>
      </c>
      <c r="Z12" s="33"/>
      <c r="AA12" s="33"/>
      <c r="AC12">
        <f>C$3*(C$1-C12)/C$2</f>
        <v>4.8799999999999955E-2</v>
      </c>
      <c r="AD12">
        <f>D$3*(D$1-D12)/D$2</f>
        <v>0</v>
      </c>
      <c r="AE12">
        <f>E$3*(E$1-E12)/E$2</f>
        <v>-0.63690476190475742</v>
      </c>
      <c r="AF12">
        <f>F$3*(F$1-F12)/F$2</f>
        <v>2.3275862068965543</v>
      </c>
      <c r="AG12">
        <f>G$3*(G$1-G12)/G$2</f>
        <v>0.78000000000000069</v>
      </c>
      <c r="AH12">
        <f>H$3*(H$1-H12)/H$2</f>
        <v>-1.1285714285714299</v>
      </c>
      <c r="AI12">
        <f>I$3*(I$1-I12)/I$2</f>
        <v>0</v>
      </c>
      <c r="AJ12">
        <f>(Q12-$M$1)/$M$2</f>
        <v>-0.68455969999999999</v>
      </c>
      <c r="AK12">
        <f>(J12-$Q$1)/$Q$2</f>
        <v>-1.4320337542695185</v>
      </c>
      <c r="AM12" s="3">
        <f>SUM(AC12:AK12)+M12+$T$1</f>
        <v>15.885734882876719</v>
      </c>
      <c r="AN12" s="3">
        <f>SUM(AC12:AK12)+M12+$T$1-AF12-AI12</f>
        <v>13.558148675980163</v>
      </c>
      <c r="AP12" t="str">
        <f>A12&amp;B12</f>
        <v>45484B</v>
      </c>
      <c r="AQ12">
        <f>VLOOKUP(AP12,kut,4,0)</f>
        <v>0</v>
      </c>
      <c r="AS12" s="3">
        <f t="shared" si="1"/>
        <v>16.274316562150847</v>
      </c>
      <c r="AT12" s="3">
        <f t="shared" si="2"/>
        <v>13.946730355254292</v>
      </c>
    </row>
    <row r="13" spans="1:46" x14ac:dyDescent="0.3">
      <c r="A13" s="17">
        <v>45485</v>
      </c>
      <c r="B13" s="18" t="s">
        <v>19</v>
      </c>
      <c r="C13" s="19">
        <v>7.8925000000000001</v>
      </c>
      <c r="D13" s="19">
        <v>36.714285714285722</v>
      </c>
      <c r="E13" s="19">
        <v>27.657142857142851</v>
      </c>
      <c r="F13" s="19">
        <v>53.72</v>
      </c>
      <c r="G13" s="19">
        <v>3.79</v>
      </c>
      <c r="H13" s="19">
        <v>3.1542857142857139</v>
      </c>
      <c r="I13" s="19">
        <v>160.57142857142861</v>
      </c>
      <c r="J13" s="19">
        <v>9.9827546635485174</v>
      </c>
      <c r="K13" s="19">
        <v>9.8590096329269194E-3</v>
      </c>
      <c r="L13" s="19">
        <v>9.8420074391070964E-2</v>
      </c>
      <c r="M13" s="19">
        <v>20.422821780614431</v>
      </c>
      <c r="N13" s="19">
        <v>2.5836768576897391E-3</v>
      </c>
      <c r="O13" s="19">
        <v>5225</v>
      </c>
      <c r="P13" s="19">
        <v>81.274309318580833</v>
      </c>
      <c r="Q13" s="19">
        <v>32739.054400000001</v>
      </c>
      <c r="R13" s="19">
        <v>22.869696237841069</v>
      </c>
      <c r="S13" s="20">
        <f>SUM(AM13:AN13)/2 + (AQ13/$X$1)</f>
        <v>16.785378547441869</v>
      </c>
      <c r="T13" s="20"/>
      <c r="U13" s="20">
        <f t="shared" si="0"/>
        <v>16.362556766827439</v>
      </c>
      <c r="V13" s="20"/>
      <c r="W13" s="20"/>
      <c r="X13" s="20"/>
      <c r="Y13" s="20"/>
      <c r="Z13" s="33"/>
      <c r="AA13" s="33"/>
      <c r="AC13">
        <f>C$3*(C$1-C13)/C$2</f>
        <v>5.150000000000006E-2</v>
      </c>
      <c r="AD13">
        <f>D$3*(D$1-D13)/D$2</f>
        <v>0</v>
      </c>
      <c r="AE13">
        <f>E$3*(E$1-E13)/E$2</f>
        <v>-1.2059523809523753</v>
      </c>
      <c r="AF13">
        <f>F$3*(F$1-F13)/F$2</f>
        <v>2.3275862068965543</v>
      </c>
      <c r="AG13">
        <f>G$3*(G$1-G13)/G$2</f>
        <v>6.0000000000000053E-2</v>
      </c>
      <c r="AH13">
        <f>H$3*(H$1-H13)/H$2</f>
        <v>-1.22857142857143</v>
      </c>
      <c r="AI13">
        <f>I$3*(I$1-I13)/I$2</f>
        <v>0</v>
      </c>
      <c r="AJ13">
        <f>(Q13-$M$1)/$M$2</f>
        <v>2.0272968000000002</v>
      </c>
      <c r="AK13">
        <f>(J13-$Q$1)/$Q$2</f>
        <v>-1.5055093270970339</v>
      </c>
      <c r="AM13" s="3">
        <f>SUM(AC13:AK13)+M13+$T$1</f>
        <v>17.949171650890147</v>
      </c>
      <c r="AN13" s="3">
        <f>SUM(AC13:AK13)+M13+$T$1-AF13-AI13</f>
        <v>15.621585443993592</v>
      </c>
      <c r="AP13" t="str">
        <f>A13&amp;B13</f>
        <v>45485A</v>
      </c>
      <c r="AQ13">
        <f>VLOOKUP(AP13,kut,4,0)</f>
        <v>0</v>
      </c>
      <c r="AS13" s="3">
        <f t="shared" si="1"/>
        <v>17.526349870275716</v>
      </c>
      <c r="AT13" s="3">
        <f t="shared" si="2"/>
        <v>15.198763663379161</v>
      </c>
    </row>
    <row r="14" spans="1:46" x14ac:dyDescent="0.3">
      <c r="A14" s="17">
        <v>45485</v>
      </c>
      <c r="B14" s="18" t="s">
        <v>20</v>
      </c>
      <c r="C14" s="19">
        <v>7.793333333333333</v>
      </c>
      <c r="D14" s="19">
        <v>38.375</v>
      </c>
      <c r="E14" s="19">
        <v>26.5975</v>
      </c>
      <c r="F14" s="19">
        <v>54.92</v>
      </c>
      <c r="G14" s="19">
        <v>3.74</v>
      </c>
      <c r="H14" s="19">
        <v>3.24</v>
      </c>
      <c r="I14" s="19">
        <v>153.42857142857139</v>
      </c>
      <c r="J14" s="19">
        <v>8.3235450673399551</v>
      </c>
      <c r="K14" s="19">
        <v>3.9509594894873712E-3</v>
      </c>
      <c r="L14" s="19">
        <v>3.2885989369982598E-2</v>
      </c>
      <c r="M14" s="19">
        <v>23.014759107448679</v>
      </c>
      <c r="N14" s="19">
        <v>2.584960857389127E-3</v>
      </c>
      <c r="O14" s="19">
        <v>5225</v>
      </c>
      <c r="P14" s="19">
        <v>81.314467998376443</v>
      </c>
      <c r="Q14" s="19">
        <v>14247.888800000001</v>
      </c>
      <c r="R14" s="19">
        <v>23.220656765705101</v>
      </c>
      <c r="S14" s="20">
        <f>SUM(AM14:AN14)/2 + (AQ14/$X$1)</f>
        <v>20.831297084263021</v>
      </c>
      <c r="T14" s="20">
        <f>VLOOKUP(AP14,ggg,3,0)</f>
        <v>23.78</v>
      </c>
      <c r="U14" s="20">
        <f t="shared" si="0"/>
        <v>17.816537976814345</v>
      </c>
      <c r="V14" s="20">
        <f>VLOOKUP(AP14,ggg,12,0)</f>
        <v>7.82</v>
      </c>
      <c r="W14" s="20">
        <f>VLOOKUP(AP14,ggg,20,0)</f>
        <v>27.24</v>
      </c>
      <c r="X14" s="20">
        <f>VLOOKUP(AP14,ggg,32,0)</f>
        <v>3.08</v>
      </c>
      <c r="Y14" s="20">
        <f>VLOOKUP(AP14,ggg,28,0)</f>
        <v>3.51</v>
      </c>
      <c r="Z14" s="33"/>
      <c r="AA14" s="33"/>
      <c r="AC14">
        <f>C$3*(C$1-C14)/C$2</f>
        <v>7.1333333333333471E-2</v>
      </c>
      <c r="AD14">
        <f>D$3*(D$1-D14)/D$2</f>
        <v>0</v>
      </c>
      <c r="AE14">
        <f>E$3*(E$1-E14)/E$2</f>
        <v>-0.32291666666666607</v>
      </c>
      <c r="AF14">
        <f>F$3*(F$1-F14)/F$2</f>
        <v>0.25862068965516999</v>
      </c>
      <c r="AG14">
        <f>G$3*(G$1-G14)/G$2</f>
        <v>0.20999999999999952</v>
      </c>
      <c r="AH14">
        <f>H$3*(H$1-H14)/H$2</f>
        <v>-0.79999999999999849</v>
      </c>
      <c r="AI14">
        <f>I$3*(I$1-I14)/I$2</f>
        <v>0</v>
      </c>
      <c r="AJ14">
        <f>(Q14-$M$1)/$M$2</f>
        <v>-0.28409889999999993</v>
      </c>
      <c r="AK14">
        <f>(J14-$Q$1)/$Q$2</f>
        <v>1.8129098653200906</v>
      </c>
      <c r="AM14" s="3">
        <f>SUM(AC14:AK14)+M14+$T$1</f>
        <v>20.960607429090608</v>
      </c>
      <c r="AN14" s="3">
        <f>SUM(AC14:AK14)+M14+$T$1-AF14-AI14</f>
        <v>20.701986739435437</v>
      </c>
      <c r="AP14" t="str">
        <f>A14&amp;B14</f>
        <v>45485B</v>
      </c>
      <c r="AQ14">
        <f>VLOOKUP(AP14,kut,4,0)</f>
        <v>0</v>
      </c>
      <c r="AS14" s="3">
        <f t="shared" si="1"/>
        <v>17.945848321641929</v>
      </c>
      <c r="AT14" s="3">
        <f t="shared" si="2"/>
        <v>17.687227631986758</v>
      </c>
    </row>
    <row r="15" spans="1:46" x14ac:dyDescent="0.3">
      <c r="A15" s="17">
        <v>45485</v>
      </c>
      <c r="B15" s="18" t="s">
        <v>18</v>
      </c>
      <c r="C15" s="19">
        <v>7.8174999999999999</v>
      </c>
      <c r="D15" s="19">
        <v>35.799999999999997</v>
      </c>
      <c r="E15" s="19">
        <v>27.24</v>
      </c>
      <c r="F15" s="19">
        <v>54.92</v>
      </c>
      <c r="G15" s="19">
        <v>3.51</v>
      </c>
      <c r="H15" s="19">
        <v>3.08</v>
      </c>
      <c r="I15" s="19">
        <v>149.6</v>
      </c>
      <c r="J15" s="19">
        <v>6.7899912731851151</v>
      </c>
      <c r="K15" s="19">
        <v>6.5829021151556401E-3</v>
      </c>
      <c r="L15" s="19">
        <v>4.4697847914138632E-2</v>
      </c>
      <c r="M15" s="19">
        <v>25.66639268414168</v>
      </c>
      <c r="N15" s="19">
        <v>2.5862446336847081E-3</v>
      </c>
      <c r="O15" s="19">
        <v>5225</v>
      </c>
      <c r="P15" s="19">
        <v>81.355553156717306</v>
      </c>
      <c r="Q15" s="19">
        <v>15957.168</v>
      </c>
      <c r="R15" s="19">
        <v>26.80529981728677</v>
      </c>
      <c r="S15" s="20">
        <f>SUM(AM15:AN15)/2 + (AQ15/$X$1)</f>
        <v>26.113448149265707</v>
      </c>
      <c r="T15" s="20">
        <f>VLOOKUP(AP15,ggg,3,0)</f>
        <v>27.41</v>
      </c>
      <c r="U15" s="20">
        <f t="shared" si="0"/>
        <v>20.447055465124023</v>
      </c>
      <c r="V15" s="20">
        <f>VLOOKUP(AP15,ggg,12,0)</f>
        <v>7.7</v>
      </c>
      <c r="W15" s="20">
        <f>VLOOKUP(AP15,ggg,20,0)</f>
        <v>25.68</v>
      </c>
      <c r="X15" s="20">
        <f>VLOOKUP(AP15,ggg,32,0)</f>
        <v>3.11</v>
      </c>
      <c r="Y15" s="20">
        <f>VLOOKUP(AP15,ggg,28,0)</f>
        <v>3.51</v>
      </c>
      <c r="Z15" s="33"/>
      <c r="AA15" s="33"/>
      <c r="AC15">
        <f>C$3*(C$1-C15)/C$2</f>
        <v>6.6500000000000101E-2</v>
      </c>
      <c r="AD15">
        <f>D$3*(D$1-D15)/D$2</f>
        <v>0</v>
      </c>
      <c r="AE15">
        <f>E$3*(E$1-E15)/E$2</f>
        <v>-0.85833333333333139</v>
      </c>
      <c r="AF15">
        <f>F$3*(F$1-F15)/F$2</f>
        <v>0.25862068965516999</v>
      </c>
      <c r="AG15">
        <f>G$3*(G$1-G15)/G$2</f>
        <v>0.9000000000000008</v>
      </c>
      <c r="AH15">
        <f>H$3*(H$1-H15)/H$2</f>
        <v>-1.5999999999999992</v>
      </c>
      <c r="AI15">
        <f>I$3*(I$1-I15)/I$2</f>
        <v>0</v>
      </c>
      <c r="AJ15">
        <f>(Q15-$M$1)/$M$2</f>
        <v>-7.0439000000000085E-2</v>
      </c>
      <c r="AK15">
        <f>(J15-$Q$1)/$Q$2</f>
        <v>4.8800174536297707</v>
      </c>
      <c r="AM15" s="3">
        <f>SUM(AC15:AK15)+M15+$T$1</f>
        <v>26.242758494093291</v>
      </c>
      <c r="AN15" s="3">
        <f>SUM(AC15:AK15)+M15+$T$1-AF15-AI15</f>
        <v>25.98413780443812</v>
      </c>
      <c r="AP15" t="str">
        <f>A15&amp;B15</f>
        <v>45485C</v>
      </c>
      <c r="AQ15">
        <f>VLOOKUP(AP15,kut,4,0)</f>
        <v>0</v>
      </c>
      <c r="AS15" s="3">
        <f t="shared" si="1"/>
        <v>20.576365809951611</v>
      </c>
      <c r="AT15" s="3">
        <f t="shared" si="2"/>
        <v>20.31774512029644</v>
      </c>
    </row>
    <row r="16" spans="1:46" x14ac:dyDescent="0.3">
      <c r="A16" s="17">
        <v>45488</v>
      </c>
      <c r="B16" s="18" t="s">
        <v>19</v>
      </c>
      <c r="C16" s="19">
        <v>7.7333333333333334</v>
      </c>
      <c r="D16" s="19">
        <v>37.5</v>
      </c>
      <c r="E16" s="19">
        <v>25.664999999999999</v>
      </c>
      <c r="F16" s="19">
        <v>54.92</v>
      </c>
      <c r="G16" s="19">
        <v>3.51</v>
      </c>
      <c r="H16" s="19">
        <v>3.13</v>
      </c>
      <c r="I16" s="19">
        <v>154</v>
      </c>
      <c r="J16" s="19">
        <v>8.5774003121361915</v>
      </c>
      <c r="K16" s="19">
        <v>1.08701053948278E-2</v>
      </c>
      <c r="L16" s="19">
        <v>9.3237245406549249E-2</v>
      </c>
      <c r="M16" s="19">
        <v>27.047629147300899</v>
      </c>
      <c r="N16" s="19">
        <v>2.5869454925276638E-3</v>
      </c>
      <c r="O16" s="19">
        <v>5225</v>
      </c>
      <c r="P16" s="19">
        <v>81.376954551503317</v>
      </c>
      <c r="Q16" s="19">
        <v>33204.263200000001</v>
      </c>
      <c r="R16" s="19">
        <v>27.047635989597971</v>
      </c>
      <c r="S16" s="20">
        <f>SUM(AM16:AN16)/2 + (AQ16/$X$1)</f>
        <v>27.655086767856105</v>
      </c>
      <c r="T16" s="20">
        <f>VLOOKUP(AP16,ggg,3,0)</f>
        <v>27.15</v>
      </c>
      <c r="U16" s="20">
        <f t="shared" si="0"/>
        <v>20.607457620555202</v>
      </c>
      <c r="V16" s="20">
        <f>VLOOKUP(AP16,ggg,12,0)</f>
        <v>7.85</v>
      </c>
      <c r="W16" s="20">
        <f>VLOOKUP(AP16,ggg,20,0)</f>
        <v>28.02</v>
      </c>
      <c r="X16" s="20">
        <f>VLOOKUP(AP16,ggg,32,0)</f>
        <v>3.2</v>
      </c>
      <c r="Y16" s="20">
        <f>VLOOKUP(AP16,ggg,28,0)</f>
        <v>3.72</v>
      </c>
      <c r="Z16" s="33"/>
      <c r="AA16" s="33"/>
      <c r="AC16">
        <f>C$3*(C$1-C16)/C$2</f>
        <v>8.3333333333333398E-2</v>
      </c>
      <c r="AD16">
        <f>D$3*(D$1-D16)/D$2</f>
        <v>0</v>
      </c>
      <c r="AE16">
        <f>E$3*(E$1-E16)/E$2</f>
        <v>0.45416666666666811</v>
      </c>
      <c r="AF16">
        <f>F$3*(F$1-F16)/F$2</f>
        <v>0.25862068965516999</v>
      </c>
      <c r="AG16">
        <f>G$3*(G$1-G16)/G$2</f>
        <v>0.9000000000000008</v>
      </c>
      <c r="AH16">
        <f>H$3*(H$1-H16)/H$2</f>
        <v>-1.35</v>
      </c>
      <c r="AI16">
        <f>I$3*(I$1-I16)/I$2</f>
        <v>0</v>
      </c>
      <c r="AJ16">
        <f>(Q16-$M$1)/$M$2</f>
        <v>2.0854479000000001</v>
      </c>
      <c r="AK16">
        <f>(J16-$Q$1)/$Q$2</f>
        <v>1.3051993757276179</v>
      </c>
      <c r="AM16" s="3">
        <f>SUM(AC16:AK16)+M16+$T$1</f>
        <v>27.784397112683688</v>
      </c>
      <c r="AN16" s="3">
        <f>SUM(AC16:AK16)+M16+$T$1-AF16-AI16</f>
        <v>27.525776423028518</v>
      </c>
      <c r="AP16" t="str">
        <f>A16&amp;B16</f>
        <v>45488A</v>
      </c>
      <c r="AQ16">
        <f>VLOOKUP(AP16,kut,4,0)</f>
        <v>0</v>
      </c>
      <c r="AS16" s="3">
        <f t="shared" si="1"/>
        <v>20.736767965382789</v>
      </c>
      <c r="AT16" s="3">
        <f t="shared" si="2"/>
        <v>20.478147275727618</v>
      </c>
    </row>
    <row r="17" spans="1:46" x14ac:dyDescent="0.3">
      <c r="A17" s="17">
        <v>45488</v>
      </c>
      <c r="B17" s="18" t="s">
        <v>20</v>
      </c>
      <c r="C17" s="19">
        <v>7.9019999999999992</v>
      </c>
      <c r="D17" s="19">
        <v>37.666666666666657</v>
      </c>
      <c r="E17" s="19">
        <v>27.594999999999999</v>
      </c>
      <c r="F17" s="19">
        <v>54.99</v>
      </c>
      <c r="G17" s="19">
        <v>3.72</v>
      </c>
      <c r="H17" s="19">
        <v>3.2333333333333329</v>
      </c>
      <c r="I17" s="19">
        <v>143.5</v>
      </c>
      <c r="J17" s="19">
        <v>8.1046090310968513</v>
      </c>
      <c r="K17" s="19">
        <v>3.6990004578598112E-4</v>
      </c>
      <c r="L17" s="19">
        <v>2.997895251680201E-3</v>
      </c>
      <c r="M17" s="19">
        <v>18.596426733033919</v>
      </c>
      <c r="N17" s="19">
        <v>2.5828320303703648E-3</v>
      </c>
      <c r="O17" s="19">
        <v>5225</v>
      </c>
      <c r="P17" s="19">
        <v>81.246010485912905</v>
      </c>
      <c r="Q17" s="19">
        <v>1077.6079999999999</v>
      </c>
      <c r="R17" s="19">
        <v>20.983227237490279</v>
      </c>
      <c r="S17" s="20">
        <f>SUM(AM17:AN17)/2 + (AQ17/$X$1)</f>
        <v>14.317890188081595</v>
      </c>
      <c r="T17" s="20">
        <f>VLOOKUP(AP17,ggg,3,0)</f>
        <v>25.48</v>
      </c>
      <c r="U17" s="20">
        <f t="shared" si="0"/>
        <v>15.721463455047676</v>
      </c>
      <c r="V17" s="20">
        <f>VLOOKUP(AP17,ggg,12,0)</f>
        <v>7.84</v>
      </c>
      <c r="W17" s="20">
        <f>VLOOKUP(AP17,ggg,20,0)</f>
        <v>27.3</v>
      </c>
      <c r="X17" s="20">
        <f>VLOOKUP(AP17,ggg,32,0)</f>
        <v>3.2</v>
      </c>
      <c r="Y17" s="20">
        <f>VLOOKUP(AP17,ggg,28,0)</f>
        <v>3.56</v>
      </c>
      <c r="Z17" s="33"/>
      <c r="AA17" s="33"/>
      <c r="AC17">
        <f>C$3*(C$1-C17)/C$2</f>
        <v>4.9600000000000227E-2</v>
      </c>
      <c r="AD17">
        <f>D$3*(D$1-D17)/D$2</f>
        <v>0</v>
      </c>
      <c r="AE17">
        <f>E$3*(E$1-E17)/E$2</f>
        <v>-1.154166666666665</v>
      </c>
      <c r="AF17">
        <f>F$3*(F$1-F17)/F$2</f>
        <v>0.13793103448275568</v>
      </c>
      <c r="AG17">
        <f>G$3*(G$1-G17)/G$2</f>
        <v>0.26999999999999957</v>
      </c>
      <c r="AH17">
        <f>H$3*(H$1-H17)/H$2</f>
        <v>-0.83333333333333481</v>
      </c>
      <c r="AI17">
        <f>I$3*(I$1-I17)/I$2</f>
        <v>0</v>
      </c>
      <c r="AJ17">
        <f>(Q17-$M$1)/$M$2</f>
        <v>-1.9303840000000001</v>
      </c>
      <c r="AK17">
        <f>(J17-$Q$1)/$Q$2</f>
        <v>2.2507819378062983</v>
      </c>
      <c r="AM17" s="3">
        <f>SUM(AC17:AK17)+M17+$T$1</f>
        <v>14.386855705322972</v>
      </c>
      <c r="AN17" s="3">
        <f>SUM(AC17:AK17)+M17+$T$1-AF17-AI17</f>
        <v>14.248924670840216</v>
      </c>
      <c r="AP17" t="str">
        <f>A17&amp;B17</f>
        <v>45488B</v>
      </c>
      <c r="AQ17">
        <f>VLOOKUP(AP17,kut,4,0)</f>
        <v>0</v>
      </c>
      <c r="AS17" s="3">
        <f t="shared" si="1"/>
        <v>15.790428972289053</v>
      </c>
      <c r="AT17" s="3">
        <f t="shared" si="2"/>
        <v>15.652497937806297</v>
      </c>
    </row>
    <row r="18" spans="1:46" x14ac:dyDescent="0.3">
      <c r="A18" s="17">
        <v>45488</v>
      </c>
      <c r="B18" s="18" t="s">
        <v>18</v>
      </c>
      <c r="C18" s="19">
        <v>7.67</v>
      </c>
      <c r="D18" s="19">
        <v>37</v>
      </c>
      <c r="E18" s="19">
        <v>27.024999999999999</v>
      </c>
      <c r="F18" s="19">
        <v>54.99</v>
      </c>
      <c r="G18" s="19">
        <v>3.56</v>
      </c>
      <c r="H18" s="19">
        <v>3.17</v>
      </c>
      <c r="I18" s="19">
        <v>148.5</v>
      </c>
      <c r="J18" s="19">
        <v>9.333760622738998</v>
      </c>
      <c r="K18" s="19">
        <v>3.0845198740180528E-3</v>
      </c>
      <c r="L18" s="19">
        <v>2.879017014016555E-2</v>
      </c>
      <c r="M18" s="19">
        <v>23.80441751918011</v>
      </c>
      <c r="N18" s="19">
        <v>2.5853617057254689E-3</v>
      </c>
      <c r="O18" s="19">
        <v>5225</v>
      </c>
      <c r="P18" s="19">
        <v>81.326703058197907</v>
      </c>
      <c r="Q18" s="19">
        <v>10342.7528</v>
      </c>
      <c r="R18" s="19">
        <v>24.978058504144769</v>
      </c>
      <c r="S18" s="20">
        <f>SUM(AM18:AN18)/2 + (AQ18/$X$1)</f>
        <v>18.91045422427683</v>
      </c>
      <c r="T18" s="20">
        <f>VLOOKUP(AP18,ggg,3,0)</f>
        <v>23</v>
      </c>
      <c r="U18" s="20">
        <f t="shared" si="0"/>
        <v>15.10603670509672</v>
      </c>
      <c r="V18" s="20">
        <f>VLOOKUP(AP18,ggg,12,0)</f>
        <v>8.0299999999999994</v>
      </c>
      <c r="W18" s="20">
        <f>VLOOKUP(AP18,ggg,20,0)</f>
        <v>26.16</v>
      </c>
      <c r="X18" s="20">
        <f>VLOOKUP(AP18,ggg,32,0)</f>
        <v>3.16</v>
      </c>
      <c r="Y18" s="20">
        <f>VLOOKUP(AP18,ggg,28,0)</f>
        <v>3.56</v>
      </c>
      <c r="Z18" s="33"/>
      <c r="AA18" s="33"/>
      <c r="AC18">
        <f>C$3*(C$1-C18)/C$2</f>
        <v>9.6000000000000085E-2</v>
      </c>
      <c r="AD18">
        <f>D$3*(D$1-D18)/D$2</f>
        <v>0</v>
      </c>
      <c r="AE18">
        <f>E$3*(E$1-E18)/E$2</f>
        <v>-0.67916666666666481</v>
      </c>
      <c r="AF18">
        <f>F$3*(F$1-F18)/F$2</f>
        <v>0.13793103448275568</v>
      </c>
      <c r="AG18">
        <f>G$3*(G$1-G18)/G$2</f>
        <v>0.74999999999999989</v>
      </c>
      <c r="AH18">
        <f>H$3*(H$1-H18)/H$2</f>
        <v>-1.1499999999999999</v>
      </c>
      <c r="AI18">
        <f>I$3*(I$1-I18)/I$2</f>
        <v>0</v>
      </c>
      <c r="AJ18">
        <f>(Q18-$M$1)/$M$2</f>
        <v>-0.77224090000000001</v>
      </c>
      <c r="AK18">
        <f>(J18-$Q$1)/$Q$2</f>
        <v>-0.20752124547799511</v>
      </c>
      <c r="AM18" s="3">
        <f>SUM(AC18:AK18)+M18+$T$1</f>
        <v>18.979419741518207</v>
      </c>
      <c r="AN18" s="3">
        <f>SUM(AC18:AK18)+M18+$T$1-AF18-AI18</f>
        <v>18.841488707035452</v>
      </c>
      <c r="AP18" t="str">
        <f>A18&amp;B18</f>
        <v>45488C</v>
      </c>
      <c r="AQ18">
        <f>VLOOKUP(AP18,kut,4,0)</f>
        <v>0</v>
      </c>
      <c r="AS18" s="3">
        <f t="shared" si="1"/>
        <v>15.175002222338097</v>
      </c>
      <c r="AT18" s="3">
        <f t="shared" si="2"/>
        <v>15.037071187855341</v>
      </c>
    </row>
    <row r="19" spans="1:46" x14ac:dyDescent="0.3">
      <c r="A19" s="17">
        <v>45489</v>
      </c>
      <c r="B19" s="18" t="s">
        <v>19</v>
      </c>
      <c r="C19" s="19">
        <v>8.0333333333333332</v>
      </c>
      <c r="D19" s="19">
        <v>36.833333333333343</v>
      </c>
      <c r="E19" s="19">
        <v>26.161666666666669</v>
      </c>
      <c r="F19" s="19">
        <v>54.99</v>
      </c>
      <c r="G19" s="19">
        <v>3.56</v>
      </c>
      <c r="H19" s="19">
        <v>3.1566666666666672</v>
      </c>
      <c r="I19" s="19">
        <v>151.16666666666671</v>
      </c>
      <c r="J19" s="19">
        <v>7.1200321546739529</v>
      </c>
      <c r="K19" s="19">
        <v>5.3534619623004792E-3</v>
      </c>
      <c r="L19" s="19">
        <v>3.811682131040333E-2</v>
      </c>
      <c r="M19" s="19">
        <v>22.34962378157385</v>
      </c>
      <c r="N19" s="19">
        <v>2.585679148841264E-3</v>
      </c>
      <c r="O19" s="19">
        <v>5225</v>
      </c>
      <c r="P19" s="19">
        <v>81.304163623867737</v>
      </c>
      <c r="Q19" s="19">
        <v>17660.400000000001</v>
      </c>
      <c r="R19" s="19">
        <v>22.8736565256124</v>
      </c>
      <c r="S19" s="20">
        <f>SUM(AM19:AN19)/2 + (AQ19/$X$1)</f>
        <v>23.377934433911772</v>
      </c>
      <c r="T19" s="20">
        <f>VLOOKUP(AP19,ggg,3,0)</f>
        <v>25.98</v>
      </c>
      <c r="U19" s="20">
        <f t="shared" si="0"/>
        <v>21.028310652337918</v>
      </c>
      <c r="V19" s="20">
        <f>VLOOKUP(AP19,ggg,12,0)</f>
        <v>7.6</v>
      </c>
      <c r="W19" s="20">
        <f>VLOOKUP(AP19,ggg,20,0)</f>
        <v>29.2</v>
      </c>
      <c r="X19" s="20">
        <f>VLOOKUP(AP19,ggg,32,0)</f>
        <v>2.95</v>
      </c>
      <c r="Y19" s="20">
        <f>VLOOKUP(AP19,ggg,28,0)</f>
        <v>3.56</v>
      </c>
      <c r="Z19" s="33"/>
      <c r="AA19" s="33"/>
      <c r="AC19">
        <f>C$3*(C$1-C19)/C$2</f>
        <v>2.3333333333333428E-2</v>
      </c>
      <c r="AD19">
        <f>D$3*(D$1-D19)/D$2</f>
        <v>0</v>
      </c>
      <c r="AE19">
        <f>E$3*(E$1-E19)/E$2</f>
        <v>4.0277777777776677E-2</v>
      </c>
      <c r="AF19">
        <f>F$3*(F$1-F19)/F$2</f>
        <v>0.13793103448275568</v>
      </c>
      <c r="AG19">
        <f>G$3*(G$1-G19)/G$2</f>
        <v>0.74999999999999989</v>
      </c>
      <c r="AH19">
        <f>H$3*(H$1-H19)/H$2</f>
        <v>-1.2166666666666639</v>
      </c>
      <c r="AI19">
        <f>I$3*(I$1-I19)/I$2</f>
        <v>0</v>
      </c>
      <c r="AJ19">
        <f>(Q19-$M$1)/$M$2</f>
        <v>0.14246500000000015</v>
      </c>
      <c r="AK19">
        <f>(J19-$Q$1)/$Q$2</f>
        <v>4.2199356906520951</v>
      </c>
      <c r="AM19" s="3">
        <f>SUM(AC19:AK19)+M19+$T$1</f>
        <v>23.446899951153149</v>
      </c>
      <c r="AN19" s="3">
        <f>SUM(AC19:AK19)+M19+$T$1-AF19-AI19</f>
        <v>23.308968916670395</v>
      </c>
      <c r="AP19" t="str">
        <f>A19&amp;B19</f>
        <v>45489A</v>
      </c>
      <c r="AQ19">
        <f>VLOOKUP(AP19,kut,4,0)</f>
        <v>0</v>
      </c>
      <c r="AS19" s="3">
        <f t="shared" si="1"/>
        <v>21.097276169579295</v>
      </c>
      <c r="AT19" s="3">
        <f t="shared" si="2"/>
        <v>20.959345135096541</v>
      </c>
    </row>
    <row r="20" spans="1:46" x14ac:dyDescent="0.3">
      <c r="A20" s="17">
        <v>45489</v>
      </c>
      <c r="B20" s="18" t="s">
        <v>20</v>
      </c>
      <c r="C20" s="19">
        <v>7.8599999999999994</v>
      </c>
      <c r="D20" s="19">
        <v>36.666666666666657</v>
      </c>
      <c r="E20" s="19">
        <v>26.45</v>
      </c>
      <c r="F20" s="19">
        <v>54.23</v>
      </c>
      <c r="G20" s="19">
        <v>3.56</v>
      </c>
      <c r="H20" s="19">
        <v>3.0366666666666671</v>
      </c>
      <c r="I20" s="19">
        <v>154</v>
      </c>
      <c r="J20" s="19">
        <v>10.553963409824471</v>
      </c>
      <c r="K20" s="19">
        <v>2.938373472320129E-3</v>
      </c>
      <c r="L20" s="19">
        <v>3.1011486111265519E-2</v>
      </c>
      <c r="M20" s="19">
        <v>21.981697896712241</v>
      </c>
      <c r="N20" s="19">
        <v>2.5844728764096571E-3</v>
      </c>
      <c r="O20" s="19">
        <v>5225</v>
      </c>
      <c r="P20" s="19">
        <v>81.298461240943666</v>
      </c>
      <c r="Q20" s="19">
        <v>5857.9984000000004</v>
      </c>
      <c r="R20" s="19">
        <v>24.337405336533831</v>
      </c>
      <c r="S20" s="20">
        <f>SUM(AM20:AN20)/2 + (AQ20/$X$1)</f>
        <v>14.516407141431122</v>
      </c>
      <c r="T20" s="20">
        <f>VLOOKUP(AP20,ggg,3,0)</f>
        <v>28.36</v>
      </c>
      <c r="U20" s="20">
        <f t="shared" si="0"/>
        <v>12.534709244718881</v>
      </c>
      <c r="V20" s="20">
        <f>VLOOKUP(AP20,ggg,12,0)</f>
        <v>7.62</v>
      </c>
      <c r="W20" s="20">
        <f>VLOOKUP(AP20,ggg,20,0)</f>
        <v>26.34</v>
      </c>
      <c r="X20" s="20">
        <f>VLOOKUP(AP20,ggg,32,0)</f>
        <v>3.01</v>
      </c>
      <c r="Y20" s="20">
        <f>VLOOKUP(AP20,ggg,28,0)</f>
        <v>3.3</v>
      </c>
      <c r="Z20" s="33"/>
      <c r="AA20" s="33"/>
      <c r="AC20">
        <f>C$3*(C$1-C20)/C$2</f>
        <v>5.800000000000019E-2</v>
      </c>
      <c r="AD20">
        <f>D$3*(D$1-D20)/D$2</f>
        <v>0</v>
      </c>
      <c r="AE20">
        <f>E$3*(E$1-E20)/E$2</f>
        <v>-0.19999999999999871</v>
      </c>
      <c r="AF20">
        <f>F$3*(F$1-F20)/F$2</f>
        <v>1.4482758620689715</v>
      </c>
      <c r="AG20">
        <f>G$3*(G$1-G20)/G$2</f>
        <v>0.74999999999999989</v>
      </c>
      <c r="AH20">
        <f>H$3*(H$1-H20)/H$2</f>
        <v>-1.8166666666666642</v>
      </c>
      <c r="AI20">
        <f>I$3*(I$1-I20)/I$2</f>
        <v>0</v>
      </c>
      <c r="AJ20">
        <f>(Q20-$M$1)/$M$2</f>
        <v>-1.3328351999999999</v>
      </c>
      <c r="AK20">
        <f>(J20-$Q$1)/$Q$2</f>
        <v>-2.6479268196489407</v>
      </c>
      <c r="AM20" s="3">
        <f>SUM(AC20:AK20)+M20+$T$1</f>
        <v>15.240545072465608</v>
      </c>
      <c r="AN20" s="3">
        <f>SUM(AC20:AK20)+M20+$T$1-AF20-AI20</f>
        <v>13.792269210396636</v>
      </c>
      <c r="AP20" t="str">
        <f>A20&amp;B20</f>
        <v>45489B</v>
      </c>
      <c r="AQ20">
        <f>VLOOKUP(AP20,kut,4,0)</f>
        <v>0</v>
      </c>
      <c r="AS20" s="3">
        <f t="shared" si="1"/>
        <v>13.258847175753367</v>
      </c>
      <c r="AT20" s="3">
        <f t="shared" si="2"/>
        <v>11.810571313684395</v>
      </c>
    </row>
    <row r="21" spans="1:46" x14ac:dyDescent="0.3">
      <c r="A21" s="17">
        <v>45489</v>
      </c>
      <c r="B21" s="18" t="s">
        <v>18</v>
      </c>
      <c r="C21" s="19">
        <v>7.6033333333333326</v>
      </c>
      <c r="D21" s="19">
        <v>37.555555555555557</v>
      </c>
      <c r="E21" s="19">
        <v>26.466666666666669</v>
      </c>
      <c r="F21" s="19">
        <v>54.23</v>
      </c>
      <c r="G21" s="19">
        <v>3.3033333333333328</v>
      </c>
      <c r="H21" s="19">
        <v>3</v>
      </c>
      <c r="I21" s="19">
        <v>156.55555555555549</v>
      </c>
      <c r="J21" s="19">
        <v>7.8003733591450644</v>
      </c>
      <c r="K21" s="19">
        <v>8.6044133517894691E-3</v>
      </c>
      <c r="L21" s="19">
        <v>6.7117636680370657E-2</v>
      </c>
      <c r="M21" s="19">
        <v>27.04768365546531</v>
      </c>
      <c r="N21" s="19">
        <v>2.586920323303204E-3</v>
      </c>
      <c r="O21" s="19">
        <v>5225</v>
      </c>
      <c r="P21" s="19">
        <v>81.376955277036103</v>
      </c>
      <c r="Q21" s="19">
        <v>28516.504000000001</v>
      </c>
      <c r="R21" s="19">
        <v>27.047683848257641</v>
      </c>
      <c r="S21" s="20">
        <f>SUM(AM21:AN21)/2 + (AQ21/$X$1)</f>
        <v>28.545997312654116</v>
      </c>
      <c r="T21" s="20">
        <f>VLOOKUP(AP21,ggg,3,0)</f>
        <v>27.67</v>
      </c>
      <c r="U21" s="20">
        <f t="shared" si="0"/>
        <v>21.498313657188802</v>
      </c>
      <c r="V21" s="20">
        <f>VLOOKUP(AP21,ggg,12,0)</f>
        <v>7.6</v>
      </c>
      <c r="W21" s="20">
        <f>VLOOKUP(AP21,ggg,20,0)</f>
        <v>26.26</v>
      </c>
      <c r="X21" s="20">
        <f>VLOOKUP(AP21,ggg,32,0)</f>
        <v>3.01</v>
      </c>
      <c r="Y21" s="20">
        <f>VLOOKUP(AP21,ggg,28,0)</f>
        <v>3.3</v>
      </c>
      <c r="Z21" s="33"/>
      <c r="AA21" s="33"/>
      <c r="AC21">
        <f>C$3*(C$1-C21)/C$2</f>
        <v>0.10933333333333356</v>
      </c>
      <c r="AD21">
        <f>D$3*(D$1-D21)/D$2</f>
        <v>0</v>
      </c>
      <c r="AE21">
        <f>E$3*(E$1-E21)/E$2</f>
        <v>-0.21388888888888977</v>
      </c>
      <c r="AF21">
        <f>F$3*(F$1-F21)/F$2</f>
        <v>1.4482758620689715</v>
      </c>
      <c r="AG21">
        <f>G$3*(G$1-G21)/G$2</f>
        <v>1.5200000000000016</v>
      </c>
      <c r="AH21">
        <f>H$3*(H$1-H21)/H$2</f>
        <v>-1.9999999999999996</v>
      </c>
      <c r="AI21">
        <f>I$3*(I$1-I21)/I$2</f>
        <v>0</v>
      </c>
      <c r="AJ21">
        <f>(Q21-$M$1)/$M$2</f>
        <v>1.4994780000000001</v>
      </c>
      <c r="AK21">
        <f>(J21-$Q$1)/$Q$2</f>
        <v>2.8592532817098721</v>
      </c>
      <c r="AM21" s="3">
        <f>SUM(AC21:AK21)+M21+$T$1</f>
        <v>29.2701352436886</v>
      </c>
      <c r="AN21" s="3">
        <f>SUM(AC21:AK21)+M21+$T$1-AF21-AI21</f>
        <v>27.821859381619628</v>
      </c>
      <c r="AP21" t="str">
        <f>A21&amp;B21</f>
        <v>45489C</v>
      </c>
      <c r="AQ21">
        <f>VLOOKUP(AP21,kut,4,0)</f>
        <v>0</v>
      </c>
      <c r="AS21" s="3">
        <f t="shared" si="1"/>
        <v>22.22245158822329</v>
      </c>
      <c r="AT21" s="3">
        <f t="shared" si="2"/>
        <v>20.774175726154319</v>
      </c>
    </row>
    <row r="22" spans="1:46" x14ac:dyDescent="0.3">
      <c r="A22" s="17">
        <v>45490</v>
      </c>
      <c r="B22" s="18" t="s">
        <v>19</v>
      </c>
      <c r="C22" s="19">
        <v>7.55</v>
      </c>
      <c r="D22" s="19">
        <v>34.75</v>
      </c>
      <c r="E22" s="19">
        <v>26.254999999999999</v>
      </c>
      <c r="F22" s="19">
        <v>54.23</v>
      </c>
      <c r="G22" s="19">
        <v>3.3</v>
      </c>
      <c r="H22" s="19">
        <v>2.95</v>
      </c>
      <c r="I22" s="19">
        <v>144.75</v>
      </c>
      <c r="J22" s="19">
        <v>9.4718035520782227</v>
      </c>
      <c r="K22" s="19">
        <v>3.4492076919714521E-3</v>
      </c>
      <c r="L22" s="19">
        <v>3.2670217668670731E-2</v>
      </c>
      <c r="M22" s="19">
        <v>25.569407447659191</v>
      </c>
      <c r="N22" s="19">
        <v>2.5862056785979199E-3</v>
      </c>
      <c r="O22" s="19">
        <v>5225</v>
      </c>
      <c r="P22" s="19">
        <v>81.354050371532892</v>
      </c>
      <c r="Q22" s="19">
        <v>8091.0095999999994</v>
      </c>
      <c r="R22" s="19">
        <v>27.047682913698189</v>
      </c>
      <c r="S22" s="20">
        <f>SUM(AM22:AN22)/2 + (AQ22/$X$1)</f>
        <v>21.118729474537233</v>
      </c>
      <c r="T22" s="20">
        <f>VLOOKUP(AP22,ggg,3,0)</f>
        <v>28.5</v>
      </c>
      <c r="U22" s="20">
        <f t="shared" si="0"/>
        <v>15.549322026878043</v>
      </c>
      <c r="V22" s="20">
        <f>VLOOKUP(AP22,ggg,12,0)</f>
        <v>8.1999999999999993</v>
      </c>
      <c r="W22" s="20">
        <f>VLOOKUP(AP22,ggg,20,0)</f>
        <v>29.6</v>
      </c>
      <c r="X22" s="20">
        <f>VLOOKUP(AP22,ggg,32,0)</f>
        <v>3.26</v>
      </c>
      <c r="Y22" s="20">
        <f>VLOOKUP(AP22,ggg,28,0)</f>
        <v>3.47</v>
      </c>
      <c r="Z22" s="33"/>
      <c r="AA22" s="33"/>
      <c r="AC22">
        <f>C$3*(C$1-C22)/C$2</f>
        <v>0.12000000000000011</v>
      </c>
      <c r="AD22">
        <f>D$3*(D$1-D22)/D$2</f>
        <v>0</v>
      </c>
      <c r="AE22">
        <f>E$3*(E$1-E22)/E$2</f>
        <v>-3.7499999999998465E-2</v>
      </c>
      <c r="AF22">
        <f>F$3*(F$1-F22)/F$2</f>
        <v>1.4482758620689715</v>
      </c>
      <c r="AG22">
        <f>G$3*(G$1-G22)/G$2</f>
        <v>1.5300000000000005</v>
      </c>
      <c r="AH22">
        <f>H$3*(H$1-H22)/H$2</f>
        <v>-2.2499999999999987</v>
      </c>
      <c r="AI22">
        <f>I$3*(I$1-I22)/I$2</f>
        <v>0</v>
      </c>
      <c r="AJ22">
        <f>(Q22-$M$1)/$M$2</f>
        <v>-1.0537088000000001</v>
      </c>
      <c r="AK22">
        <f>(J22-$Q$1)/$Q$2</f>
        <v>-0.48360710415644448</v>
      </c>
      <c r="AM22" s="3">
        <f>SUM(AC22:AK22)+M22+$T$1</f>
        <v>21.84286740557172</v>
      </c>
      <c r="AN22" s="3">
        <f>SUM(AC22:AK22)+M22+$T$1-AF22-AI22</f>
        <v>20.394591543502749</v>
      </c>
      <c r="AP22" t="str">
        <f>A22&amp;B22</f>
        <v>45490A</v>
      </c>
      <c r="AQ22">
        <f>VLOOKUP(AP22,kut,4,0)</f>
        <v>0</v>
      </c>
      <c r="AS22" s="3">
        <f t="shared" si="1"/>
        <v>16.273459957912529</v>
      </c>
      <c r="AT22" s="3">
        <f t="shared" si="2"/>
        <v>14.825184095843557</v>
      </c>
    </row>
    <row r="23" spans="1:46" x14ac:dyDescent="0.3">
      <c r="A23" s="17">
        <v>45490</v>
      </c>
      <c r="B23" s="18" t="s">
        <v>20</v>
      </c>
      <c r="C23" s="19">
        <v>7.9924999999999997</v>
      </c>
      <c r="D23" s="19">
        <v>38</v>
      </c>
      <c r="E23" s="19">
        <v>28.353999999999999</v>
      </c>
      <c r="F23" s="19">
        <v>54.724999999999987</v>
      </c>
      <c r="G23" s="19">
        <v>3.47</v>
      </c>
      <c r="H23" s="19">
        <v>3.18</v>
      </c>
      <c r="I23" s="19">
        <v>152.19999999999999</v>
      </c>
      <c r="J23" s="19">
        <v>11.099797918605629</v>
      </c>
      <c r="K23" s="19">
        <v>2.7451062262070819E-3</v>
      </c>
      <c r="L23" s="19">
        <v>3.0470124376004739E-2</v>
      </c>
      <c r="M23" s="19">
        <v>19.890121428333231</v>
      </c>
      <c r="N23" s="19">
        <v>2.583482165067348E-3</v>
      </c>
      <c r="O23" s="19">
        <v>5225</v>
      </c>
      <c r="P23" s="19">
        <v>81.266053971420348</v>
      </c>
      <c r="Q23" s="19">
        <v>9003.1600000000017</v>
      </c>
      <c r="R23" s="19">
        <v>21.040673411928559</v>
      </c>
      <c r="S23" s="20">
        <f>SUM(AM23:AN23)/2 + (AQ23/$X$1)</f>
        <v>10.673082717558767</v>
      </c>
      <c r="T23" s="20">
        <f>VLOOKUP(AP23,ggg,3,0)</f>
        <v>24.23</v>
      </c>
      <c r="U23" s="20">
        <f t="shared" si="0"/>
        <v>10.782961289225536</v>
      </c>
      <c r="V23" s="20">
        <f>VLOOKUP(AP23,ggg,12,0)</f>
        <v>8.1</v>
      </c>
      <c r="W23" s="20">
        <f>VLOOKUP(AP23,ggg,20,0)</f>
        <v>28.7</v>
      </c>
      <c r="X23" s="20">
        <f>VLOOKUP(AP23,ggg,32,0)</f>
        <v>3.18</v>
      </c>
      <c r="Y23" s="20">
        <f>VLOOKUP(AP23,ggg,28,0)</f>
        <v>3.37</v>
      </c>
      <c r="Z23" s="33"/>
      <c r="AA23" s="33"/>
      <c r="AC23">
        <f>C$3*(C$1-C23)/C$2</f>
        <v>3.1500000000000132E-2</v>
      </c>
      <c r="AD23">
        <f>D$3*(D$1-D23)/D$2</f>
        <v>0</v>
      </c>
      <c r="AE23">
        <f>E$3*(E$1-E23)/E$2</f>
        <v>-1.7866666666666653</v>
      </c>
      <c r="AF23">
        <f>F$3*(F$1-F23)/F$2</f>
        <v>0.59482758620691911</v>
      </c>
      <c r="AG23">
        <f>G$3*(G$1-G23)/G$2</f>
        <v>1.0199999999999994</v>
      </c>
      <c r="AH23">
        <f>H$3*(H$1-H23)/H$2</f>
        <v>-1.099999999999999</v>
      </c>
      <c r="AI23">
        <f>I$3*(I$1-I23)/I$2</f>
        <v>0</v>
      </c>
      <c r="AJ23">
        <f>(Q23-$M$1)/$M$2</f>
        <v>-0.9396899999999998</v>
      </c>
      <c r="AK23">
        <f>(J23-$Q$1)/$Q$2</f>
        <v>-3.7395958372112581</v>
      </c>
      <c r="AM23" s="3">
        <f>SUM(AC23:AK23)+M23+$T$1</f>
        <v>10.970496510662228</v>
      </c>
      <c r="AN23" s="3">
        <f>SUM(AC23:AK23)+M23+$T$1-AF23-AI23</f>
        <v>10.375668924455308</v>
      </c>
      <c r="AP23" t="str">
        <f>A23&amp;B23</f>
        <v>45490B</v>
      </c>
      <c r="AQ23">
        <f>VLOOKUP(AP23,kut,4,0)</f>
        <v>0</v>
      </c>
      <c r="AS23" s="3">
        <f t="shared" si="1"/>
        <v>11.080375082328997</v>
      </c>
      <c r="AT23" s="3">
        <f t="shared" si="2"/>
        <v>10.485547496122077</v>
      </c>
    </row>
    <row r="24" spans="1:46" x14ac:dyDescent="0.3">
      <c r="A24" s="17">
        <v>45490</v>
      </c>
      <c r="B24" s="18" t="s">
        <v>18</v>
      </c>
      <c r="C24" s="19">
        <v>8.0075000000000003</v>
      </c>
      <c r="D24" s="19">
        <v>36.571428571428569</v>
      </c>
      <c r="E24" s="19">
        <v>28.514285714285709</v>
      </c>
      <c r="F24" s="19">
        <v>55.22</v>
      </c>
      <c r="G24" s="19">
        <v>3.37</v>
      </c>
      <c r="H24" s="19">
        <v>3.128571428571429</v>
      </c>
      <c r="I24" s="19">
        <v>146.28571428571431</v>
      </c>
      <c r="J24" s="19">
        <v>10.471883474380631</v>
      </c>
      <c r="K24" s="19">
        <v>3.6831928434428139E-3</v>
      </c>
      <c r="L24" s="19">
        <v>3.8569966270205813E-2</v>
      </c>
      <c r="M24" s="19">
        <v>21.00091546195711</v>
      </c>
      <c r="N24" s="19">
        <v>2.5854754814067789E-3</v>
      </c>
      <c r="O24" s="19">
        <v>5225</v>
      </c>
      <c r="P24" s="19">
        <v>81.283265937801161</v>
      </c>
      <c r="Q24" s="19">
        <v>13002.228800000001</v>
      </c>
      <c r="R24" s="19">
        <v>21.94930031189881</v>
      </c>
      <c r="S24" s="20">
        <f>SUM(AM24:AN24)/2 + (AQ24/$X$1)</f>
        <v>13.019150815987318</v>
      </c>
      <c r="T24" s="20">
        <f>VLOOKUP(AP24,ggg,3,0)</f>
        <v>15.96</v>
      </c>
      <c r="U24" s="20">
        <f t="shared" si="0"/>
        <v>12.018235354030208</v>
      </c>
      <c r="V24" s="20">
        <f>VLOOKUP(AP24,ggg,12,0)</f>
        <v>8.4</v>
      </c>
      <c r="W24" s="20">
        <f>VLOOKUP(AP24,ggg,20,0)</f>
        <v>27.05</v>
      </c>
      <c r="X24" s="20">
        <f>VLOOKUP(AP24,ggg,32,0)</f>
        <v>3.32</v>
      </c>
      <c r="Y24" s="20">
        <f>VLOOKUP(AP24,ggg,28,0)</f>
        <v>3.37</v>
      </c>
      <c r="Z24" s="33"/>
      <c r="AA24" s="33"/>
      <c r="AC24">
        <f>C$3*(C$1-C24)/C$2</f>
        <v>2.8500000000000015E-2</v>
      </c>
      <c r="AD24">
        <f>D$3*(D$1-D24)/D$2</f>
        <v>0</v>
      </c>
      <c r="AE24">
        <f>E$3*(E$1-E24)/E$2</f>
        <v>-1.9202380952380902</v>
      </c>
      <c r="AF24">
        <f>F$3*(F$1-F24)/F$2</f>
        <v>-0.25862068965516999</v>
      </c>
      <c r="AG24">
        <f>G$3*(G$1-G24)/G$2</f>
        <v>1.3199999999999996</v>
      </c>
      <c r="AH24">
        <f>H$3*(H$1-H24)/H$2</f>
        <v>-1.3571428571428545</v>
      </c>
      <c r="AI24">
        <f>I$3*(I$1-I24)/I$2</f>
        <v>0</v>
      </c>
      <c r="AJ24">
        <f>(Q24-$M$1)/$M$2</f>
        <v>-0.43980639999999993</v>
      </c>
      <c r="AK24">
        <f>(J24-$Q$1)/$Q$2</f>
        <v>-2.4837669487612608</v>
      </c>
      <c r="AM24" s="3">
        <f>SUM(AC24:AK24)+M24+$T$1</f>
        <v>12.889840471159733</v>
      </c>
      <c r="AN24" s="3">
        <f>SUM(AC24:AK24)+M24+$T$1-AF24-AI24</f>
        <v>13.148461160814904</v>
      </c>
      <c r="AP24" t="str">
        <f>A24&amp;B24</f>
        <v>45490C</v>
      </c>
      <c r="AQ24">
        <f>VLOOKUP(AP24,kut,4,0)</f>
        <v>0</v>
      </c>
      <c r="AS24" s="3">
        <f t="shared" si="1"/>
        <v>11.888925009202623</v>
      </c>
      <c r="AT24" s="3">
        <f t="shared" si="2"/>
        <v>12.147545698857794</v>
      </c>
    </row>
    <row r="25" spans="1:46" x14ac:dyDescent="0.3">
      <c r="A25" s="17">
        <v>45491</v>
      </c>
      <c r="B25" s="18" t="s">
        <v>19</v>
      </c>
      <c r="C25" s="19">
        <v>8.2375000000000007</v>
      </c>
      <c r="D25" s="19">
        <v>38.142857142857153</v>
      </c>
      <c r="E25" s="19">
        <v>27.207142857142859</v>
      </c>
      <c r="F25" s="19">
        <v>55.22</v>
      </c>
      <c r="G25" s="19">
        <v>3.37</v>
      </c>
      <c r="H25" s="19">
        <v>3.2514285714285709</v>
      </c>
      <c r="I25" s="19">
        <v>150.85714285714289</v>
      </c>
      <c r="J25" s="19">
        <v>8.9422531799260252</v>
      </c>
      <c r="K25" s="19">
        <v>7.3499429304095939E-3</v>
      </c>
      <c r="L25" s="19">
        <v>6.5725050541729987E-2</v>
      </c>
      <c r="M25" s="19">
        <v>20.084778416400919</v>
      </c>
      <c r="N25" s="19">
        <v>2.5864106400015768E-3</v>
      </c>
      <c r="O25" s="19">
        <v>5225</v>
      </c>
      <c r="P25" s="19">
        <v>81.269072162927586</v>
      </c>
      <c r="Q25" s="19">
        <v>22829.212800000001</v>
      </c>
      <c r="R25" s="19">
        <v>19.92148726501631</v>
      </c>
      <c r="S25" s="20">
        <f>SUM(AM25:AN25)/2 + (AQ25/$X$1)</f>
        <v>18.048218787911757</v>
      </c>
      <c r="T25" s="20">
        <f>VLOOKUP(AP25,ggg,3,0)</f>
        <v>22.27</v>
      </c>
      <c r="U25" s="20">
        <f t="shared" si="0"/>
        <v>17.963440371510842</v>
      </c>
      <c r="V25" s="20">
        <f>VLOOKUP(AP25,ggg,12,0)</f>
        <v>8.09</v>
      </c>
      <c r="W25" s="20">
        <f>VLOOKUP(AP25,ggg,20,0)</f>
        <v>26.4</v>
      </c>
      <c r="X25" s="20">
        <f>VLOOKUP(AP25,ggg,32,0)</f>
        <v>3.14</v>
      </c>
      <c r="Y25" s="20">
        <f>VLOOKUP(AP25,ggg,28,0)</f>
        <v>3.6</v>
      </c>
      <c r="Z25" s="33"/>
      <c r="AA25" s="33"/>
      <c r="AC25">
        <f>C$3*(C$1-C25)/C$2</f>
        <v>-1.7500000000000071E-2</v>
      </c>
      <c r="AD25">
        <f>D$3*(D$1-D25)/D$2</f>
        <v>0</v>
      </c>
      <c r="AE25">
        <f>E$3*(E$1-E25)/E$2</f>
        <v>-0.83095238095238189</v>
      </c>
      <c r="AF25">
        <f>F$3*(F$1-F25)/F$2</f>
        <v>-0.25862068965516999</v>
      </c>
      <c r="AG25">
        <f>G$3*(G$1-G25)/G$2</f>
        <v>1.3199999999999996</v>
      </c>
      <c r="AH25">
        <f>H$3*(H$1-H25)/H$2</f>
        <v>-0.7428571428571451</v>
      </c>
      <c r="AI25">
        <f>I$3*(I$1-I25)/I$2</f>
        <v>0</v>
      </c>
      <c r="AJ25">
        <f>(Q25-$M$1)/$M$2</f>
        <v>0.78856660000000012</v>
      </c>
      <c r="AK25">
        <f>(J25-$Q$1)/$Q$2</f>
        <v>0.57549364014795046</v>
      </c>
      <c r="AM25" s="3">
        <f>SUM(AC25:AK25)+M25+$T$1</f>
        <v>17.918908443084174</v>
      </c>
      <c r="AN25" s="3">
        <f>SUM(AC25:AK25)+M25+$T$1-AF25-AI25</f>
        <v>18.177529132739345</v>
      </c>
      <c r="AP25" t="str">
        <f>A25&amp;B25</f>
        <v>45491A</v>
      </c>
      <c r="AQ25">
        <f>VLOOKUP(AP25,kut,4,0)</f>
        <v>0</v>
      </c>
      <c r="AS25" s="3">
        <f t="shared" si="1"/>
        <v>17.834130026683255</v>
      </c>
      <c r="AT25" s="3">
        <f t="shared" si="2"/>
        <v>18.092750716338426</v>
      </c>
    </row>
    <row r="26" spans="1:46" x14ac:dyDescent="0.3">
      <c r="A26" s="17">
        <v>45491</v>
      </c>
      <c r="B26" s="18" t="s">
        <v>20</v>
      </c>
      <c r="C26" s="19">
        <v>8.0933333333333337</v>
      </c>
      <c r="D26" s="19">
        <v>37.4</v>
      </c>
      <c r="E26" s="19">
        <v>27.515999999999998</v>
      </c>
      <c r="F26" s="19">
        <v>56.62</v>
      </c>
      <c r="G26" s="19">
        <v>3.6</v>
      </c>
      <c r="H26" s="19">
        <v>3.1440000000000001</v>
      </c>
      <c r="I26" s="19">
        <v>153</v>
      </c>
      <c r="J26" s="19">
        <v>9.8777233525026382</v>
      </c>
      <c r="K26" s="19">
        <v>3.5497970644343588E-3</v>
      </c>
      <c r="L26" s="19">
        <v>3.5063913360008581E-2</v>
      </c>
      <c r="M26" s="19">
        <v>26.104565019979901</v>
      </c>
      <c r="N26" s="19">
        <v>2.264966763060849</v>
      </c>
      <c r="O26" s="19">
        <v>5225</v>
      </c>
      <c r="P26" s="19">
        <v>81.397396560123241</v>
      </c>
      <c r="Q26" s="19">
        <v>12426.16</v>
      </c>
      <c r="R26" s="19">
        <v>20.54136938897588</v>
      </c>
      <c r="S26" s="20">
        <f>SUM(AM26:AN26)/2 + (AQ26/$X$1)</f>
        <v>18.234096418422908</v>
      </c>
      <c r="T26" s="20">
        <f>VLOOKUP(AP26,ggg,3,0)</f>
        <v>23.54</v>
      </c>
      <c r="U26" s="20">
        <f t="shared" si="0"/>
        <v>12.129531398443007</v>
      </c>
      <c r="V26" s="20">
        <f>VLOOKUP(AP26,ggg,12,0)</f>
        <v>8.0500000000000007</v>
      </c>
      <c r="W26" s="20">
        <f>VLOOKUP(AP26,ggg,20,0)</f>
        <v>27.96</v>
      </c>
      <c r="X26" s="20">
        <f>VLOOKUP(AP26,ggg,32,0)</f>
        <v>3.1</v>
      </c>
      <c r="Y26" s="20">
        <f>VLOOKUP(AP26,ggg,28,0)</f>
        <v>3.45</v>
      </c>
      <c r="Z26" s="33"/>
      <c r="AA26" s="33"/>
      <c r="AC26">
        <f>C$3*(C$1-C26)/C$2</f>
        <v>1.1333333333333329E-2</v>
      </c>
      <c r="AD26">
        <f>D$3*(D$1-D26)/D$2</f>
        <v>0</v>
      </c>
      <c r="AE26">
        <f>E$3*(E$1-E26)/E$2</f>
        <v>-1.0883333333333312</v>
      </c>
      <c r="AF26">
        <f>F$3*(F$1-F26)/F$2</f>
        <v>-2.6724137931034435</v>
      </c>
      <c r="AG26">
        <f>G$3*(G$1-G26)/G$2</f>
        <v>0.62999999999999978</v>
      </c>
      <c r="AH26">
        <f>H$3*(H$1-H26)/H$2</f>
        <v>-1.2799999999999989</v>
      </c>
      <c r="AI26">
        <f>I$3*(I$1-I26)/I$2</f>
        <v>0</v>
      </c>
      <c r="AJ26">
        <f>(Q26-$M$1)/$M$2</f>
        <v>-0.51181500000000002</v>
      </c>
      <c r="AK26">
        <f>(J26-$Q$1)/$Q$2</f>
        <v>-1.2954467050052756</v>
      </c>
      <c r="AM26" s="3">
        <f>SUM(AC26:AK26)+M26+$T$1</f>
        <v>16.897889521871186</v>
      </c>
      <c r="AN26" s="3">
        <f>SUM(AC26:AK26)+M26+$T$1-AF26-AI26</f>
        <v>19.57030331497463</v>
      </c>
      <c r="AP26" t="str">
        <f>A26&amp;B26</f>
        <v>45491B</v>
      </c>
      <c r="AQ26">
        <f>VLOOKUP(AP26,kut,4,0)</f>
        <v>0</v>
      </c>
      <c r="AS26" s="3">
        <f t="shared" si="1"/>
        <v>10.793324501891284</v>
      </c>
      <c r="AT26" s="3">
        <f t="shared" si="2"/>
        <v>13.465738294994727</v>
      </c>
    </row>
    <row r="27" spans="1:46" x14ac:dyDescent="0.3">
      <c r="A27" s="17">
        <v>45491</v>
      </c>
      <c r="B27" s="18" t="s">
        <v>18</v>
      </c>
      <c r="C27" s="19">
        <v>8.0533333333333328</v>
      </c>
      <c r="D27" s="19">
        <v>37</v>
      </c>
      <c r="E27" s="19">
        <v>27.833333333333329</v>
      </c>
      <c r="F27" s="19">
        <v>56.62</v>
      </c>
      <c r="G27" s="19">
        <v>3.45</v>
      </c>
      <c r="H27" s="19">
        <v>3.097777777777778</v>
      </c>
      <c r="I27" s="19">
        <v>154.2222222222222</v>
      </c>
      <c r="J27" s="19">
        <v>9.6813285819536024</v>
      </c>
      <c r="K27" s="19">
        <v>8.7989257949549187E-3</v>
      </c>
      <c r="L27" s="19">
        <v>8.5185291789185866E-2</v>
      </c>
      <c r="M27" s="19">
        <v>27.0476804835147</v>
      </c>
      <c r="N27" s="19">
        <v>2.5895694627166032E-3</v>
      </c>
      <c r="O27" s="19">
        <v>5225</v>
      </c>
      <c r="P27" s="19">
        <v>81.376955297896757</v>
      </c>
      <c r="Q27" s="19">
        <v>30572.268800000009</v>
      </c>
      <c r="R27" s="19">
        <v>23.770614310109561</v>
      </c>
      <c r="S27" s="20">
        <f>SUM(AM27:AN27)/2 + (AQ27/$X$1)</f>
        <v>21.800709467500226</v>
      </c>
      <c r="T27" s="20">
        <f>VLOOKUP(AP27,ggg,3,0)</f>
        <v>25.99</v>
      </c>
      <c r="U27" s="20">
        <f t="shared" si="0"/>
        <v>14.753028983985526</v>
      </c>
      <c r="V27" s="20">
        <f>VLOOKUP(AP27,ggg,12,0)</f>
        <v>8.1999999999999993</v>
      </c>
      <c r="W27" s="20">
        <f>VLOOKUP(AP27,ggg,20,0)</f>
        <v>27.33</v>
      </c>
      <c r="X27" s="20">
        <f>VLOOKUP(AP27,ggg,32,0)</f>
        <v>3.18</v>
      </c>
      <c r="Y27" s="20">
        <f>VLOOKUP(AP27,ggg,28,0)</f>
        <v>3.45</v>
      </c>
      <c r="Z27" s="33"/>
      <c r="AA27" s="33"/>
      <c r="AC27">
        <f>C$3*(C$1-C27)/C$2</f>
        <v>1.9333333333333515E-2</v>
      </c>
      <c r="AD27">
        <f>D$3*(D$1-D27)/D$2</f>
        <v>0</v>
      </c>
      <c r="AE27">
        <f>E$3*(E$1-E27)/E$2</f>
        <v>-1.3527777777777732</v>
      </c>
      <c r="AF27">
        <f>F$3*(F$1-F27)/F$2</f>
        <v>-2.6724137931034435</v>
      </c>
      <c r="AG27">
        <f>G$3*(G$1-G27)/G$2</f>
        <v>1.0799999999999994</v>
      </c>
      <c r="AH27">
        <f>H$3*(H$1-H27)/H$2</f>
        <v>-1.5111111111111097</v>
      </c>
      <c r="AI27">
        <f>I$3*(I$1-I27)/I$2</f>
        <v>0</v>
      </c>
      <c r="AJ27">
        <f>(Q27-$M$1)/$M$2</f>
        <v>1.756448600000001</v>
      </c>
      <c r="AK27">
        <f>(J27-$Q$1)/$Q$2</f>
        <v>-0.90265716390720385</v>
      </c>
      <c r="AM27" s="3">
        <f>SUM(AC27:AK27)+M27+$T$1</f>
        <v>20.464502570948504</v>
      </c>
      <c r="AN27" s="3">
        <f>SUM(AC27:AK27)+M27+$T$1-AF27-AI27</f>
        <v>23.136916364051949</v>
      </c>
      <c r="AP27" t="str">
        <f>A27&amp;B27</f>
        <v>45491C</v>
      </c>
      <c r="AQ27">
        <f>VLOOKUP(AP27,kut,4,0)</f>
        <v>0</v>
      </c>
      <c r="AS27" s="3">
        <f t="shared" si="1"/>
        <v>13.416822087433804</v>
      </c>
      <c r="AT27" s="3">
        <f t="shared" si="2"/>
        <v>16.089235880537249</v>
      </c>
    </row>
    <row r="28" spans="1:46" x14ac:dyDescent="0.3">
      <c r="A28" s="17">
        <v>45492</v>
      </c>
      <c r="B28" s="18" t="s">
        <v>19</v>
      </c>
      <c r="C28" s="19">
        <v>8.1999999999999993</v>
      </c>
      <c r="D28" s="19">
        <v>38.666666666666657</v>
      </c>
      <c r="E28" s="19">
        <v>27.333333333333329</v>
      </c>
      <c r="F28" s="19">
        <v>56.62</v>
      </c>
      <c r="G28" s="19">
        <v>3.45</v>
      </c>
      <c r="H28" s="19">
        <v>3.18</v>
      </c>
      <c r="I28" s="19">
        <v>147.66666666666671</v>
      </c>
      <c r="J28" s="19">
        <v>9.2913318599488068</v>
      </c>
      <c r="K28" s="19">
        <v>5.5965338948196991E-3</v>
      </c>
      <c r="L28" s="19">
        <v>5.1999253682221663E-2</v>
      </c>
      <c r="M28" s="19">
        <v>25.449827670808549</v>
      </c>
      <c r="N28" s="19">
        <v>3.132540082201265</v>
      </c>
      <c r="O28" s="19">
        <v>5225</v>
      </c>
      <c r="P28" s="19">
        <v>81.400694106625167</v>
      </c>
      <c r="Q28" s="19">
        <v>8022.3119999999999</v>
      </c>
      <c r="R28" s="19">
        <v>21.095387699771479</v>
      </c>
      <c r="S28" s="20">
        <f>SUM(AM28:AN28)/2 + (AQ28/$X$1)</f>
        <v>18.96254994324811</v>
      </c>
      <c r="T28" s="20">
        <f>VLOOKUP(AP28,ggg,3,0)</f>
        <v>26.11</v>
      </c>
      <c r="U28" s="20">
        <f t="shared" si="0"/>
        <v>13.512722272439561</v>
      </c>
      <c r="V28" s="20">
        <f>VLOOKUP(AP28,ggg,12,0)</f>
        <v>8.3000000000000007</v>
      </c>
      <c r="W28" s="20">
        <f>VLOOKUP(AP28,ggg,20,0)</f>
        <v>27.1</v>
      </c>
      <c r="X28" s="20">
        <f>VLOOKUP(AP28,ggg,32,0)</f>
        <v>3.22</v>
      </c>
      <c r="Y28" s="20">
        <f>VLOOKUP(AP28,ggg,28,0)</f>
        <v>3.45</v>
      </c>
      <c r="Z28" s="33"/>
      <c r="AA28" s="33"/>
      <c r="AC28">
        <f>C$3*(C$1-C28)/C$2</f>
        <v>-9.9999999999997868E-3</v>
      </c>
      <c r="AD28">
        <f>D$3*(D$1-D28)/D$2</f>
        <v>0</v>
      </c>
      <c r="AE28">
        <f>E$3*(E$1-E28)/E$2</f>
        <v>-0.93611111111110645</v>
      </c>
      <c r="AF28">
        <f>F$3*(F$1-F28)/F$2</f>
        <v>-2.6724137931034435</v>
      </c>
      <c r="AG28">
        <f>G$3*(G$1-G28)/G$2</f>
        <v>1.0799999999999994</v>
      </c>
      <c r="AH28">
        <f>H$3*(H$1-H28)/H$2</f>
        <v>-1.099999999999999</v>
      </c>
      <c r="AI28">
        <f>I$3*(I$1-I28)/I$2</f>
        <v>0</v>
      </c>
      <c r="AJ28">
        <f>(Q28-$M$1)/$M$2</f>
        <v>-1.0622960000000001</v>
      </c>
      <c r="AK28">
        <f>(J28-$Q$1)/$Q$2</f>
        <v>-0.12266371989761282</v>
      </c>
      <c r="AM28" s="3">
        <f>SUM(AC28:AK28)+M28+$T$1</f>
        <v>17.626343046696388</v>
      </c>
      <c r="AN28" s="3">
        <f>SUM(AC28:AK28)+M28+$T$1-AF28-AI28</f>
        <v>20.298756839799832</v>
      </c>
      <c r="AP28" t="str">
        <f>A28&amp;B28</f>
        <v>45492A</v>
      </c>
      <c r="AQ28">
        <f>VLOOKUP(AP28,kut,4,0)</f>
        <v>0</v>
      </c>
      <c r="AS28" s="3">
        <f t="shared" si="1"/>
        <v>12.176515375887838</v>
      </c>
      <c r="AT28" s="3">
        <f t="shared" si="2"/>
        <v>14.848929168991281</v>
      </c>
    </row>
    <row r="29" spans="1:46" x14ac:dyDescent="0.3">
      <c r="A29" s="17">
        <v>45492</v>
      </c>
      <c r="B29" s="18" t="s">
        <v>20</v>
      </c>
      <c r="C29" s="19">
        <v>8.2724999999999991</v>
      </c>
      <c r="D29" s="19">
        <v>38</v>
      </c>
      <c r="E29" s="19">
        <v>27.135000000000002</v>
      </c>
      <c r="F29" s="19">
        <v>57.18</v>
      </c>
      <c r="G29" s="19">
        <v>3.45</v>
      </c>
      <c r="H29" s="19">
        <v>3.2250000000000001</v>
      </c>
      <c r="I29" s="19">
        <v>148.5</v>
      </c>
      <c r="J29" s="19">
        <v>10.067463220041491</v>
      </c>
      <c r="K29" s="19">
        <v>0</v>
      </c>
      <c r="L29" s="19">
        <v>0</v>
      </c>
      <c r="M29" s="19">
        <v>23.989908003697639</v>
      </c>
      <c r="N29" s="19">
        <v>8.9358717352815873</v>
      </c>
      <c r="O29" s="19">
        <v>5225</v>
      </c>
      <c r="P29" s="19">
        <v>81.467992733729901</v>
      </c>
      <c r="Q29" s="19">
        <v>0</v>
      </c>
      <c r="R29" s="19">
        <v>17.32901193914579</v>
      </c>
      <c r="S29" s="20">
        <f>SUM(AM29:AN29)/2 + (AQ29/$X$1)</f>
        <v>14.840597713039946</v>
      </c>
      <c r="T29" s="20">
        <f>VLOOKUP(AP29,ggg,3,0)</f>
        <v>27.2</v>
      </c>
      <c r="U29" s="20">
        <f t="shared" si="0"/>
        <v>10.850689709342307</v>
      </c>
      <c r="V29" s="20">
        <f>VLOOKUP(AP29,ggg,12,0)</f>
        <v>8.33</v>
      </c>
      <c r="W29" s="20">
        <f>VLOOKUP(AP29,ggg,20,0)</f>
        <v>27.63</v>
      </c>
      <c r="X29" s="20">
        <f>VLOOKUP(AP29,ggg,32,0)</f>
        <v>3.32</v>
      </c>
      <c r="Y29" s="20">
        <f>VLOOKUP(AP29,ggg,28,0)</f>
        <v>3.65</v>
      </c>
      <c r="Z29" s="33"/>
      <c r="AA29" s="33"/>
      <c r="AC29">
        <f>C$3*(C$1-C29)/C$2</f>
        <v>-2.4499999999999744E-2</v>
      </c>
      <c r="AD29">
        <f>D$3*(D$1-D29)/D$2</f>
        <v>0</v>
      </c>
      <c r="AE29">
        <f>E$3*(E$1-E29)/E$2</f>
        <v>-0.77083333333333393</v>
      </c>
      <c r="AF29">
        <f>F$3*(F$1-F29)/F$2</f>
        <v>-3.637931034482758</v>
      </c>
      <c r="AG29">
        <f>G$3*(G$1-G29)/G$2</f>
        <v>1.0799999999999994</v>
      </c>
      <c r="AH29">
        <f>H$3*(H$1-H29)/H$2</f>
        <v>-0.87499999999999922</v>
      </c>
      <c r="AI29">
        <f>I$3*(I$1-I29)/I$2</f>
        <v>0</v>
      </c>
      <c r="AJ29">
        <f>(Q29-$M$1)/$M$2</f>
        <v>-2.0650849999999998</v>
      </c>
      <c r="AK29">
        <f>(J29-$Q$1)/$Q$2</f>
        <v>-1.6749264400829809</v>
      </c>
      <c r="AM29" s="3">
        <f>SUM(AC29:AK29)+M29+$T$1</f>
        <v>13.021632195798567</v>
      </c>
      <c r="AN29" s="3">
        <f>SUM(AC29:AK29)+M29+$T$1-AF29-AI29</f>
        <v>16.659563230281325</v>
      </c>
      <c r="AP29" t="str">
        <f>A29&amp;B29</f>
        <v>45492B</v>
      </c>
      <c r="AQ29">
        <f>VLOOKUP(AP29,kut,4,0)</f>
        <v>0</v>
      </c>
      <c r="AS29" s="3">
        <f t="shared" si="1"/>
        <v>9.0317241921009277</v>
      </c>
      <c r="AT29" s="3">
        <f t="shared" si="2"/>
        <v>12.669655226583686</v>
      </c>
    </row>
    <row r="30" spans="1:46" x14ac:dyDescent="0.3">
      <c r="A30" s="17">
        <v>45492</v>
      </c>
      <c r="B30" s="18" t="s">
        <v>18</v>
      </c>
      <c r="C30" s="19">
        <v>8.3349999999999991</v>
      </c>
      <c r="D30" s="19">
        <v>36.444444444444443</v>
      </c>
      <c r="E30" s="19">
        <v>27.68888888888889</v>
      </c>
      <c r="F30" s="19">
        <v>57.18</v>
      </c>
      <c r="G30" s="19">
        <v>3.65</v>
      </c>
      <c r="H30" s="19">
        <v>3.3266666666666662</v>
      </c>
      <c r="I30" s="19">
        <v>156.33333333333329</v>
      </c>
      <c r="J30" s="19">
        <v>9.8173483338489138</v>
      </c>
      <c r="K30" s="19">
        <v>5.3748160989136864E-3</v>
      </c>
      <c r="L30" s="19">
        <v>5.2766441873414588E-2</v>
      </c>
      <c r="M30" s="19">
        <v>22.514807415383579</v>
      </c>
      <c r="N30" s="19">
        <v>6.4875384218121379</v>
      </c>
      <c r="O30" s="19">
        <v>5225</v>
      </c>
      <c r="P30" s="19">
        <v>81.407207229465627</v>
      </c>
      <c r="Q30" s="19">
        <v>21321.599999999999</v>
      </c>
      <c r="R30" s="19">
        <v>13.86760688883879</v>
      </c>
      <c r="S30" s="20">
        <f>SUM(AM30:AN30)/2 + (AQ30/$X$1)</f>
        <v>15.965186156370299</v>
      </c>
      <c r="T30" s="20">
        <f>VLOOKUP(AP30,ggg,3,0)</f>
        <v>18.059999999999999</v>
      </c>
      <c r="U30" s="20">
        <f t="shared" si="0"/>
        <v>13.45037874098672</v>
      </c>
      <c r="V30" s="20">
        <f>VLOOKUP(AP30,ggg,12,0)</f>
        <v>8.6999999999999993</v>
      </c>
      <c r="W30" s="20">
        <f>VLOOKUP(AP30,ggg,20,0)</f>
        <v>29.03</v>
      </c>
      <c r="X30" s="20">
        <f>VLOOKUP(AP30,ggg,32,0)</f>
        <v>3.34</v>
      </c>
      <c r="Y30" s="20">
        <f>VLOOKUP(AP30,ggg,28,0)</f>
        <v>3.65</v>
      </c>
      <c r="Z30" s="33"/>
      <c r="AA30" s="33"/>
      <c r="AC30">
        <f>C$3*(C$1-C30)/C$2</f>
        <v>-3.6999999999999748E-2</v>
      </c>
      <c r="AD30">
        <f>D$3*(D$1-D30)/D$2</f>
        <v>0</v>
      </c>
      <c r="AE30">
        <f>E$3*(E$1-E30)/E$2</f>
        <v>-1.2324074074074076</v>
      </c>
      <c r="AF30">
        <f>F$3*(F$1-F30)/F$2</f>
        <v>-3.637931034482758</v>
      </c>
      <c r="AG30">
        <f>G$3*(G$1-G30)/G$2</f>
        <v>0.48000000000000043</v>
      </c>
      <c r="AH30">
        <f>H$3*(H$1-H30)/H$2</f>
        <v>-0.36666666666666847</v>
      </c>
      <c r="AI30">
        <f>I$3*(I$1-I30)/I$2</f>
        <v>0</v>
      </c>
      <c r="AJ30">
        <f>(Q30-$M$1)/$M$2</f>
        <v>0.60011499999999973</v>
      </c>
      <c r="AK30">
        <f>(J30-$Q$1)/$Q$2</f>
        <v>-1.1746966676978268</v>
      </c>
      <c r="AM30" s="3">
        <f>SUM(AC30:AK30)+M30+$T$1</f>
        <v>14.14622063912892</v>
      </c>
      <c r="AN30" s="3">
        <f>SUM(AC30:AK30)+M30+$T$1-AF30-AI30</f>
        <v>17.784151673611678</v>
      </c>
      <c r="AP30" t="str">
        <f>A30&amp;B30</f>
        <v>45492C</v>
      </c>
      <c r="AQ30">
        <f>VLOOKUP(AP30,kut,4,0)</f>
        <v>0</v>
      </c>
      <c r="AS30" s="3">
        <f t="shared" si="1"/>
        <v>11.631413223745341</v>
      </c>
      <c r="AT30" s="3">
        <f t="shared" si="2"/>
        <v>15.269344258228099</v>
      </c>
    </row>
    <row r="31" spans="1:46" x14ac:dyDescent="0.3">
      <c r="A31" s="17">
        <v>45495</v>
      </c>
      <c r="B31" s="18" t="s">
        <v>19</v>
      </c>
      <c r="C31" s="19">
        <v>8.5</v>
      </c>
      <c r="D31" s="19">
        <v>35.25</v>
      </c>
      <c r="E31" s="19">
        <v>28.55</v>
      </c>
      <c r="F31" s="19">
        <v>57.18</v>
      </c>
      <c r="G31" s="19">
        <v>3.65</v>
      </c>
      <c r="H31" s="19">
        <v>3.33</v>
      </c>
      <c r="I31" s="19">
        <v>155.25</v>
      </c>
      <c r="J31" s="19">
        <v>8.8521805732000125</v>
      </c>
      <c r="K31" s="19">
        <v>7.1173540178426911E-3</v>
      </c>
      <c r="L31" s="19">
        <v>6.3004102969334119E-2</v>
      </c>
      <c r="M31" s="19">
        <v>20.154051346386961</v>
      </c>
      <c r="N31" s="19">
        <v>3.3028439083518761</v>
      </c>
      <c r="O31" s="19">
        <v>5225</v>
      </c>
      <c r="P31" s="19">
        <v>81.321278394310056</v>
      </c>
      <c r="Q31" s="19">
        <v>20730.240000000009</v>
      </c>
      <c r="R31" s="19">
        <v>13.220601242294981</v>
      </c>
      <c r="S31" s="20">
        <f>SUM(AM31:AN31)/2 + (AQ31/$X$1)</f>
        <v>16.51571055774556</v>
      </c>
      <c r="T31" s="20">
        <f>VLOOKUP(AP31,ggg,3,0)</f>
        <v>19.690000000000001</v>
      </c>
      <c r="U31" s="20">
        <f t="shared" si="0"/>
        <v>16.361659211358599</v>
      </c>
      <c r="V31" s="20">
        <f>VLOOKUP(AP31,ggg,12,0)</f>
        <v>8.33</v>
      </c>
      <c r="W31" s="20">
        <f>VLOOKUP(AP31,ggg,20,0)</f>
        <v>27.92</v>
      </c>
      <c r="X31" s="20">
        <f>VLOOKUP(AP31,ggg,32,0)</f>
        <v>3.5</v>
      </c>
      <c r="Y31" s="20">
        <f>VLOOKUP(AP31,ggg,28,0)</f>
        <v>3.65</v>
      </c>
      <c r="Z31" s="33"/>
      <c r="AA31" s="33"/>
      <c r="AC31">
        <f>C$3*(C$1-C31)/C$2</f>
        <v>-6.9999999999999937E-2</v>
      </c>
      <c r="AD31">
        <f>D$3*(D$1-D31)/D$2</f>
        <v>0</v>
      </c>
      <c r="AE31">
        <f>E$3*(E$1-E31)/E$2</f>
        <v>-1.95</v>
      </c>
      <c r="AF31">
        <f>F$3*(F$1-F31)/F$2</f>
        <v>-3.637931034482758</v>
      </c>
      <c r="AG31">
        <f>G$3*(G$1-G31)/G$2</f>
        <v>0.48000000000000043</v>
      </c>
      <c r="AH31">
        <f>H$3*(H$1-H31)/H$2</f>
        <v>-0.3499999999999992</v>
      </c>
      <c r="AI31">
        <f>I$3*(I$1-I31)/I$2</f>
        <v>0</v>
      </c>
      <c r="AJ31">
        <f>(Q31-$M$1)/$M$2</f>
        <v>0.52619500000000108</v>
      </c>
      <c r="AK31">
        <f>(J31-$Q$1)/$Q$2</f>
        <v>0.75563885359997585</v>
      </c>
      <c r="AM31" s="3">
        <f>SUM(AC31:AK31)+M31+$T$1</f>
        <v>12.907954165504181</v>
      </c>
      <c r="AN31" s="3">
        <f>SUM(AC31:AK31)+M31+$T$1-AF31-AI31</f>
        <v>16.545885199986941</v>
      </c>
      <c r="AP31" t="str">
        <f>A31&amp;B31</f>
        <v>45495A</v>
      </c>
      <c r="AQ31">
        <f>VLOOKUP(AP31,kut,4,0)</f>
        <v>14310.327000000001</v>
      </c>
      <c r="AS31" s="3">
        <f t="shared" si="1"/>
        <v>12.75390281911722</v>
      </c>
      <c r="AT31" s="3">
        <f t="shared" si="2"/>
        <v>16.391833853599977</v>
      </c>
    </row>
    <row r="32" spans="1:46" x14ac:dyDescent="0.3">
      <c r="A32" s="17">
        <v>45495</v>
      </c>
      <c r="B32" s="18" t="s">
        <v>20</v>
      </c>
      <c r="C32" s="19">
        <v>8.33</v>
      </c>
      <c r="D32" s="19">
        <v>39.166666666666657</v>
      </c>
      <c r="E32" s="19">
        <v>27.68333333333333</v>
      </c>
      <c r="F32" s="19">
        <v>56.784999999999997</v>
      </c>
      <c r="G32" s="19">
        <v>3.65</v>
      </c>
      <c r="H32" s="19">
        <v>3.53</v>
      </c>
      <c r="I32" s="19">
        <v>151.83333333333329</v>
      </c>
      <c r="J32" s="19">
        <v>10.064661102451559</v>
      </c>
      <c r="K32" s="19">
        <v>3.3799358589325809E-4</v>
      </c>
      <c r="L32" s="19">
        <v>3.4017908968179949E-3</v>
      </c>
      <c r="M32" s="19">
        <v>19.293635887365419</v>
      </c>
      <c r="N32" s="19">
        <v>8.983645027642698</v>
      </c>
      <c r="O32" s="19">
        <v>5225</v>
      </c>
      <c r="P32" s="19">
        <v>114.6621425088624</v>
      </c>
      <c r="Q32" s="19">
        <v>1043.2</v>
      </c>
      <c r="R32" s="19">
        <v>13.2956278258028</v>
      </c>
      <c r="S32" s="20">
        <f>SUM(AM32:AN32)/2 + (AQ32/$X$1)</f>
        <v>11.97008275382246</v>
      </c>
      <c r="T32" s="20">
        <f>VLOOKUP(AP32,ggg,3,0)</f>
        <v>20.71</v>
      </c>
      <c r="U32" s="20">
        <f t="shared" si="0"/>
        <v>12.676446866457042</v>
      </c>
      <c r="V32" s="20">
        <f>VLOOKUP(AP32,ggg,12,0)</f>
        <v>8.6</v>
      </c>
      <c r="W32" s="20">
        <f>VLOOKUP(AP32,ggg,20,0)</f>
        <v>27.9</v>
      </c>
      <c r="X32" s="20">
        <f>VLOOKUP(AP32,ggg,32,0)</f>
        <v>3.54</v>
      </c>
      <c r="Y32" s="20">
        <f>VLOOKUP(AP32,ggg,28,0)</f>
        <v>3.83</v>
      </c>
      <c r="Z32" s="33"/>
      <c r="AA32" s="33"/>
      <c r="AC32">
        <f>C$3*(C$1-C32)/C$2</f>
        <v>-3.5999999999999942E-2</v>
      </c>
      <c r="AD32">
        <f>D$3*(D$1-D32)/D$2</f>
        <v>0</v>
      </c>
      <c r="AE32">
        <f>E$3*(E$1-E32)/E$2</f>
        <v>-1.2277777777777743</v>
      </c>
      <c r="AF32">
        <f>F$3*(F$1-F32)/F$2</f>
        <v>-2.9568965517241317</v>
      </c>
      <c r="AG32">
        <f>G$3*(G$1-G32)/G$2</f>
        <v>0.48000000000000043</v>
      </c>
      <c r="AH32">
        <f>H$3*(H$1-H32)/H$2</f>
        <v>0.64999999999999958</v>
      </c>
      <c r="AI32">
        <f>I$3*(I$1-I32)/I$2</f>
        <v>0</v>
      </c>
      <c r="AJ32">
        <f>(Q32-$M$1)/$M$2</f>
        <v>-1.934685</v>
      </c>
      <c r="AK32">
        <f>(J32-$Q$1)/$Q$2</f>
        <v>-1.6693222049031178</v>
      </c>
      <c r="AM32" s="3">
        <f>SUM(AC32:AK32)+M32+$T$1</f>
        <v>9.5989543529603942</v>
      </c>
      <c r="AN32" s="3">
        <f>SUM(AC32:AK32)+M32+$T$1-AF32-AI32</f>
        <v>12.555850904684526</v>
      </c>
      <c r="AP32" t="str">
        <f>A32&amp;B32</f>
        <v>45495B</v>
      </c>
      <c r="AQ32">
        <f>VLOOKUP(AP32,kut,4,0)</f>
        <v>7141.4410000000007</v>
      </c>
      <c r="AS32" s="3">
        <f t="shared" si="1"/>
        <v>10.305318465594976</v>
      </c>
      <c r="AT32" s="3">
        <f t="shared" si="2"/>
        <v>13.262215017319107</v>
      </c>
    </row>
    <row r="33" spans="1:46" x14ac:dyDescent="0.3">
      <c r="A33" s="17">
        <v>45495</v>
      </c>
      <c r="B33" s="18" t="s">
        <v>18</v>
      </c>
      <c r="C33" s="19">
        <v>8.604000000000001</v>
      </c>
      <c r="D33" s="19">
        <v>38.125</v>
      </c>
      <c r="E33" s="19">
        <v>28.3</v>
      </c>
      <c r="F33" s="19">
        <v>56.39</v>
      </c>
      <c r="G33" s="19">
        <v>3.83</v>
      </c>
      <c r="H33" s="19">
        <v>3.54</v>
      </c>
      <c r="I33" s="19">
        <v>154.25</v>
      </c>
      <c r="J33" s="19">
        <v>10.67656125189991</v>
      </c>
      <c r="K33" s="19">
        <v>1.227328112623359E-3</v>
      </c>
      <c r="L33" s="19">
        <v>1.3103643770602001E-2</v>
      </c>
      <c r="M33" s="19">
        <v>13.478006319203271</v>
      </c>
      <c r="N33" s="19">
        <v>8.9836486448000787</v>
      </c>
      <c r="O33" s="19">
        <v>5225</v>
      </c>
      <c r="P33" s="19">
        <v>120.47994485726861</v>
      </c>
      <c r="Q33" s="19">
        <v>4853.76</v>
      </c>
      <c r="R33" s="19">
        <v>13.327646303744199</v>
      </c>
      <c r="S33" s="20">
        <f>SUM(AM33:AN33)/2 + (AQ33/$X$1)</f>
        <v>3.7961211142540252</v>
      </c>
      <c r="T33" s="20">
        <f>VLOOKUP(AP33,ggg,3,0)</f>
        <v>16.649999999999999</v>
      </c>
      <c r="U33" s="20">
        <f t="shared" si="0"/>
        <v>10.318114795050754</v>
      </c>
      <c r="V33" s="20">
        <f>VLOOKUP(AP33,ggg,12,0)</f>
        <v>8.6199999999999992</v>
      </c>
      <c r="W33" s="20">
        <f>VLOOKUP(AP33,ggg,20,0)</f>
        <v>26.94</v>
      </c>
      <c r="X33" s="20">
        <f>VLOOKUP(AP33,ggg,32,0)</f>
        <v>3.45</v>
      </c>
      <c r="Y33" s="20">
        <f>VLOOKUP(AP33,ggg,28,0)</f>
        <v>3.98</v>
      </c>
      <c r="Z33" s="33"/>
      <c r="AA33" s="33"/>
      <c r="AC33">
        <f>C$3*(C$1-C33)/C$2</f>
        <v>-9.0800000000000131E-2</v>
      </c>
      <c r="AD33">
        <f>D$3*(D$1-D33)/D$2</f>
        <v>0</v>
      </c>
      <c r="AE33">
        <f>E$3*(E$1-E33)/E$2</f>
        <v>-1.7416666666666667</v>
      </c>
      <c r="AF33">
        <f>F$3*(F$1-F33)/F$2</f>
        <v>-2.2758620689655178</v>
      </c>
      <c r="AG33">
        <f>G$3*(G$1-G33)/G$2</f>
        <v>-6.0000000000000053E-2</v>
      </c>
      <c r="AH33">
        <f>H$3*(H$1-H33)/H$2</f>
        <v>0.70000000000000062</v>
      </c>
      <c r="AI33">
        <f>I$3*(I$1-I33)/I$2</f>
        <v>0</v>
      </c>
      <c r="AJ33">
        <f>(Q33-$M$1)/$M$2</f>
        <v>-1.4583649999999999</v>
      </c>
      <c r="AK33">
        <f>(J33-$Q$1)/$Q$2</f>
        <v>-2.8931225037998196</v>
      </c>
      <c r="AM33" s="3">
        <f>SUM(AC33:AK33)+M33+$T$1</f>
        <v>2.6581900797712663</v>
      </c>
      <c r="AN33" s="3">
        <f>SUM(AC33:AK33)+M33+$T$1-AF33-AI33</f>
        <v>4.9340521487367841</v>
      </c>
      <c r="AP33" t="str">
        <f>A33&amp;B33</f>
        <v>45495C</v>
      </c>
      <c r="AQ33">
        <f>VLOOKUP(AP33,kut,4,0)</f>
        <v>0</v>
      </c>
      <c r="AS33" s="3">
        <f t="shared" si="1"/>
        <v>9.1801837605679957</v>
      </c>
      <c r="AT33" s="3">
        <f t="shared" si="2"/>
        <v>11.456045829533513</v>
      </c>
    </row>
    <row r="34" spans="1:46" x14ac:dyDescent="0.3">
      <c r="A34" s="17">
        <v>45496</v>
      </c>
      <c r="B34" s="18" t="s">
        <v>19</v>
      </c>
      <c r="C34" s="19">
        <v>8.625</v>
      </c>
      <c r="D34" s="19">
        <v>39.666666666666657</v>
      </c>
      <c r="E34" s="19">
        <v>26.934999999999999</v>
      </c>
      <c r="F34" s="19">
        <v>56.39</v>
      </c>
      <c r="G34" s="19">
        <v>3.98</v>
      </c>
      <c r="H34" s="19">
        <v>3.4466666666666672</v>
      </c>
      <c r="I34" s="19">
        <v>152.5</v>
      </c>
      <c r="J34" s="19">
        <v>8.3683118560744738</v>
      </c>
      <c r="K34" s="19">
        <v>1.146239842486328E-2</v>
      </c>
      <c r="L34" s="19">
        <v>9.592092463783275E-2</v>
      </c>
      <c r="M34" s="19">
        <v>16.2951539628021</v>
      </c>
      <c r="N34" s="19">
        <v>2.584863401659507E-3</v>
      </c>
      <c r="O34" s="19">
        <v>5225</v>
      </c>
      <c r="P34" s="19">
        <v>87.871900169385157</v>
      </c>
      <c r="Q34" s="19">
        <v>36682.080000000002</v>
      </c>
      <c r="R34" s="19">
        <v>13.25532391498464</v>
      </c>
      <c r="S34" s="20">
        <f>SUM(AM34:AN34)/2 + (AQ34/$X$1)</f>
        <v>15.424940882837067</v>
      </c>
      <c r="T34" s="20">
        <f>VLOOKUP(AP34,ggg,3,0)</f>
        <v>14.34</v>
      </c>
      <c r="U34" s="20">
        <f t="shared" si="0"/>
        <v>19.129786920034967</v>
      </c>
      <c r="V34" s="20">
        <f>VLOOKUP(AP34,ggg,12,0)</f>
        <v>8</v>
      </c>
      <c r="W34" s="20">
        <f>VLOOKUP(AP34,ggg,20,0)</f>
        <v>27.95</v>
      </c>
      <c r="X34" s="20">
        <f>VLOOKUP(AP34,ggg,32,0)</f>
        <v>3.3</v>
      </c>
      <c r="Y34" s="20">
        <f>VLOOKUP(AP34,ggg,28,0)</f>
        <v>3.98</v>
      </c>
      <c r="Z34" s="33"/>
      <c r="AA34" s="33"/>
      <c r="AC34">
        <f>C$3*(C$1-C34)/C$2</f>
        <v>-9.4999999999999932E-2</v>
      </c>
      <c r="AD34">
        <f>D$3*(D$1-D34)/D$2</f>
        <v>0</v>
      </c>
      <c r="AE34">
        <f>E$3*(E$1-E34)/E$2</f>
        <v>-0.60416666666666496</v>
      </c>
      <c r="AF34">
        <f>F$3*(F$1-F34)/F$2</f>
        <v>-2.2758620689655178</v>
      </c>
      <c r="AG34">
        <f>G$3*(G$1-G34)/G$2</f>
        <v>-0.50999999999999968</v>
      </c>
      <c r="AH34">
        <f>H$3*(H$1-H34)/H$2</f>
        <v>0.2333333333333365</v>
      </c>
      <c r="AI34">
        <f>I$3*(I$1-I34)/I$2</f>
        <v>0</v>
      </c>
      <c r="AJ34">
        <f>(Q34-$M$1)/$M$2</f>
        <v>2.5201750000000001</v>
      </c>
      <c r="AK34">
        <f>(J34-$Q$1)/$Q$2</f>
        <v>1.7233762878510532</v>
      </c>
      <c r="AM34" s="3">
        <f>SUM(AC34:AK34)+M34+$T$1</f>
        <v>14.287009848354309</v>
      </c>
      <c r="AN34" s="3">
        <f>SUM(AC34:AK34)+M34+$T$1-AF34-AI34</f>
        <v>16.562871917319825</v>
      </c>
      <c r="AP34" t="str">
        <f>A34&amp;B34</f>
        <v>45496A</v>
      </c>
      <c r="AQ34">
        <f>VLOOKUP(AP34,kut,4,0)</f>
        <v>0</v>
      </c>
      <c r="AS34" s="3">
        <f t="shared" si="1"/>
        <v>17.991855885552209</v>
      </c>
      <c r="AT34" s="3">
        <f t="shared" si="2"/>
        <v>20.267717954517728</v>
      </c>
    </row>
    <row r="35" spans="1:46" x14ac:dyDescent="0.3">
      <c r="A35" s="17">
        <v>45496</v>
      </c>
      <c r="B35" s="18" t="s">
        <v>20</v>
      </c>
      <c r="C35" s="19">
        <v>8.1875</v>
      </c>
      <c r="D35" s="19">
        <v>36.166666666666657</v>
      </c>
      <c r="E35" s="19">
        <v>26.86</v>
      </c>
      <c r="F35" s="19">
        <v>55.84</v>
      </c>
      <c r="G35" s="19">
        <v>3.98</v>
      </c>
      <c r="H35" s="19">
        <v>3.29</v>
      </c>
      <c r="I35" s="19">
        <v>151</v>
      </c>
      <c r="J35" s="19">
        <v>9.1332604922754062</v>
      </c>
      <c r="K35" s="19">
        <v>2.217876322694537E-3</v>
      </c>
      <c r="L35" s="19">
        <v>2.025644219481907E-2</v>
      </c>
      <c r="M35" s="19">
        <v>16.877810737192231</v>
      </c>
      <c r="N35" s="19">
        <v>2.5851898391252492E-3</v>
      </c>
      <c r="O35" s="19">
        <v>5225</v>
      </c>
      <c r="P35" s="19">
        <v>87.740571824673395</v>
      </c>
      <c r="Q35" s="19">
        <v>5366.6</v>
      </c>
      <c r="R35" s="19">
        <v>14.80279544839674</v>
      </c>
      <c r="S35" s="20">
        <f>SUM(AM35:AN35)/2 + (AQ35/$X$1)</f>
        <v>10.404069982526476</v>
      </c>
      <c r="T35" s="20">
        <f>VLOOKUP(AP35,ggg,3,0)</f>
        <v>16.760000000000002</v>
      </c>
      <c r="U35" s="20">
        <f t="shared" si="0"/>
        <v>13.526259245334245</v>
      </c>
      <c r="V35" s="20">
        <f>VLOOKUP(AP35,ggg,12,0)</f>
        <v>8.3000000000000007</v>
      </c>
      <c r="W35" s="20">
        <f>VLOOKUP(AP35,ggg,20,0)</f>
        <v>27.09</v>
      </c>
      <c r="X35" s="20">
        <f>VLOOKUP(AP35,ggg,32,0)</f>
        <v>3.41</v>
      </c>
      <c r="Y35" s="20">
        <f>VLOOKUP(AP35,ggg,28,0)</f>
        <v>3.89</v>
      </c>
      <c r="Z35" s="33"/>
      <c r="AA35" s="33"/>
      <c r="AC35">
        <f>C$3*(C$1-C35)/C$2</f>
        <v>-7.4999999999999295E-3</v>
      </c>
      <c r="AD35">
        <f>D$3*(D$1-D35)/D$2</f>
        <v>0</v>
      </c>
      <c r="AE35">
        <f>E$3*(E$1-E35)/E$2</f>
        <v>-0.54166666666666552</v>
      </c>
      <c r="AF35">
        <f>F$3*(F$1-F35)/F$2</f>
        <v>-1.3275862068965572</v>
      </c>
      <c r="AG35">
        <f>G$3*(G$1-G35)/G$2</f>
        <v>-0.50999999999999968</v>
      </c>
      <c r="AH35">
        <f>H$3*(H$1-H35)/H$2</f>
        <v>-0.54999999999999949</v>
      </c>
      <c r="AI35">
        <f>I$3*(I$1-I35)/I$2</f>
        <v>0</v>
      </c>
      <c r="AJ35">
        <f>(Q35-$M$1)/$M$2</f>
        <v>-1.3942600000000001</v>
      </c>
      <c r="AK35">
        <f>(J35-$Q$1)/$Q$2</f>
        <v>0.19347901544918855</v>
      </c>
      <c r="AM35" s="3">
        <f>SUM(AC35:AK35)+M35+$T$1</f>
        <v>9.7402768790781984</v>
      </c>
      <c r="AN35" s="3">
        <f>SUM(AC35:AK35)+M35+$T$1-AF35-AI35</f>
        <v>11.067863085974755</v>
      </c>
      <c r="AP35" t="str">
        <f>A35&amp;B35</f>
        <v>45496B</v>
      </c>
      <c r="AQ35">
        <f>VLOOKUP(AP35,kut,4,0)</f>
        <v>0</v>
      </c>
      <c r="AS35" s="3">
        <f t="shared" si="1"/>
        <v>12.862466141885967</v>
      </c>
      <c r="AT35" s="3">
        <f t="shared" si="2"/>
        <v>14.190052348782524</v>
      </c>
    </row>
    <row r="36" spans="1:46" x14ac:dyDescent="0.3">
      <c r="A36" s="17">
        <v>45496</v>
      </c>
      <c r="B36" s="18" t="s">
        <v>18</v>
      </c>
      <c r="C36" s="19">
        <v>8.25</v>
      </c>
      <c r="D36" s="19">
        <v>38.625</v>
      </c>
      <c r="E36" s="19">
        <v>27.306249999999999</v>
      </c>
      <c r="F36" s="19">
        <v>55.84</v>
      </c>
      <c r="G36" s="19">
        <v>3.89</v>
      </c>
      <c r="H36" s="19">
        <v>3.34</v>
      </c>
      <c r="I36" s="19">
        <v>154.875</v>
      </c>
      <c r="J36" s="19">
        <v>10.753854159079269</v>
      </c>
      <c r="K36" s="19">
        <v>6.7072139208773657E-3</v>
      </c>
      <c r="L36" s="19">
        <v>7.2128400318861474E-2</v>
      </c>
      <c r="M36" s="19">
        <v>18.781010262826779</v>
      </c>
      <c r="N36" s="19">
        <v>2.595450779231991E-3</v>
      </c>
      <c r="O36" s="19">
        <v>5224.9999999999991</v>
      </c>
      <c r="P36" s="19">
        <v>91.921649320831889</v>
      </c>
      <c r="Q36" s="19">
        <v>28321</v>
      </c>
      <c r="R36" s="19">
        <v>15.888171796789059</v>
      </c>
      <c r="S36" s="20">
        <f>SUM(AM36:AN36)/2 + (AQ36/$X$1)</f>
        <v>12.071007174553298</v>
      </c>
      <c r="T36" s="20">
        <f>VLOOKUP(AP36,ggg,3,0)</f>
        <v>18.64</v>
      </c>
      <c r="U36" s="20">
        <f t="shared" si="0"/>
        <v>13.289996911726519</v>
      </c>
      <c r="V36" s="20">
        <f>VLOOKUP(AP36,ggg,12,0)</f>
        <v>8.1999999999999993</v>
      </c>
      <c r="W36" s="20">
        <f>VLOOKUP(AP36,ggg,20,0)</f>
        <v>26.62</v>
      </c>
      <c r="X36" s="20">
        <f>VLOOKUP(AP36,ggg,32,0)</f>
        <v>3.19</v>
      </c>
      <c r="Y36" s="20">
        <f>VLOOKUP(AP36,ggg,28,0)</f>
        <v>3.89</v>
      </c>
      <c r="Z36" s="33"/>
      <c r="AA36" s="33"/>
      <c r="AC36">
        <f>C$3*(C$1-C36)/C$2</f>
        <v>-1.9999999999999931E-2</v>
      </c>
      <c r="AD36">
        <f>D$3*(D$1-D36)/D$2</f>
        <v>0</v>
      </c>
      <c r="AE36">
        <f>E$3*(E$1-E36)/E$2</f>
        <v>-0.91354166666666481</v>
      </c>
      <c r="AF36">
        <f>F$3*(F$1-F36)/F$2</f>
        <v>-1.3275862068965572</v>
      </c>
      <c r="AG36">
        <f>G$3*(G$1-G36)/G$2</f>
        <v>-0.24000000000000021</v>
      </c>
      <c r="AH36">
        <f>H$3*(H$1-H36)/H$2</f>
        <v>-0.30000000000000027</v>
      </c>
      <c r="AI36">
        <f>I$3*(I$1-I36)/I$2</f>
        <v>0</v>
      </c>
      <c r="AJ36">
        <f>(Q36-$M$1)/$M$2</f>
        <v>1.4750399999999999</v>
      </c>
      <c r="AK36">
        <f>(J36-$Q$1)/$Q$2</f>
        <v>-3.0477083181585378</v>
      </c>
      <c r="AM36" s="3">
        <f>SUM(AC36:AK36)+M36+$T$1</f>
        <v>11.407214071105019</v>
      </c>
      <c r="AN36" s="3">
        <f>SUM(AC36:AK36)+M36+$T$1-AF36-AI36</f>
        <v>12.734800278001575</v>
      </c>
      <c r="AP36" t="str">
        <f>A36&amp;B36</f>
        <v>45496C</v>
      </c>
      <c r="AQ36">
        <f>VLOOKUP(AP36,kut,4,0)</f>
        <v>0</v>
      </c>
      <c r="AS36" s="3">
        <f t="shared" si="1"/>
        <v>12.626203808278239</v>
      </c>
      <c r="AT36" s="3">
        <f t="shared" si="2"/>
        <v>13.953790015174796</v>
      </c>
    </row>
    <row r="37" spans="1:46" x14ac:dyDescent="0.3">
      <c r="A37" s="17">
        <v>45497</v>
      </c>
      <c r="B37" s="18" t="s">
        <v>19</v>
      </c>
      <c r="C37" s="19">
        <v>8.2000000000000011</v>
      </c>
      <c r="D37" s="19">
        <v>37.333333333333343</v>
      </c>
      <c r="E37" s="19">
        <v>26.623333333333331</v>
      </c>
      <c r="F37" s="19">
        <v>55.84</v>
      </c>
      <c r="G37" s="19">
        <v>3.89</v>
      </c>
      <c r="H37" s="19">
        <v>3.186666666666667</v>
      </c>
      <c r="I37" s="19">
        <v>144.5</v>
      </c>
      <c r="J37" s="19">
        <v>6.682436595205548</v>
      </c>
      <c r="K37" s="19">
        <v>1.3019846842391371E-3</v>
      </c>
      <c r="L37" s="19">
        <v>8.700430100356751E-3</v>
      </c>
      <c r="M37" s="19">
        <v>19.28666715486095</v>
      </c>
      <c r="N37" s="19">
        <v>2.583181010113188E-3</v>
      </c>
      <c r="O37" s="19">
        <v>5225</v>
      </c>
      <c r="P37" s="19">
        <v>81.256704145491341</v>
      </c>
      <c r="Q37" s="19">
        <v>3914.2800000000011</v>
      </c>
      <c r="R37" s="19">
        <v>18.614640844909228</v>
      </c>
      <c r="S37" s="20">
        <f>SUM(AM37:AN37)/2 + (AQ37/$X$1)</f>
        <v>17.481089749890472</v>
      </c>
      <c r="T37" s="20">
        <f>VLOOKUP(AP37,ggg,3,0)</f>
        <v>22.97</v>
      </c>
      <c r="U37" s="20">
        <f t="shared" si="0"/>
        <v>18.194422595029522</v>
      </c>
      <c r="V37" s="20">
        <f>VLOOKUP(AP37,ggg,12,0)</f>
        <v>8.02</v>
      </c>
      <c r="W37" s="20">
        <f>VLOOKUP(AP37,ggg,20,0)</f>
        <v>26.3</v>
      </c>
      <c r="X37" s="20">
        <f>VLOOKUP(AP37,ggg,32,0)</f>
        <v>3.29</v>
      </c>
      <c r="Y37" s="20">
        <f>VLOOKUP(AP37,ggg,28,0)</f>
        <v>3.72</v>
      </c>
      <c r="Z37" s="33"/>
      <c r="AA37" s="33"/>
      <c r="AC37">
        <f>C$3*(C$1-C37)/C$2</f>
        <v>-1.0000000000000142E-2</v>
      </c>
      <c r="AD37">
        <f>D$3*(D$1-D37)/D$2</f>
        <v>0</v>
      </c>
      <c r="AE37">
        <f>E$3*(E$1-E37)/E$2</f>
        <v>-0.34444444444444205</v>
      </c>
      <c r="AF37">
        <f>F$3*(F$1-F37)/F$2</f>
        <v>-1.3275862068965572</v>
      </c>
      <c r="AG37">
        <f>G$3*(G$1-G37)/G$2</f>
        <v>-0.24000000000000021</v>
      </c>
      <c r="AH37">
        <f>H$3*(H$1-H37)/H$2</f>
        <v>-1.0666666666666647</v>
      </c>
      <c r="AI37">
        <f>I$3*(I$1-I37)/I$2</f>
        <v>0</v>
      </c>
      <c r="AJ37">
        <f>(Q37-$M$1)/$M$2</f>
        <v>-1.5757999999999999</v>
      </c>
      <c r="AK37">
        <f>(J37-$Q$1)/$Q$2</f>
        <v>5.0951268095889048</v>
      </c>
      <c r="AM37" s="3">
        <f>SUM(AC37:AK37)+M37+$T$1</f>
        <v>16.817296646442191</v>
      </c>
      <c r="AN37" s="3">
        <f>SUM(AC37:AK37)+M37+$T$1-AF37-AI37</f>
        <v>18.14488285333875</v>
      </c>
      <c r="AP37" t="str">
        <f>A37&amp;B37</f>
        <v>45497A</v>
      </c>
      <c r="AQ37">
        <f>VLOOKUP(AP37,kut,4,0)</f>
        <v>0</v>
      </c>
      <c r="AS37" s="3">
        <f t="shared" si="1"/>
        <v>17.530629491581241</v>
      </c>
      <c r="AT37" s="3">
        <f t="shared" si="2"/>
        <v>18.8582156984778</v>
      </c>
    </row>
    <row r="38" spans="1:46" x14ac:dyDescent="0.3">
      <c r="A38" s="17">
        <v>45497</v>
      </c>
      <c r="B38" s="18" t="s">
        <v>20</v>
      </c>
      <c r="C38" s="19">
        <v>7.9720000000000004</v>
      </c>
      <c r="D38" s="19">
        <v>38.5</v>
      </c>
      <c r="E38" s="19">
        <v>26.083333333333329</v>
      </c>
      <c r="F38" s="19">
        <v>55.2</v>
      </c>
      <c r="G38" s="19">
        <v>3.72</v>
      </c>
      <c r="H38" s="19">
        <v>3.3033333333333328</v>
      </c>
      <c r="I38" s="19">
        <v>152.83333333333329</v>
      </c>
      <c r="J38" s="19">
        <v>9.5727768979508312</v>
      </c>
      <c r="K38" s="19">
        <v>1.9127786414803059E-3</v>
      </c>
      <c r="L38" s="19">
        <v>1.8310603190056451E-2</v>
      </c>
      <c r="M38" s="19">
        <v>19.410024832864821</v>
      </c>
      <c r="N38" s="19">
        <v>2.583374631644284E-3</v>
      </c>
      <c r="O38" s="19">
        <v>5225</v>
      </c>
      <c r="P38" s="19">
        <v>81.258616286856054</v>
      </c>
      <c r="Q38" s="19">
        <v>6620.4000000000005</v>
      </c>
      <c r="R38" s="19">
        <v>18.832853832582241</v>
      </c>
      <c r="S38" s="20">
        <f>SUM(AM38:AN38)/2 + (AQ38/$X$1)</f>
        <v>14.30268929366814</v>
      </c>
      <c r="T38" s="20">
        <f>VLOOKUP(AP38,ggg,3,0)</f>
        <v>23.05</v>
      </c>
      <c r="U38" s="20">
        <f t="shared" si="0"/>
        <v>14.892664460803319</v>
      </c>
      <c r="V38" s="20">
        <f>VLOOKUP(AP38,ggg,12,0)</f>
        <v>7.85</v>
      </c>
      <c r="W38" s="20">
        <f>VLOOKUP(AP38,ggg,20,0)</f>
        <v>26.66</v>
      </c>
      <c r="X38" s="20">
        <f>VLOOKUP(AP38,ggg,32,0)</f>
        <v>3.18</v>
      </c>
      <c r="Y38" s="20">
        <f>VLOOKUP(AP38,ggg,28,0)</f>
        <v>3.34</v>
      </c>
      <c r="Z38" s="33"/>
      <c r="AA38" s="33"/>
      <c r="AC38">
        <f>C$3*(C$1-C38)/C$2</f>
        <v>3.5599999999999986E-2</v>
      </c>
      <c r="AD38">
        <f>D$3*(D$1-D38)/D$2</f>
        <v>0</v>
      </c>
      <c r="AE38">
        <f>E$3*(E$1-E38)/E$2</f>
        <v>0.10555555555556022</v>
      </c>
      <c r="AF38">
        <f>F$3*(F$1-F38)/F$2</f>
        <v>-0.22413793103448718</v>
      </c>
      <c r="AG38">
        <f>G$3*(G$1-G38)/G$2</f>
        <v>0.26999999999999957</v>
      </c>
      <c r="AH38">
        <f>H$3*(H$1-H38)/H$2</f>
        <v>-0.48333333333333561</v>
      </c>
      <c r="AI38">
        <f>I$3*(I$1-I38)/I$2</f>
        <v>0</v>
      </c>
      <c r="AJ38">
        <f>(Q38-$M$1)/$M$2</f>
        <v>-1.2375349999999998</v>
      </c>
      <c r="AK38">
        <f>(J38-$Q$1)/$Q$2</f>
        <v>-0.68555379590166154</v>
      </c>
      <c r="AM38" s="3">
        <f>SUM(AC38:AK38)+M38+$T$1</f>
        <v>14.190620328150896</v>
      </c>
      <c r="AN38" s="3">
        <f>SUM(AC38:AK38)+M38+$T$1-AF38-AI38</f>
        <v>14.414758259185383</v>
      </c>
      <c r="AP38" t="str">
        <f>A38&amp;B38</f>
        <v>45497B</v>
      </c>
      <c r="AQ38">
        <f>VLOOKUP(AP38,kut,4,0)</f>
        <v>0</v>
      </c>
      <c r="AS38" s="3">
        <f t="shared" si="1"/>
        <v>14.780595495286075</v>
      </c>
      <c r="AT38" s="3">
        <f t="shared" si="2"/>
        <v>15.004733426320563</v>
      </c>
    </row>
    <row r="39" spans="1:46" x14ac:dyDescent="0.3">
      <c r="A39" s="17">
        <v>45497</v>
      </c>
      <c r="B39" s="18" t="s">
        <v>18</v>
      </c>
      <c r="C39" s="19">
        <v>7.8579999999999997</v>
      </c>
      <c r="D39" s="19">
        <v>37.571428571428569</v>
      </c>
      <c r="E39" s="19">
        <v>26.68571428571429</v>
      </c>
      <c r="F39" s="19">
        <v>55.2</v>
      </c>
      <c r="G39" s="19">
        <v>3.34</v>
      </c>
      <c r="H39" s="19">
        <v>3.1742857142857139</v>
      </c>
      <c r="I39" s="19">
        <v>158.71428571428569</v>
      </c>
      <c r="J39" s="19">
        <v>11.121333577959209</v>
      </c>
      <c r="K39" s="19">
        <v>6.9241167714008747E-3</v>
      </c>
      <c r="L39" s="19">
        <v>7.7005412347491059E-2</v>
      </c>
      <c r="M39" s="19">
        <v>26.090175350564721</v>
      </c>
      <c r="N39" s="19">
        <v>2.5894412306687398E-3</v>
      </c>
      <c r="O39" s="19">
        <v>5225</v>
      </c>
      <c r="P39" s="19">
        <v>81.362119539015595</v>
      </c>
      <c r="Q39" s="19">
        <v>25183.08</v>
      </c>
      <c r="R39" s="19">
        <v>24.079519104243008</v>
      </c>
      <c r="S39" s="20">
        <f>SUM(AM39:AN39)/2 + (AQ39/$X$1)</f>
        <v>20.221639229129053</v>
      </c>
      <c r="T39" s="20">
        <f>VLOOKUP(AP39,ggg,3,0)</f>
        <v>22.75</v>
      </c>
      <c r="U39" s="20">
        <f t="shared" si="0"/>
        <v>14.131463878564334</v>
      </c>
      <c r="V39" s="20">
        <f>VLOOKUP(AP39,ggg,12,0)</f>
        <v>8.1999999999999993</v>
      </c>
      <c r="W39" s="20">
        <f>VLOOKUP(AP39,ggg,20,0)</f>
        <v>27.42</v>
      </c>
      <c r="X39" s="20">
        <f>VLOOKUP(AP39,ggg,32,0)</f>
        <v>3.16</v>
      </c>
      <c r="Y39" s="20">
        <f>VLOOKUP(AP39,ggg,28,0)</f>
        <v>3.34</v>
      </c>
      <c r="Z39" s="33"/>
      <c r="AA39" s="33"/>
      <c r="AC39">
        <f>C$3*(C$1-C39)/C$2</f>
        <v>5.8400000000000146E-2</v>
      </c>
      <c r="AD39">
        <f>D$3*(D$1-D39)/D$2</f>
        <v>0</v>
      </c>
      <c r="AE39">
        <f>E$3*(E$1-E39)/E$2</f>
        <v>-0.39642857142857463</v>
      </c>
      <c r="AF39">
        <f>F$3*(F$1-F39)/F$2</f>
        <v>-0.22413793103448718</v>
      </c>
      <c r="AG39">
        <f>G$3*(G$1-G39)/G$2</f>
        <v>1.4100000000000004</v>
      </c>
      <c r="AH39">
        <f>H$3*(H$1-H39)/H$2</f>
        <v>-1.1285714285714299</v>
      </c>
      <c r="AI39">
        <f>I$3*(I$1-I39)/I$2</f>
        <v>0</v>
      </c>
      <c r="AJ39">
        <f>(Q39-$M$1)/$M$2</f>
        <v>1.0828000000000002</v>
      </c>
      <c r="AK39">
        <f>(J39-$Q$1)/$Q$2</f>
        <v>-3.7826671559184177</v>
      </c>
      <c r="AM39" s="3">
        <f>SUM(AC39:AK39)+M39+$T$1</f>
        <v>20.109570263611811</v>
      </c>
      <c r="AN39" s="3">
        <f>SUM(AC39:AK39)+M39+$T$1-AF39-AI39</f>
        <v>20.333708194646299</v>
      </c>
      <c r="AP39" t="str">
        <f>A39&amp;B39</f>
        <v>45497C</v>
      </c>
      <c r="AQ39">
        <f>VLOOKUP(AP39,kut,4,0)</f>
        <v>0</v>
      </c>
      <c r="AS39" s="3">
        <f t="shared" si="1"/>
        <v>14.019394913047091</v>
      </c>
      <c r="AT39" s="3">
        <f t="shared" si="2"/>
        <v>14.243532844081578</v>
      </c>
    </row>
    <row r="40" spans="1:46" x14ac:dyDescent="0.3">
      <c r="A40" s="17">
        <v>45498</v>
      </c>
      <c r="B40" s="18" t="s">
        <v>19</v>
      </c>
      <c r="C40" s="19">
        <v>8.1999999999999993</v>
      </c>
      <c r="D40" s="19">
        <v>39</v>
      </c>
      <c r="E40" s="19">
        <v>27.425000000000001</v>
      </c>
      <c r="F40" s="19">
        <v>55.2</v>
      </c>
      <c r="G40" s="19">
        <v>3.34</v>
      </c>
      <c r="H40" s="19">
        <v>3.165</v>
      </c>
      <c r="I40" s="19">
        <v>151.5</v>
      </c>
      <c r="J40" s="19">
        <v>9.1065725085975764</v>
      </c>
      <c r="K40" s="19">
        <v>1.2881770483745079E-2</v>
      </c>
      <c r="L40" s="19">
        <v>0.1173087769493367</v>
      </c>
      <c r="M40" s="19">
        <v>24.324680089295519</v>
      </c>
      <c r="N40" s="19">
        <v>2.586572143557148E-3</v>
      </c>
      <c r="O40" s="19">
        <v>5225</v>
      </c>
      <c r="P40" s="19">
        <v>81.334768655069297</v>
      </c>
      <c r="Q40" s="19">
        <v>37146.879999999997</v>
      </c>
      <c r="R40" s="19">
        <v>24.070998800847281</v>
      </c>
      <c r="S40" s="20">
        <f>SUM(AM40:AN40)/2 + (AQ40/$X$1)</f>
        <v>23.250241106583125</v>
      </c>
      <c r="T40" s="20">
        <f>VLOOKUP(AP40,ggg,3,0)</f>
        <v>28.23</v>
      </c>
      <c r="U40" s="20">
        <f t="shared" si="0"/>
        <v>18.925561017287606</v>
      </c>
      <c r="V40" s="20">
        <f>VLOOKUP(AP40,ggg,12,0)</f>
        <v>7.92</v>
      </c>
      <c r="W40" s="20">
        <f>VLOOKUP(AP40,ggg,20,0)</f>
        <v>26.64</v>
      </c>
      <c r="X40" s="20">
        <f>VLOOKUP(AP40,ggg,32,0)</f>
        <v>3.21</v>
      </c>
      <c r="Y40" s="20">
        <f>VLOOKUP(AP40,ggg,28,0)</f>
        <v>3.53</v>
      </c>
      <c r="Z40" s="33"/>
      <c r="AA40" s="33"/>
      <c r="AC40">
        <f>C$3*(C$1-C40)/C$2</f>
        <v>-9.9999999999997868E-3</v>
      </c>
      <c r="AD40">
        <f>D$3*(D$1-D40)/D$2</f>
        <v>0</v>
      </c>
      <c r="AE40">
        <f>E$3*(E$1-E40)/E$2</f>
        <v>-1.0125</v>
      </c>
      <c r="AF40">
        <f>F$3*(F$1-F40)/F$2</f>
        <v>-0.22413793103448718</v>
      </c>
      <c r="AG40">
        <f>G$3*(G$1-G40)/G$2</f>
        <v>1.4100000000000004</v>
      </c>
      <c r="AH40">
        <f>H$3*(H$1-H40)/H$2</f>
        <v>-1.1749999999999994</v>
      </c>
      <c r="AI40">
        <f>I$3*(I$1-I40)/I$2</f>
        <v>0</v>
      </c>
      <c r="AJ40">
        <f>(Q40-$M$1)/$M$2</f>
        <v>2.5782749999999997</v>
      </c>
      <c r="AK40">
        <f>(J40-$Q$1)/$Q$2</f>
        <v>0.24685498280484808</v>
      </c>
      <c r="AM40" s="3">
        <f>SUM(AC40:AK40)+M40+$T$1</f>
        <v>23.13817214106588</v>
      </c>
      <c r="AN40" s="3">
        <f>SUM(AC40:AK40)+M40+$T$1-AF40-AI40</f>
        <v>23.362310072100367</v>
      </c>
      <c r="AP40" t="str">
        <f>A40&amp;B40</f>
        <v>45498A</v>
      </c>
      <c r="AQ40">
        <f>VLOOKUP(AP40,kut,4,0)</f>
        <v>0</v>
      </c>
      <c r="AS40" s="3">
        <f t="shared" si="1"/>
        <v>18.813492051770361</v>
      </c>
      <c r="AT40" s="3">
        <f t="shared" si="2"/>
        <v>19.037629982804848</v>
      </c>
    </row>
    <row r="41" spans="1:46" x14ac:dyDescent="0.3">
      <c r="A41" s="17">
        <v>45498</v>
      </c>
      <c r="B41" s="18" t="s">
        <v>20</v>
      </c>
      <c r="C41" s="19">
        <v>7.8833333333333329</v>
      </c>
      <c r="D41" s="19">
        <v>37.555555555555557</v>
      </c>
      <c r="E41" s="19">
        <v>26.63666666666667</v>
      </c>
      <c r="F41" s="19">
        <v>55.3</v>
      </c>
      <c r="G41" s="19">
        <v>3.53</v>
      </c>
      <c r="H41" s="19">
        <v>3.184444444444444</v>
      </c>
      <c r="I41" s="19">
        <v>151</v>
      </c>
      <c r="J41" s="19">
        <v>10.038022914368669</v>
      </c>
      <c r="K41" s="19">
        <v>2.4303578892241611E-3</v>
      </c>
      <c r="L41" s="19">
        <v>2.43959881821488E-2</v>
      </c>
      <c r="M41" s="19">
        <v>22.639089836438451</v>
      </c>
      <c r="N41" s="19">
        <v>2.588112012742368E-3</v>
      </c>
      <c r="O41" s="19">
        <v>5225</v>
      </c>
      <c r="P41" s="19">
        <v>81.30864721066969</v>
      </c>
      <c r="Q41" s="19">
        <v>8116.9600000000009</v>
      </c>
      <c r="R41" s="19">
        <v>22.175593819586879</v>
      </c>
      <c r="S41" s="20">
        <f>SUM(AM41:AN41)/2 + (AQ41/$X$1)</f>
        <v>16.234303145632147</v>
      </c>
      <c r="T41" s="20">
        <f>VLOOKUP(AP41,ggg,3,0)</f>
        <v>30.58</v>
      </c>
      <c r="U41" s="20">
        <f t="shared" si="0"/>
        <v>13.595213309193698</v>
      </c>
      <c r="V41" s="20">
        <f>VLOOKUP(AP41,ggg,12,0)</f>
        <v>7.98</v>
      </c>
      <c r="W41" s="20">
        <f>VLOOKUP(AP41,ggg,20,0)</f>
        <v>26.85</v>
      </c>
      <c r="X41" s="20">
        <f>VLOOKUP(AP41,ggg,32,0)</f>
        <v>3.23</v>
      </c>
      <c r="Y41" s="20">
        <f>VLOOKUP(AP41,ggg,28,0)</f>
        <v>3.42</v>
      </c>
      <c r="Z41" s="33"/>
      <c r="AA41" s="33"/>
      <c r="AC41">
        <f>C$3*(C$1-C41)/C$2</f>
        <v>5.3333333333333503E-2</v>
      </c>
      <c r="AD41">
        <f>D$3*(D$1-D41)/D$2</f>
        <v>0</v>
      </c>
      <c r="AE41">
        <f>E$3*(E$1-E41)/E$2</f>
        <v>-0.35555555555555785</v>
      </c>
      <c r="AF41">
        <f>F$3*(F$1-F41)/F$2</f>
        <v>-0.39655172413792561</v>
      </c>
      <c r="AG41">
        <f>G$3*(G$1-G41)/G$2</f>
        <v>0.84000000000000075</v>
      </c>
      <c r="AH41">
        <f>H$3*(H$1-H41)/H$2</f>
        <v>-1.0777777777777797</v>
      </c>
      <c r="AI41">
        <f>I$3*(I$1-I41)/I$2</f>
        <v>0</v>
      </c>
      <c r="AJ41">
        <f>(Q41-$M$1)/$M$2</f>
        <v>-1.050465</v>
      </c>
      <c r="AK41">
        <f>(J41-$Q$1)/$Q$2</f>
        <v>-1.616045828737338</v>
      </c>
      <c r="AM41" s="3">
        <f>SUM(AC41:AK41)+M41+$T$1</f>
        <v>16.036027283563186</v>
      </c>
      <c r="AN41" s="3">
        <f>SUM(AC41:AK41)+M41+$T$1-AF41-AI41</f>
        <v>16.432579007701111</v>
      </c>
      <c r="AP41" t="str">
        <f>A41&amp;B41</f>
        <v>45498B</v>
      </c>
      <c r="AQ41">
        <f>VLOOKUP(AP41,kut,4,0)</f>
        <v>0</v>
      </c>
      <c r="AS41" s="3">
        <f t="shared" si="1"/>
        <v>13.396937447124735</v>
      </c>
      <c r="AT41" s="3">
        <f t="shared" si="2"/>
        <v>13.79348917126266</v>
      </c>
    </row>
    <row r="42" spans="1:46" x14ac:dyDescent="0.3">
      <c r="A42" s="17">
        <v>45502</v>
      </c>
      <c r="B42" s="18" t="s">
        <v>20</v>
      </c>
      <c r="C42" s="19">
        <v>7.9775</v>
      </c>
      <c r="D42" s="19">
        <v>38.5</v>
      </c>
      <c r="E42" s="19">
        <v>26.85</v>
      </c>
      <c r="F42" s="19">
        <v>55.3</v>
      </c>
      <c r="G42" s="19">
        <v>3.42</v>
      </c>
      <c r="H42" s="19">
        <v>3.226666666666667</v>
      </c>
      <c r="I42" s="19">
        <v>153.66666666666671</v>
      </c>
      <c r="J42" s="19">
        <v>6.7430533703517384</v>
      </c>
      <c r="K42" s="19">
        <v>1.2893323828973499E-3</v>
      </c>
      <c r="L42" s="19">
        <v>8.6940370699996137E-3</v>
      </c>
      <c r="M42" s="19">
        <v>24.41450502132923</v>
      </c>
      <c r="N42" s="19">
        <v>2.5856611413217841E-3</v>
      </c>
      <c r="O42" s="19">
        <v>5225</v>
      </c>
      <c r="P42" s="19">
        <v>81.336155902594768</v>
      </c>
      <c r="Q42" s="19">
        <v>3594.880000000001</v>
      </c>
      <c r="R42" s="19">
        <v>23.301631362515849</v>
      </c>
      <c r="S42" s="20">
        <f>SUM(AM42:AN42)/2 + (AQ42/$X$1)</f>
        <v>24.378897418556797</v>
      </c>
      <c r="T42" s="20"/>
      <c r="U42" s="20">
        <f t="shared" si="0"/>
        <v>19.964392397227563</v>
      </c>
      <c r="V42" s="20"/>
      <c r="W42" s="20"/>
      <c r="X42" s="20"/>
      <c r="Y42" s="20"/>
      <c r="Z42" s="33"/>
      <c r="AA42" s="33"/>
      <c r="AC42">
        <f>C$3*(C$1-C42)/C$2</f>
        <v>3.4500000000000065E-2</v>
      </c>
      <c r="AD42">
        <f>D$3*(D$1-D42)/D$2</f>
        <v>0</v>
      </c>
      <c r="AE42">
        <f>E$3*(E$1-E42)/E$2</f>
        <v>-0.53333333333333388</v>
      </c>
      <c r="AF42">
        <f>F$3*(F$1-F42)/F$2</f>
        <v>-0.39655172413792561</v>
      </c>
      <c r="AG42">
        <f>G$3*(G$1-G42)/G$2</f>
        <v>1.1700000000000004</v>
      </c>
      <c r="AH42">
        <f>H$3*(H$1-H42)/H$2</f>
        <v>-0.86666666666666448</v>
      </c>
      <c r="AI42">
        <f>I$3*(I$1-I42)/I$2</f>
        <v>0</v>
      </c>
      <c r="AJ42">
        <f>(Q42-$M$1)/$M$2</f>
        <v>-1.6157249999999999</v>
      </c>
      <c r="AK42">
        <f>(J42-$Q$1)/$Q$2</f>
        <v>4.9738932592965241</v>
      </c>
      <c r="AM42" s="3">
        <f>SUM(AC42:AK42)+M42+$T$1</f>
        <v>24.180621556487832</v>
      </c>
      <c r="AN42" s="3">
        <f>SUM(AC42:AK42)+M42+$T$1-AF42-AI42</f>
        <v>24.577173280625757</v>
      </c>
      <c r="AP42" t="str">
        <f>A42&amp;B42</f>
        <v>45502B</v>
      </c>
      <c r="AQ42">
        <f>VLOOKUP(AP42,kut,4,0)</f>
        <v>0</v>
      </c>
      <c r="AS42" s="3">
        <f t="shared" si="1"/>
        <v>19.766116535158602</v>
      </c>
      <c r="AT42" s="3">
        <f t="shared" si="2"/>
        <v>20.162668259296527</v>
      </c>
    </row>
    <row r="43" spans="1:46" x14ac:dyDescent="0.3">
      <c r="A43" s="17">
        <v>45502</v>
      </c>
      <c r="B43" s="18" t="s">
        <v>18</v>
      </c>
      <c r="C43" s="19">
        <v>8.4500000000000011</v>
      </c>
      <c r="D43" s="19">
        <v>38.666666666666657</v>
      </c>
      <c r="E43" s="19">
        <v>27.666666666666671</v>
      </c>
      <c r="F43" s="19">
        <v>53.3</v>
      </c>
      <c r="G43" s="19">
        <v>3.42</v>
      </c>
      <c r="H43" s="19">
        <v>3.413333333333334</v>
      </c>
      <c r="I43" s="19">
        <v>154.33333333333329</v>
      </c>
      <c r="J43" s="19">
        <v>10.45905469974249</v>
      </c>
      <c r="K43" s="19">
        <v>2.047465202909101E-3</v>
      </c>
      <c r="L43" s="19">
        <v>2.1414550553045648E-2</v>
      </c>
      <c r="M43" s="19">
        <v>13.22799294061063</v>
      </c>
      <c r="N43" s="19">
        <v>2.5817853960731982E-3</v>
      </c>
      <c r="O43" s="19">
        <v>5225</v>
      </c>
      <c r="P43" s="19">
        <v>84.617528260601418</v>
      </c>
      <c r="Q43" s="19">
        <v>4673.6400000000003</v>
      </c>
      <c r="R43" s="19">
        <v>13.23057888559549</v>
      </c>
      <c r="S43" s="20">
        <f>SUM(AM43:AN43)/2 + (AQ43/$X$1)</f>
        <v>7.7776433878689506</v>
      </c>
      <c r="T43" s="20">
        <f>VLOOKUP(AP43,ggg,3,0)</f>
        <v>13.9</v>
      </c>
      <c r="U43" s="20">
        <f t="shared" si="0"/>
        <v>14.549650447258319</v>
      </c>
      <c r="V43" s="20">
        <f>VLOOKUP(AP43,ggg,12,0)</f>
        <v>8.6</v>
      </c>
      <c r="W43" s="20">
        <f>VLOOKUP(AP43,ggg,20,0)</f>
        <v>26.76</v>
      </c>
      <c r="X43" s="20">
        <f>VLOOKUP(AP43,ggg,32,0)</f>
        <v>3.43</v>
      </c>
      <c r="Y43" s="20">
        <f>VLOOKUP(AP43,ggg,28,0)</f>
        <v>3.42</v>
      </c>
      <c r="Z43" s="33"/>
      <c r="AA43" s="33"/>
      <c r="AC43">
        <f>C$3*(C$1-C43)/C$2</f>
        <v>-6.0000000000000143E-2</v>
      </c>
      <c r="AD43">
        <f>D$3*(D$1-D43)/D$2</f>
        <v>0</v>
      </c>
      <c r="AE43">
        <f>E$3*(E$1-E43)/E$2</f>
        <v>-1.2138888888888921</v>
      </c>
      <c r="AF43">
        <f>F$3*(F$1-F43)/F$2</f>
        <v>3.05172413793104</v>
      </c>
      <c r="AG43">
        <f>G$3*(G$1-G43)/G$2</f>
        <v>1.1700000000000004</v>
      </c>
      <c r="AH43">
        <f>H$3*(H$1-H43)/H$2</f>
        <v>6.6666666666670427E-2</v>
      </c>
      <c r="AI43">
        <f>I$3*(I$1-I43)/I$2</f>
        <v>0</v>
      </c>
      <c r="AJ43">
        <f>(Q43-$M$1)/$M$2</f>
        <v>-1.4808800000000002</v>
      </c>
      <c r="AK43">
        <f>(J43-$Q$1)/$Q$2</f>
        <v>-2.4581093994849788</v>
      </c>
      <c r="AM43" s="3">
        <f>SUM(AC43:AK43)+M43+$T$1</f>
        <v>9.3035054568344702</v>
      </c>
      <c r="AN43" s="3">
        <f>SUM(AC43:AK43)+M43+$T$1-AF43-AI43</f>
        <v>6.2517813189034301</v>
      </c>
      <c r="AP43" t="str">
        <f>A43&amp;B43</f>
        <v>45502C</v>
      </c>
      <c r="AQ43">
        <f>VLOOKUP(AP43,kut,4,0)</f>
        <v>0</v>
      </c>
      <c r="AS43" s="3">
        <f t="shared" si="1"/>
        <v>16.075512516223839</v>
      </c>
      <c r="AT43" s="3">
        <f t="shared" si="2"/>
        <v>13.023788378292799</v>
      </c>
    </row>
    <row r="44" spans="1:46" x14ac:dyDescent="0.3">
      <c r="A44" s="17">
        <v>45503</v>
      </c>
      <c r="B44" s="18" t="s">
        <v>19</v>
      </c>
      <c r="C44" s="19">
        <v>8.6</v>
      </c>
      <c r="D44" s="19">
        <v>38.666666666666657</v>
      </c>
      <c r="E44" s="19">
        <v>26.756666666666671</v>
      </c>
      <c r="F44" s="19">
        <v>53.3</v>
      </c>
      <c r="G44" s="19">
        <v>3.42</v>
      </c>
      <c r="H44" s="19">
        <v>3.433333333333334</v>
      </c>
      <c r="I44" s="19">
        <v>154</v>
      </c>
      <c r="J44" s="19">
        <v>9.2260839481412518</v>
      </c>
      <c r="K44" s="19">
        <v>8.1962794271520367E-3</v>
      </c>
      <c r="L44" s="19">
        <v>7.5619562057327783E-2</v>
      </c>
      <c r="M44" s="19">
        <v>13.22059229360835</v>
      </c>
      <c r="N44" s="19">
        <v>2.5807332845590092E-3</v>
      </c>
      <c r="O44" s="19">
        <v>5225</v>
      </c>
      <c r="P44" s="19">
        <v>81.646806374801017</v>
      </c>
      <c r="Q44" s="19">
        <v>35894.640000000007</v>
      </c>
      <c r="R44" s="19">
        <v>13.222741756528469</v>
      </c>
      <c r="S44" s="20">
        <f>SUM(AM44:AN44)/2 + (AQ44/$X$1)</f>
        <v>14.96714257740248</v>
      </c>
      <c r="T44" s="20">
        <f>VLOOKUP(AP44,ggg,3,0)</f>
        <v>19.28</v>
      </c>
      <c r="U44" s="20">
        <f t="shared" si="0"/>
        <v>21.746550283794132</v>
      </c>
      <c r="V44" s="20">
        <f>VLOOKUP(AP44,ggg,12,0)</f>
        <v>8.3800000000000008</v>
      </c>
      <c r="W44" s="20">
        <f>VLOOKUP(AP44,ggg,20,0)</f>
        <v>26.18</v>
      </c>
      <c r="X44" s="20">
        <f>VLOOKUP(AP44,ggg,32,0)</f>
        <v>3.43</v>
      </c>
      <c r="Y44" s="20">
        <f>VLOOKUP(AP44,ggg,28,0)</f>
        <v>3.7</v>
      </c>
      <c r="Z44" s="33"/>
      <c r="AA44" s="33"/>
      <c r="AC44">
        <f>C$3*(C$1-C44)/C$2</f>
        <v>-8.9999999999999858E-2</v>
      </c>
      <c r="AD44">
        <f>D$3*(D$1-D44)/D$2</f>
        <v>0</v>
      </c>
      <c r="AE44">
        <f>E$3*(E$1-E44)/E$2</f>
        <v>-0.45555555555555871</v>
      </c>
      <c r="AF44">
        <f>F$3*(F$1-F44)/F$2</f>
        <v>3.05172413793104</v>
      </c>
      <c r="AG44">
        <f>G$3*(G$1-G44)/G$2</f>
        <v>1.1700000000000004</v>
      </c>
      <c r="AH44">
        <f>H$3*(H$1-H44)/H$2</f>
        <v>0.16666666666667052</v>
      </c>
      <c r="AI44">
        <f>I$3*(I$1-I44)/I$2</f>
        <v>0</v>
      </c>
      <c r="AJ44">
        <f>(Q44-$M$1)/$M$2</f>
        <v>2.4217450000000009</v>
      </c>
      <c r="AK44">
        <f>(J44-$Q$1)/$Q$2</f>
        <v>7.8321037174973185E-3</v>
      </c>
      <c r="AM44" s="3">
        <f>SUM(AC44:AK44)+M44+$T$1</f>
        <v>16.493004646368</v>
      </c>
      <c r="AN44" s="3">
        <f>SUM(AC44:AK44)+M44+$T$1-AF44-AI44</f>
        <v>13.441280508436961</v>
      </c>
      <c r="AP44" t="str">
        <f>A44&amp;B44</f>
        <v>45503A</v>
      </c>
      <c r="AQ44">
        <f>VLOOKUP(AP44,kut,4,0)</f>
        <v>0</v>
      </c>
      <c r="AS44" s="3">
        <f t="shared" si="1"/>
        <v>23.272412352759652</v>
      </c>
      <c r="AT44" s="3">
        <f t="shared" si="2"/>
        <v>20.220688214828613</v>
      </c>
    </row>
    <row r="45" spans="1:46" x14ac:dyDescent="0.3">
      <c r="A45" s="17">
        <v>45503</v>
      </c>
      <c r="B45" s="18" t="s">
        <v>20</v>
      </c>
      <c r="C45" s="19">
        <v>8.3375000000000004</v>
      </c>
      <c r="D45" s="19">
        <v>38.166666666666657</v>
      </c>
      <c r="E45" s="19">
        <v>27.576666666666672</v>
      </c>
      <c r="F45" s="19">
        <v>54.85</v>
      </c>
      <c r="G45" s="19">
        <v>3.7</v>
      </c>
      <c r="H45" s="19">
        <v>3.3666666666666671</v>
      </c>
      <c r="I45" s="19">
        <v>147.83333333333329</v>
      </c>
      <c r="J45" s="19">
        <v>10.120069102740221</v>
      </c>
      <c r="K45" s="19">
        <v>1.6983557356514121E-3</v>
      </c>
      <c r="L45" s="19">
        <v>1.7187477405827489E-2</v>
      </c>
      <c r="M45" s="19">
        <v>13.237547256878059</v>
      </c>
      <c r="N45" s="19">
        <v>2.585329020814224E-3</v>
      </c>
      <c r="O45" s="19">
        <v>5225</v>
      </c>
      <c r="P45" s="19">
        <v>88.452246777478777</v>
      </c>
      <c r="Q45" s="19">
        <v>5943</v>
      </c>
      <c r="R45" s="19">
        <v>13.22105169185185</v>
      </c>
      <c r="S45" s="20">
        <f>SUM(AM45:AN45)/2 + (AQ45/$X$1)</f>
        <v>6.3117986682558556</v>
      </c>
      <c r="T45" s="20">
        <f>VLOOKUP(AP45,ggg,3,0)</f>
        <v>17.68</v>
      </c>
      <c r="U45" s="20">
        <f t="shared" si="0"/>
        <v>13.074251411377796</v>
      </c>
      <c r="V45" s="20">
        <f>VLOOKUP(AP45,ggg,12,0)</f>
        <v>8.07</v>
      </c>
      <c r="W45" s="20">
        <f>VLOOKUP(AP45,ggg,20,0)</f>
        <v>27.6</v>
      </c>
      <c r="X45" s="20">
        <f>VLOOKUP(AP45,ggg,32,0)</f>
        <v>3.1</v>
      </c>
      <c r="Y45" s="20">
        <f>VLOOKUP(AP45,ggg,28,0)</f>
        <v>3.7</v>
      </c>
      <c r="Z45" s="33"/>
      <c r="AA45" s="33"/>
      <c r="AC45">
        <f>C$3*(C$1-C45)/C$2</f>
        <v>-3.7500000000000006E-2</v>
      </c>
      <c r="AD45">
        <f>D$3*(D$1-D45)/D$2</f>
        <v>0</v>
      </c>
      <c r="AE45">
        <f>E$3*(E$1-E45)/E$2</f>
        <v>-1.1388888888888924</v>
      </c>
      <c r="AF45">
        <f>F$3*(F$1-F45)/F$2</f>
        <v>0.37931034482758424</v>
      </c>
      <c r="AG45">
        <f>G$3*(G$1-G45)/G$2</f>
        <v>0.32999999999999957</v>
      </c>
      <c r="AH45">
        <f>H$3*(H$1-H45)/H$2</f>
        <v>-0.16666666666666385</v>
      </c>
      <c r="AI45">
        <f>I$3*(I$1-I45)/I$2</f>
        <v>0</v>
      </c>
      <c r="AJ45">
        <f>(Q45-$M$1)/$M$2</f>
        <v>-1.3222100000000001</v>
      </c>
      <c r="AK45">
        <f>(J45-$Q$1)/$Q$2</f>
        <v>-1.7801382054804407</v>
      </c>
      <c r="AM45" s="3">
        <f>SUM(AC45:AK45)+M45+$T$1</f>
        <v>6.5014538406696474</v>
      </c>
      <c r="AN45" s="3">
        <f>SUM(AC45:AK45)+M45+$T$1-AF45-AI45</f>
        <v>6.1221434958420629</v>
      </c>
      <c r="AP45" t="str">
        <f>A45&amp;B45</f>
        <v>45503B</v>
      </c>
      <c r="AQ45">
        <f>VLOOKUP(AP45,kut,4,0)</f>
        <v>0</v>
      </c>
      <c r="AS45" s="3">
        <f t="shared" si="1"/>
        <v>13.263906583791588</v>
      </c>
      <c r="AT45" s="3">
        <f t="shared" si="2"/>
        <v>12.884596238964004</v>
      </c>
    </row>
    <row r="46" spans="1:46" x14ac:dyDescent="0.3">
      <c r="A46" s="17">
        <v>45503</v>
      </c>
      <c r="B46" s="18" t="s">
        <v>18</v>
      </c>
      <c r="C46" s="19">
        <v>8.07</v>
      </c>
      <c r="D46" s="19">
        <v>36</v>
      </c>
      <c r="E46" s="19">
        <v>27.6</v>
      </c>
      <c r="F46" s="19">
        <v>54.85</v>
      </c>
      <c r="G46" s="19">
        <v>3.7</v>
      </c>
      <c r="H46" s="19">
        <v>3.1</v>
      </c>
      <c r="I46" s="19">
        <v>148</v>
      </c>
      <c r="J46" s="19">
        <v>7.6789112926360694</v>
      </c>
      <c r="K46" s="19">
        <v>7.6906416081063446E-3</v>
      </c>
      <c r="L46" s="19">
        <v>5.9055754692104633E-2</v>
      </c>
      <c r="M46" s="19">
        <v>20.798623987218392</v>
      </c>
      <c r="N46" s="19">
        <v>2.583877145953374E-3</v>
      </c>
      <c r="O46" s="19">
        <v>5225</v>
      </c>
      <c r="P46" s="19">
        <v>81.280130486931299</v>
      </c>
      <c r="Q46" s="19">
        <v>20380.2</v>
      </c>
      <c r="R46" s="19">
        <v>22.556807725670399</v>
      </c>
      <c r="S46" s="20">
        <f>SUM(AM46:AN46)/2 + (AQ46/$X$1)</f>
        <v>19.260563241026709</v>
      </c>
      <c r="T46" s="20">
        <f>VLOOKUP(AP46,ggg,3,0)</f>
        <v>14.26</v>
      </c>
      <c r="U46" s="20">
        <f t="shared" si="0"/>
        <v>18.461939253808318</v>
      </c>
      <c r="V46" s="20">
        <f>VLOOKUP(AP46,ggg,12,0)</f>
        <v>8.1</v>
      </c>
      <c r="W46" s="20">
        <f>VLOOKUP(AP46,ggg,20,0)</f>
        <v>26.84</v>
      </c>
      <c r="X46" s="20">
        <f>VLOOKUP(AP46,ggg,32,0)</f>
        <v>3.14</v>
      </c>
      <c r="Y46" s="20">
        <f>VLOOKUP(AP46,ggg,28,0)</f>
        <v>3.7</v>
      </c>
      <c r="Z46" s="33"/>
      <c r="AA46" s="33"/>
      <c r="AC46">
        <f>C$3*(C$1-C46)/C$2</f>
        <v>1.6000000000000014E-2</v>
      </c>
      <c r="AD46">
        <f>D$3*(D$1-D46)/D$2</f>
        <v>0</v>
      </c>
      <c r="AE46">
        <f>E$3*(E$1-E46)/E$2</f>
        <v>-1.1583333333333339</v>
      </c>
      <c r="AF46">
        <f>F$3*(F$1-F46)/F$2</f>
        <v>0.37931034482758424</v>
      </c>
      <c r="AG46">
        <f>G$3*(G$1-G46)/G$2</f>
        <v>0.32999999999999957</v>
      </c>
      <c r="AH46">
        <f>H$3*(H$1-H46)/H$2</f>
        <v>-1.4999999999999991</v>
      </c>
      <c r="AI46">
        <f>I$3*(I$1-I46)/I$2</f>
        <v>0</v>
      </c>
      <c r="AJ46">
        <f>(Q46-$M$1)/$M$2</f>
        <v>0.48244000000000004</v>
      </c>
      <c r="AK46">
        <f>(J46-$Q$1)/$Q$2</f>
        <v>3.102177414727862</v>
      </c>
      <c r="AM46" s="3">
        <f>SUM(AC46:AK46)+M46+$T$1</f>
        <v>19.450218413440503</v>
      </c>
      <c r="AN46" s="3">
        <f>SUM(AC46:AK46)+M46+$T$1-AF46-AI46</f>
        <v>19.070908068612919</v>
      </c>
      <c r="AP46" t="str">
        <f>A46&amp;B46</f>
        <v>45503C</v>
      </c>
      <c r="AQ46">
        <f>VLOOKUP(AP46,kut,4,0)</f>
        <v>0</v>
      </c>
      <c r="AS46" s="3">
        <f t="shared" si="1"/>
        <v>18.651594426222111</v>
      </c>
      <c r="AT46" s="3">
        <f t="shared" si="2"/>
        <v>18.272284081394528</v>
      </c>
    </row>
    <row r="47" spans="1:46" x14ac:dyDescent="0.3">
      <c r="A47" s="17">
        <v>45504</v>
      </c>
      <c r="B47" s="18" t="s">
        <v>19</v>
      </c>
      <c r="C47" s="19">
        <v>8.1</v>
      </c>
      <c r="D47" s="19">
        <v>37</v>
      </c>
      <c r="E47" s="19">
        <v>27.051666666666669</v>
      </c>
      <c r="F47" s="19">
        <v>54.85</v>
      </c>
      <c r="G47" s="19">
        <v>3.7</v>
      </c>
      <c r="H47" s="19">
        <v>3.1333333333333329</v>
      </c>
      <c r="I47" s="19">
        <v>146.66666666666671</v>
      </c>
      <c r="J47" s="19">
        <v>8.3521096910734496</v>
      </c>
      <c r="K47" s="19">
        <v>8.1026287295795224E-3</v>
      </c>
      <c r="L47" s="19">
        <v>6.7674043935491285E-2</v>
      </c>
      <c r="M47" s="19">
        <v>19.904753903166391</v>
      </c>
      <c r="N47" s="19">
        <v>2.5834451035130919E-3</v>
      </c>
      <c r="O47" s="19">
        <v>5225</v>
      </c>
      <c r="P47" s="19">
        <v>81.266280828330977</v>
      </c>
      <c r="Q47" s="19">
        <v>20624.68</v>
      </c>
      <c r="R47" s="19">
        <v>21.986647247839251</v>
      </c>
      <c r="S47" s="20">
        <f>SUM(AM47:AN47)/2 + (AQ47/$X$1)</f>
        <v>17.668467471211059</v>
      </c>
      <c r="T47" s="20">
        <f>VLOOKUP(AP47,ggg,3,0)</f>
        <v>30.1</v>
      </c>
      <c r="U47" s="20">
        <f t="shared" si="0"/>
        <v>17.763713568044665</v>
      </c>
      <c r="V47" s="20">
        <f>VLOOKUP(AP47,ggg,12,0)</f>
        <v>7.6</v>
      </c>
      <c r="W47" s="20">
        <f>VLOOKUP(AP47,ggg,20,0)</f>
        <v>25.7</v>
      </c>
      <c r="X47" s="20">
        <f>VLOOKUP(AP47,ggg,32,0)</f>
        <v>3.06</v>
      </c>
      <c r="Y47" s="20">
        <f>VLOOKUP(AP47,ggg,28,0)</f>
        <v>3.7</v>
      </c>
      <c r="Z47" s="33"/>
      <c r="AA47" s="33"/>
      <c r="AC47">
        <f>C$3*(C$1-C47)/C$2</f>
        <v>1.0000000000000142E-2</v>
      </c>
      <c r="AD47">
        <f>D$3*(D$1-D47)/D$2</f>
        <v>0</v>
      </c>
      <c r="AE47">
        <f>E$3*(E$1-E47)/E$2</f>
        <v>-0.7013888888888905</v>
      </c>
      <c r="AF47">
        <f>F$3*(F$1-F47)/F$2</f>
        <v>0.37931034482758424</v>
      </c>
      <c r="AG47">
        <f>G$3*(G$1-G47)/G$2</f>
        <v>0.32999999999999957</v>
      </c>
      <c r="AH47">
        <f>H$3*(H$1-H47)/H$2</f>
        <v>-1.3333333333333353</v>
      </c>
      <c r="AI47">
        <f>I$3*(I$1-I47)/I$2</f>
        <v>0</v>
      </c>
      <c r="AJ47">
        <f>(Q47-$M$1)/$M$2</f>
        <v>0.51300000000000001</v>
      </c>
      <c r="AK47">
        <f>(J47-$Q$1)/$Q$2</f>
        <v>1.7557806178531017</v>
      </c>
      <c r="AM47" s="3">
        <f>SUM(AC47:AK47)+M47+$T$1</f>
        <v>17.858122643624849</v>
      </c>
      <c r="AN47" s="3">
        <f>SUM(AC47:AK47)+M47+$T$1-AF47-AI47</f>
        <v>17.478812298797266</v>
      </c>
      <c r="AP47" t="str">
        <f>A47&amp;B47</f>
        <v>45504A</v>
      </c>
      <c r="AQ47">
        <f>VLOOKUP(AP47,kut,4,0)</f>
        <v>0</v>
      </c>
      <c r="AS47" s="3">
        <f t="shared" si="1"/>
        <v>17.953368740458458</v>
      </c>
      <c r="AT47" s="3">
        <f t="shared" si="2"/>
        <v>17.574058395630875</v>
      </c>
    </row>
    <row r="48" spans="1:46" x14ac:dyDescent="0.3">
      <c r="A48" s="17">
        <v>45504</v>
      </c>
      <c r="B48" s="18" t="s">
        <v>20</v>
      </c>
      <c r="C48" s="19">
        <v>7.6779999999999999</v>
      </c>
      <c r="D48" s="19">
        <v>37.125</v>
      </c>
      <c r="E48" s="19">
        <v>25.696249999999999</v>
      </c>
      <c r="F48" s="19">
        <v>54.64</v>
      </c>
      <c r="G48" s="19">
        <v>3.7</v>
      </c>
      <c r="H48" s="19">
        <v>3.0649999999999999</v>
      </c>
      <c r="I48" s="19">
        <v>148.75</v>
      </c>
      <c r="J48" s="19">
        <v>7.5125728124761402</v>
      </c>
      <c r="K48" s="19">
        <v>2.0174624445996772E-3</v>
      </c>
      <c r="L48" s="19">
        <v>1.515633351149118E-2</v>
      </c>
      <c r="M48" s="19">
        <v>24.978623658338488</v>
      </c>
      <c r="N48" s="19">
        <v>2.5859236598127491E-3</v>
      </c>
      <c r="O48" s="19">
        <v>5225</v>
      </c>
      <c r="P48" s="19">
        <v>81.344896584954029</v>
      </c>
      <c r="Q48" s="19">
        <v>6352.0800000000008</v>
      </c>
      <c r="R48" s="19">
        <v>27.047560328503849</v>
      </c>
      <c r="S48" s="20">
        <f>SUM(AM48:AN48)/2 + (AQ48/$X$1)</f>
        <v>23.690617688558625</v>
      </c>
      <c r="T48" s="20">
        <f>VLOOKUP(AP48,ggg,3,0)</f>
        <v>32.659999999999997</v>
      </c>
      <c r="U48" s="20">
        <f t="shared" si="0"/>
        <v>18.711994030220136</v>
      </c>
      <c r="V48" s="20">
        <f>VLOOKUP(AP48,ggg,12,0)</f>
        <v>7.54</v>
      </c>
      <c r="W48" s="20">
        <f>VLOOKUP(AP48,ggg,20,0)</f>
        <v>26.36</v>
      </c>
      <c r="X48" s="20">
        <f>VLOOKUP(AP48,ggg,32,0)</f>
        <v>2.99</v>
      </c>
      <c r="Y48" s="20">
        <f>VLOOKUP(AP48,ggg,28,0)</f>
        <v>3.36</v>
      </c>
      <c r="Z48" s="33"/>
      <c r="AA48" s="33"/>
      <c r="AC48">
        <f>C$3*(C$1-C48)/C$2</f>
        <v>9.4400000000000095E-2</v>
      </c>
      <c r="AD48">
        <f>D$3*(D$1-D48)/D$2</f>
        <v>0</v>
      </c>
      <c r="AE48">
        <f>E$3*(E$1-E48)/E$2</f>
        <v>0.42812500000000142</v>
      </c>
      <c r="AF48">
        <f>F$3*(F$1-F48)/F$2</f>
        <v>0.74137931034482718</v>
      </c>
      <c r="AG48">
        <f>G$3*(G$1-G48)/G$2</f>
        <v>0.32999999999999957</v>
      </c>
      <c r="AH48">
        <f>H$3*(H$1-H48)/H$2</f>
        <v>-1.6749999999999998</v>
      </c>
      <c r="AI48">
        <f>I$3*(I$1-I48)/I$2</f>
        <v>0</v>
      </c>
      <c r="AJ48">
        <f>(Q48-$M$1)/$M$2</f>
        <v>-1.2710749999999997</v>
      </c>
      <c r="AK48">
        <f>(J48-$Q$1)/$Q$2</f>
        <v>3.4348543750477205</v>
      </c>
      <c r="AM48" s="3">
        <f>SUM(AC48:AK48)+M48+$T$1</f>
        <v>24.061307343731038</v>
      </c>
      <c r="AN48" s="3">
        <f>SUM(AC48:AK48)+M48+$T$1-AF48-AI48</f>
        <v>23.319928033386212</v>
      </c>
      <c r="AP48" t="str">
        <f>A48&amp;B48</f>
        <v>45504B</v>
      </c>
      <c r="AQ48">
        <f>VLOOKUP(AP48,kut,4,0)</f>
        <v>0</v>
      </c>
      <c r="AS48" s="3">
        <f t="shared" si="1"/>
        <v>19.082683685392549</v>
      </c>
      <c r="AT48" s="3">
        <f t="shared" si="2"/>
        <v>18.341304375047724</v>
      </c>
    </row>
    <row r="49" spans="1:46" s="30" customFormat="1" x14ac:dyDescent="0.3">
      <c r="A49" s="26">
        <v>45504</v>
      </c>
      <c r="B49" s="27" t="s">
        <v>18</v>
      </c>
      <c r="C49" s="28">
        <v>7.5374999999999996</v>
      </c>
      <c r="D49" s="28">
        <v>37.285714285714278</v>
      </c>
      <c r="E49" s="28">
        <v>25.81428571428571</v>
      </c>
      <c r="F49" s="28">
        <v>54.64</v>
      </c>
      <c r="G49" s="28">
        <v>3.355</v>
      </c>
      <c r="H49" s="28">
        <v>2.971428571428572</v>
      </c>
      <c r="I49" s="28">
        <v>148.42857142857139</v>
      </c>
      <c r="J49" s="28">
        <v>8.5524316839105428</v>
      </c>
      <c r="K49" s="28">
        <v>2.0011629136798179E-3</v>
      </c>
      <c r="L49" s="28">
        <v>1.711480910762201E-2</v>
      </c>
      <c r="M49" s="28">
        <v>27.047681512771501</v>
      </c>
      <c r="N49" s="28">
        <v>2.5869431913991309E-3</v>
      </c>
      <c r="O49" s="28">
        <v>5225</v>
      </c>
      <c r="P49" s="28">
        <v>81.376955228313662</v>
      </c>
      <c r="Q49" s="28">
        <v>5753.2800000000007</v>
      </c>
      <c r="R49" s="28">
        <v>27.047683659166399</v>
      </c>
      <c r="S49" s="29">
        <f>SUM(AM49:AN49)/2 + (AQ49/$X$1)</f>
        <v>24.101987562027599</v>
      </c>
      <c r="T49" s="29">
        <f>VLOOKUP(AP49,ggg,3,0)</f>
        <v>33.31</v>
      </c>
      <c r="U49" s="20">
        <f t="shared" si="0"/>
        <v>17.054306049256098</v>
      </c>
      <c r="V49" s="29">
        <f>VLOOKUP(AP49,ggg,12,0)</f>
        <v>8.1</v>
      </c>
      <c r="W49" s="29">
        <f>VLOOKUP(AP49,ggg,20,0)</f>
        <v>26.72</v>
      </c>
      <c r="X49" s="29">
        <f>VLOOKUP(AP49,ggg,32,0)</f>
        <v>3.17</v>
      </c>
      <c r="Y49" s="29">
        <f>VLOOKUP(AP49,ggg,28,0)</f>
        <v>3.36</v>
      </c>
      <c r="Z49" s="34"/>
      <c r="AA49" s="34"/>
      <c r="AC49" s="30">
        <f>C$3*(C$1-C49)/C$2</f>
        <v>0.12250000000000015</v>
      </c>
      <c r="AD49" s="30">
        <f>D$3*(D$1-D49)/D$2</f>
        <v>0</v>
      </c>
      <c r="AE49" s="30">
        <f>E$3*(E$1-E49)/E$2</f>
        <v>0.32976190476190936</v>
      </c>
      <c r="AF49" s="30">
        <f>F$3*(F$1-F49)/F$2</f>
        <v>0.74137931034482718</v>
      </c>
      <c r="AG49" s="30">
        <f>G$3*(G$1-G49)/G$2</f>
        <v>1.365</v>
      </c>
      <c r="AH49" s="30">
        <f>H$3*(H$1-H49)/H$2</f>
        <v>-2.1428571428571397</v>
      </c>
      <c r="AI49" s="30">
        <f>I$3*(I$1-I49)/I$2</f>
        <v>0</v>
      </c>
      <c r="AJ49" s="30">
        <f>(Q49-$M$1)/$M$2</f>
        <v>-1.345925</v>
      </c>
      <c r="AK49" s="30">
        <f>(J49-$Q$1)/$Q$2</f>
        <v>1.3551366321789153</v>
      </c>
      <c r="AM49" s="31">
        <f>SUM(AC49:AK49)+M49+$T$1</f>
        <v>24.472677217200012</v>
      </c>
      <c r="AN49" s="31">
        <f>SUM(AC49:AK49)+M49+$T$1-AF49-AI49</f>
        <v>23.731297906855186</v>
      </c>
      <c r="AP49" s="30" t="str">
        <f>A49&amp;B49</f>
        <v>45504C</v>
      </c>
      <c r="AQ49" s="30">
        <f>VLOOKUP(AP49,kut,4,0)</f>
        <v>0</v>
      </c>
      <c r="AS49" s="3">
        <f t="shared" si="1"/>
        <v>17.424995704428511</v>
      </c>
      <c r="AT49" s="3">
        <f t="shared" si="2"/>
        <v>16.683616394083685</v>
      </c>
    </row>
    <row r="50" spans="1:46" x14ac:dyDescent="0.3">
      <c r="A50" s="17">
        <v>45505</v>
      </c>
      <c r="B50" s="18" t="s">
        <v>19</v>
      </c>
      <c r="C50" s="19">
        <v>8.1</v>
      </c>
      <c r="D50" s="19">
        <v>38</v>
      </c>
      <c r="E50" s="19">
        <v>26.594999999999999</v>
      </c>
      <c r="F50" s="19">
        <v>54.64</v>
      </c>
      <c r="G50" s="19">
        <v>3.36</v>
      </c>
      <c r="H50" s="19">
        <v>3.14</v>
      </c>
      <c r="I50" s="19">
        <v>145.75</v>
      </c>
      <c r="J50" s="19">
        <v>7.7230550623321763</v>
      </c>
      <c r="K50" s="19">
        <v>5.85301430189006E-3</v>
      </c>
      <c r="L50" s="19">
        <v>4.5203151734114648E-2</v>
      </c>
      <c r="M50" s="19">
        <v>20.933629867922171</v>
      </c>
      <c r="N50" s="19">
        <v>2.584326369049495E-3</v>
      </c>
      <c r="O50" s="19">
        <v>5225</v>
      </c>
      <c r="P50" s="19">
        <v>81.282224239373392</v>
      </c>
      <c r="Q50" s="19">
        <v>18467.16</v>
      </c>
      <c r="R50" s="19">
        <v>23.936131000442899</v>
      </c>
      <c r="S50" s="20">
        <f>SUM(AM50:AN50)/2 + (AQ50/$X$1)</f>
        <v>21.300686065096905</v>
      </c>
      <c r="T50" s="20">
        <f>VLOOKUP(AP50,ggg,3,0)</f>
        <v>32.25</v>
      </c>
      <c r="U50" s="20">
        <f t="shared" si="0"/>
        <v>20.367056197174733</v>
      </c>
      <c r="V50" s="20">
        <f>VLOOKUP(AP50,ggg,12,0)</f>
        <v>7.94</v>
      </c>
      <c r="W50" s="20">
        <f>VLOOKUP(AP50,ggg,20,0)</f>
        <v>26.64</v>
      </c>
      <c r="X50" s="20">
        <f>VLOOKUP(AP50,ggg,32,0)</f>
        <v>3.26</v>
      </c>
      <c r="Y50" s="20">
        <f>VLOOKUP(AP50,ggg,28,0)</f>
        <v>3.49</v>
      </c>
      <c r="Z50" s="33"/>
      <c r="AA50" s="33"/>
      <c r="AC50">
        <f>C$3*(C$1-C50)/C$2</f>
        <v>1.0000000000000142E-2</v>
      </c>
      <c r="AD50">
        <f>D$3*(D$1-D50)/D$2</f>
        <v>0</v>
      </c>
      <c r="AE50">
        <f>E$3*(E$1-E50)/E$2</f>
        <v>-0.32083333333333169</v>
      </c>
      <c r="AF50">
        <f>F$3*(F$1-F50)/F$2</f>
        <v>0.74137931034482718</v>
      </c>
      <c r="AG50">
        <f>G$3*(G$1-G50)/G$2</f>
        <v>1.3500000000000003</v>
      </c>
      <c r="AH50">
        <f>H$3*(H$1-H50)/H$2</f>
        <v>-1.2999999999999992</v>
      </c>
      <c r="AI50">
        <f>I$3*(I$1-I50)/I$2</f>
        <v>0</v>
      </c>
      <c r="AJ50">
        <f>(Q50-$M$1)/$M$2</f>
        <v>0.24330999999999994</v>
      </c>
      <c r="AK50">
        <f>(J50-$Q$1)/$Q$2</f>
        <v>3.0138898753356482</v>
      </c>
      <c r="AM50" s="3">
        <f>SUM(AC50:AK50)+M50+$T$1</f>
        <v>21.671375720269317</v>
      </c>
      <c r="AN50" s="3">
        <f>SUM(AC50:AK50)+M50+$T$1-AF50-AI50</f>
        <v>20.929996409924492</v>
      </c>
      <c r="AP50" t="str">
        <f>A50&amp;B50</f>
        <v>45505A</v>
      </c>
      <c r="AQ50">
        <f>VLOOKUP(AP50,kut,4,0)</f>
        <v>0</v>
      </c>
      <c r="AS50" s="3">
        <f t="shared" si="1"/>
        <v>20.737745852347146</v>
      </c>
      <c r="AT50" s="3">
        <f t="shared" si="2"/>
        <v>19.99636654200232</v>
      </c>
    </row>
    <row r="51" spans="1:46" x14ac:dyDescent="0.3">
      <c r="A51" s="17">
        <v>45505</v>
      </c>
      <c r="B51" s="18" t="s">
        <v>20</v>
      </c>
      <c r="C51" s="19">
        <v>7.9424999999999999</v>
      </c>
      <c r="D51" s="19">
        <v>38.666666666666657</v>
      </c>
      <c r="E51" s="19">
        <v>26.56666666666667</v>
      </c>
      <c r="F51" s="19">
        <v>55.06</v>
      </c>
      <c r="G51" s="19">
        <v>3.49</v>
      </c>
      <c r="H51" s="19">
        <v>3.27</v>
      </c>
      <c r="I51" s="19">
        <v>145.16666666666671</v>
      </c>
      <c r="J51" s="19">
        <v>7.8394155784493638</v>
      </c>
      <c r="K51" s="19">
        <v>3.40635400943021E-3</v>
      </c>
      <c r="L51" s="19">
        <v>2.670382468724064E-2</v>
      </c>
      <c r="M51" s="19">
        <v>20.699435597180258</v>
      </c>
      <c r="N51" s="19">
        <v>2.5838501325002828E-3</v>
      </c>
      <c r="O51" s="19">
        <v>5225</v>
      </c>
      <c r="P51" s="19">
        <v>81.278593430961905</v>
      </c>
      <c r="Q51" s="19">
        <v>10521.12</v>
      </c>
      <c r="R51" s="19">
        <v>22.45045012126868</v>
      </c>
      <c r="S51" s="20">
        <f>SUM(AM51:AN51)/2 + (AQ51/$X$1)</f>
        <v>19.793557907714479</v>
      </c>
      <c r="T51" s="20">
        <f>VLOOKUP(AP51,ggg,3,0)</f>
        <v>30.29</v>
      </c>
      <c r="U51" s="20">
        <f t="shared" si="0"/>
        <v>19.094122310534221</v>
      </c>
      <c r="V51" s="20">
        <f>VLOOKUP(AP51,ggg,12,0)</f>
        <v>7.88</v>
      </c>
      <c r="W51" s="20">
        <f>VLOOKUP(AP51,ggg,20,0)</f>
        <v>26.71</v>
      </c>
      <c r="X51" s="20">
        <f>VLOOKUP(AP51,ggg,32,0)</f>
        <v>3.16</v>
      </c>
      <c r="Y51" s="20">
        <f>VLOOKUP(AP51,ggg,28,0)</f>
        <v>3.58</v>
      </c>
      <c r="Z51" s="33"/>
      <c r="AA51" s="33"/>
      <c r="AC51">
        <f>C$3*(C$1-C51)/C$2</f>
        <v>4.1500000000000092E-2</v>
      </c>
      <c r="AD51">
        <f>D$3*(D$1-D51)/D$2</f>
        <v>0</v>
      </c>
      <c r="AE51">
        <f>E$3*(E$1-E51)/E$2</f>
        <v>-0.29722222222222427</v>
      </c>
      <c r="AF51">
        <f>F$3*(F$1-F51)/F$2</f>
        <v>1.72413793103414E-2</v>
      </c>
      <c r="AG51">
        <f>G$3*(G$1-G51)/G$2</f>
        <v>0.95999999999999941</v>
      </c>
      <c r="AH51">
        <f>H$3*(H$1-H51)/H$2</f>
        <v>-0.64999999999999958</v>
      </c>
      <c r="AI51">
        <f>I$3*(I$1-I51)/I$2</f>
        <v>0</v>
      </c>
      <c r="AJ51">
        <f>(Q51-$M$1)/$M$2</f>
        <v>-0.74994499999999997</v>
      </c>
      <c r="AK51">
        <f>(J51-$Q$1)/$Q$2</f>
        <v>2.7811688431012733</v>
      </c>
      <c r="AM51" s="3">
        <f>SUM(AC51:AK51)+M51+$T$1</f>
        <v>19.80217859736965</v>
      </c>
      <c r="AN51" s="3">
        <f>SUM(AC51:AK51)+M51+$T$1-AF51-AI51</f>
        <v>19.784937218059309</v>
      </c>
      <c r="AP51" t="str">
        <f>A51&amp;B51</f>
        <v>45505B</v>
      </c>
      <c r="AQ51">
        <f>VLOOKUP(AP51,kut,4,0)</f>
        <v>0</v>
      </c>
      <c r="AS51" s="3">
        <f t="shared" si="1"/>
        <v>19.102743000189392</v>
      </c>
      <c r="AT51" s="3">
        <f t="shared" si="2"/>
        <v>19.08550162087905</v>
      </c>
    </row>
    <row r="52" spans="1:46" x14ac:dyDescent="0.3">
      <c r="A52" s="17">
        <v>45505</v>
      </c>
      <c r="B52" s="18" t="s">
        <v>18</v>
      </c>
      <c r="C52" s="19">
        <v>7.8849999999999998</v>
      </c>
      <c r="D52" s="19">
        <v>37.625</v>
      </c>
      <c r="E52" s="19">
        <v>26.712499999999999</v>
      </c>
      <c r="F52" s="19">
        <v>55.06</v>
      </c>
      <c r="G52" s="19">
        <v>3.58</v>
      </c>
      <c r="H52" s="19">
        <v>3.1549999999999998</v>
      </c>
      <c r="I52" s="19">
        <v>148.875</v>
      </c>
      <c r="J52" s="19">
        <v>7.8925462653052012</v>
      </c>
      <c r="K52" s="19">
        <v>6.2256082865063192E-3</v>
      </c>
      <c r="L52" s="19">
        <v>4.9135901430918567E-2</v>
      </c>
      <c r="M52" s="19">
        <v>23.972593579816689</v>
      </c>
      <c r="N52" s="19">
        <v>2.5854245626863929E-3</v>
      </c>
      <c r="O52" s="19">
        <v>5225</v>
      </c>
      <c r="P52" s="19">
        <v>81.329308804412392</v>
      </c>
      <c r="Q52" s="19">
        <v>18512</v>
      </c>
      <c r="R52" s="19">
        <v>24.82262330167779</v>
      </c>
      <c r="S52" s="20">
        <f>SUM(AM52:AN52)/2 + (AQ52/$X$1)</f>
        <v>23.00428673886146</v>
      </c>
      <c r="T52" s="20">
        <f>VLOOKUP(AP52,ggg,3,0)</f>
        <v>24.02</v>
      </c>
      <c r="U52" s="20">
        <f t="shared" si="0"/>
        <v>19.031693159044771</v>
      </c>
      <c r="V52" s="20">
        <f>VLOOKUP(AP52,ggg,12,0)</f>
        <v>8.1999999999999993</v>
      </c>
      <c r="W52" s="20">
        <f>VLOOKUP(AP52,ggg,20,0)</f>
        <v>25.66</v>
      </c>
      <c r="X52" s="20">
        <f>VLOOKUP(AP52,ggg,32,0)</f>
        <v>3.36</v>
      </c>
      <c r="Y52" s="20">
        <f>VLOOKUP(AP52,ggg,28,0)</f>
        <v>3.58</v>
      </c>
      <c r="Z52" s="33"/>
      <c r="AA52" s="33"/>
      <c r="AC52">
        <f>C$3*(C$1-C52)/C$2</f>
        <v>5.3000000000000116E-2</v>
      </c>
      <c r="AD52">
        <f>D$3*(D$1-D52)/D$2</f>
        <v>0</v>
      </c>
      <c r="AE52">
        <f>E$3*(E$1-E52)/E$2</f>
        <v>-0.41874999999999812</v>
      </c>
      <c r="AF52">
        <f>F$3*(F$1-F52)/F$2</f>
        <v>1.72413793103414E-2</v>
      </c>
      <c r="AG52">
        <f>G$3*(G$1-G52)/G$2</f>
        <v>0.68999999999999984</v>
      </c>
      <c r="AH52">
        <f>H$3*(H$1-H52)/H$2</f>
        <v>-1.2250000000000005</v>
      </c>
      <c r="AI52">
        <f>I$3*(I$1-I52)/I$2</f>
        <v>0</v>
      </c>
      <c r="AJ52">
        <f>(Q52-$M$1)/$M$2</f>
        <v>0.24891499999999997</v>
      </c>
      <c r="AK52">
        <f>(J52-$Q$1)/$Q$2</f>
        <v>2.6749074693895984</v>
      </c>
      <c r="AM52" s="3">
        <f>SUM(AC52:AK52)+M52+$T$1</f>
        <v>23.01290742851663</v>
      </c>
      <c r="AN52" s="3">
        <f>SUM(AC52:AK52)+M52+$T$1-AF52-AI52</f>
        <v>22.995666049206289</v>
      </c>
      <c r="AP52" t="str">
        <f>A52&amp;B52</f>
        <v>45505C</v>
      </c>
      <c r="AQ52">
        <f>VLOOKUP(AP52,kut,4,0)</f>
        <v>0</v>
      </c>
      <c r="AS52" s="3">
        <f t="shared" si="1"/>
        <v>19.040313848699942</v>
      </c>
      <c r="AT52" s="3">
        <f t="shared" si="2"/>
        <v>19.0230724693896</v>
      </c>
    </row>
    <row r="53" spans="1:46" x14ac:dyDescent="0.3">
      <c r="A53" s="17">
        <v>45506</v>
      </c>
      <c r="B53" s="18" t="s">
        <v>19</v>
      </c>
      <c r="C53" s="19">
        <v>8.1999999999999993</v>
      </c>
      <c r="D53" s="19">
        <v>38</v>
      </c>
      <c r="E53" s="19">
        <v>25.66</v>
      </c>
      <c r="F53" s="19">
        <v>55.06</v>
      </c>
      <c r="G53" s="19">
        <v>3.58</v>
      </c>
      <c r="H53" s="19">
        <v>3.36</v>
      </c>
      <c r="I53" s="19">
        <v>148</v>
      </c>
      <c r="J53" s="19">
        <v>8.9771123431671747</v>
      </c>
      <c r="K53" s="19">
        <v>6.7037592752690481E-3</v>
      </c>
      <c r="L53" s="19">
        <v>6.018040013563921E-2</v>
      </c>
      <c r="M53" s="19">
        <v>15.93345846385632</v>
      </c>
      <c r="N53" s="19">
        <v>2.5820520796678401E-3</v>
      </c>
      <c r="O53" s="19">
        <v>5225</v>
      </c>
      <c r="P53" s="19">
        <v>81.204750383700002</v>
      </c>
      <c r="Q53" s="19">
        <v>7098.880000000001</v>
      </c>
      <c r="R53" s="19">
        <v>16.99331258586227</v>
      </c>
      <c r="S53" s="20">
        <f>SUM(AM53:AN53)/2 + (AQ53/$X$1)</f>
        <v>13.208462800510475</v>
      </c>
      <c r="T53" s="20">
        <f>VLOOKUP(AP53,ggg,3,0)</f>
        <v>22.86</v>
      </c>
      <c r="U53" s="20">
        <f t="shared" si="0"/>
        <v>17.275004336654156</v>
      </c>
      <c r="V53" s="20">
        <f>VLOOKUP(AP53,ggg,12,0)</f>
        <v>8.1</v>
      </c>
      <c r="W53" s="20">
        <f>VLOOKUP(AP53,ggg,20,0)</f>
        <v>27.1</v>
      </c>
      <c r="X53" s="20">
        <f>VLOOKUP(AP53,ggg,32,0)</f>
        <v>3.41</v>
      </c>
      <c r="Y53" s="20">
        <f>VLOOKUP(AP53,ggg,28,0)</f>
        <v>3.58</v>
      </c>
      <c r="Z53" s="33"/>
      <c r="AA53" s="33"/>
      <c r="AC53">
        <f>C$3*(C$1-C53)/C$2</f>
        <v>-9.9999999999997868E-3</v>
      </c>
      <c r="AD53">
        <f>D$3*(D$1-D53)/D$2</f>
        <v>0</v>
      </c>
      <c r="AE53">
        <f>E$3*(E$1-E53)/E$2</f>
        <v>0.45833333333333393</v>
      </c>
      <c r="AF53">
        <f>F$3*(F$1-F53)/F$2</f>
        <v>1.72413793103414E-2</v>
      </c>
      <c r="AG53">
        <f>G$3*(G$1-G53)/G$2</f>
        <v>0.68999999999999984</v>
      </c>
      <c r="AH53">
        <f>H$3*(H$1-H53)/H$2</f>
        <v>-0.20000000000000018</v>
      </c>
      <c r="AI53">
        <f>I$3*(I$1-I53)/I$2</f>
        <v>0</v>
      </c>
      <c r="AJ53">
        <f>(Q53-$M$1)/$M$2</f>
        <v>-1.1777249999999999</v>
      </c>
      <c r="AK53">
        <f>(J53-$Q$1)/$Q$2</f>
        <v>0.50577531366565154</v>
      </c>
      <c r="AM53" s="3">
        <f>SUM(AC53:AK53)+M53+$T$1</f>
        <v>13.217083490165646</v>
      </c>
      <c r="AN53" s="3">
        <f>SUM(AC53:AK53)+M53+$T$1-AF53-AI53</f>
        <v>13.199842110855304</v>
      </c>
      <c r="AP53" t="str">
        <f>A53&amp;B53</f>
        <v>45506A</v>
      </c>
      <c r="AQ53">
        <f>VLOOKUP(AP53,kut,4,0)</f>
        <v>0</v>
      </c>
      <c r="AS53" s="3">
        <f t="shared" si="1"/>
        <v>17.283625026309327</v>
      </c>
      <c r="AT53" s="3">
        <f t="shared" si="2"/>
        <v>17.266383646998985</v>
      </c>
    </row>
    <row r="54" spans="1:46" x14ac:dyDescent="0.3">
      <c r="A54" s="17">
        <v>45506</v>
      </c>
      <c r="B54" s="18" t="s">
        <v>20</v>
      </c>
      <c r="C54" s="19">
        <v>8.0033333333333321</v>
      </c>
      <c r="D54" s="19">
        <v>38.5</v>
      </c>
      <c r="E54" s="19">
        <v>26.625</v>
      </c>
      <c r="F54" s="19">
        <v>55.06</v>
      </c>
      <c r="G54" s="19">
        <v>3.58</v>
      </c>
      <c r="H54" s="19">
        <v>3.37</v>
      </c>
      <c r="I54" s="19">
        <v>145.66666666666671</v>
      </c>
      <c r="J54" s="19">
        <v>10.06091737312239</v>
      </c>
      <c r="K54" s="19">
        <v>5.9023954808953994E-3</v>
      </c>
      <c r="L54" s="19">
        <v>5.9383513236779609E-2</v>
      </c>
      <c r="M54" s="19">
        <v>16.935336829803781</v>
      </c>
      <c r="N54" s="19">
        <v>2.5821042350094429E-3</v>
      </c>
      <c r="O54" s="19">
        <v>5225</v>
      </c>
      <c r="P54" s="19">
        <v>81.22027540526291</v>
      </c>
      <c r="Q54" s="19">
        <v>17224.96</v>
      </c>
      <c r="R54" s="19">
        <v>18.56237123118434</v>
      </c>
      <c r="S54" s="20">
        <f>SUM(AM54:AN54)/2 + (AQ54/$X$1)</f>
        <v>12.593657773214174</v>
      </c>
      <c r="T54" s="20">
        <f>VLOOKUP(AP54,ggg,3,0)</f>
        <v>17.59</v>
      </c>
      <c r="U54" s="20">
        <f t="shared" si="0"/>
        <v>15.658320943410395</v>
      </c>
      <c r="V54" s="20">
        <f>VLOOKUP(AP54,ggg,12,0)</f>
        <v>8.23</v>
      </c>
      <c r="W54" s="20">
        <f>VLOOKUP(AP54,ggg,20,0)</f>
        <v>27.62</v>
      </c>
      <c r="X54" s="20">
        <f>VLOOKUP(AP54,ggg,32,0)</f>
        <v>3.36</v>
      </c>
      <c r="Y54" s="20">
        <f>VLOOKUP(AP54,ggg,28,0)</f>
        <v>3.58</v>
      </c>
      <c r="Z54" s="33"/>
      <c r="AA54" s="33"/>
      <c r="AC54">
        <f>C$3*(C$1-C54)/C$2</f>
        <v>2.9333333333333655E-2</v>
      </c>
      <c r="AD54">
        <f>D$3*(D$1-D54)/D$2</f>
        <v>0</v>
      </c>
      <c r="AE54">
        <f>E$3*(E$1-E54)/E$2</f>
        <v>-0.34583333333333266</v>
      </c>
      <c r="AF54">
        <f>F$3*(F$1-F54)/F$2</f>
        <v>1.72413793103414E-2</v>
      </c>
      <c r="AG54">
        <f>G$3*(G$1-G54)/G$2</f>
        <v>0.68999999999999984</v>
      </c>
      <c r="AH54">
        <f>H$3*(H$1-H54)/H$2</f>
        <v>-0.14999999999999902</v>
      </c>
      <c r="AI54">
        <f>I$3*(I$1-I54)/I$2</f>
        <v>0</v>
      </c>
      <c r="AJ54">
        <f>(Q54-$M$1)/$M$2</f>
        <v>8.8034999999999849E-2</v>
      </c>
      <c r="AK54">
        <f>(J54-$Q$1)/$Q$2</f>
        <v>-1.6618347462447787</v>
      </c>
      <c r="AM54" s="3">
        <f>SUM(AC54:AK54)+M54+$T$1</f>
        <v>12.602278462869345</v>
      </c>
      <c r="AN54" s="3">
        <f>SUM(AC54:AK54)+M54+$T$1-AF54-AI54</f>
        <v>12.585037083559003</v>
      </c>
      <c r="AP54" t="str">
        <f>A54&amp;B54</f>
        <v>45506B</v>
      </c>
      <c r="AQ54">
        <f>VLOOKUP(AP54,kut,4,0)</f>
        <v>0</v>
      </c>
      <c r="AS54" s="3">
        <f t="shared" si="1"/>
        <v>15.666941633065566</v>
      </c>
      <c r="AT54" s="3">
        <f t="shared" si="2"/>
        <v>15.649700253755224</v>
      </c>
    </row>
    <row r="55" spans="1:46" x14ac:dyDescent="0.3">
      <c r="A55" s="17">
        <v>45506</v>
      </c>
      <c r="B55" s="18" t="s">
        <v>18</v>
      </c>
      <c r="C55" s="19">
        <v>8.2333333333333343</v>
      </c>
      <c r="D55" s="19">
        <v>37.428571428571431</v>
      </c>
      <c r="E55" s="19">
        <v>27.94285714285714</v>
      </c>
      <c r="F55" s="19">
        <v>55.06</v>
      </c>
      <c r="G55" s="19">
        <v>3.58</v>
      </c>
      <c r="H55" s="19">
        <v>3.36</v>
      </c>
      <c r="I55" s="19">
        <v>148.42857142857139</v>
      </c>
      <c r="J55" s="19">
        <v>9.0367294960814846</v>
      </c>
      <c r="K55" s="19">
        <v>2.9619826539901231E-3</v>
      </c>
      <c r="L55" s="19">
        <v>2.6766636016194261E-2</v>
      </c>
      <c r="M55" s="19">
        <v>14.31169279990309</v>
      </c>
      <c r="N55" s="19">
        <v>2.5811370897410538E-3</v>
      </c>
      <c r="O55" s="19">
        <v>5225</v>
      </c>
      <c r="P55" s="19">
        <v>81.179623612006253</v>
      </c>
      <c r="Q55" s="19">
        <v>11280.384</v>
      </c>
      <c r="R55" s="19">
        <v>15.26686266828624</v>
      </c>
      <c r="S55" s="20">
        <f>SUM(AM55:AN55)/2 + (AQ55/$X$1)</f>
        <v>10.081103211681009</v>
      </c>
      <c r="T55" s="20">
        <f>VLOOKUP(AP55,ggg,3,0)</f>
        <v>16.57</v>
      </c>
      <c r="U55" s="20">
        <f t="shared" si="0"/>
        <v>15.769410411777919</v>
      </c>
      <c r="V55" s="20">
        <f>VLOOKUP(AP55,ggg,12,0)</f>
        <v>8.5</v>
      </c>
      <c r="W55" s="20">
        <f>VLOOKUP(AP55,ggg,20,0)</f>
        <v>28.55</v>
      </c>
      <c r="X55" s="20">
        <f>VLOOKUP(AP55,ggg,32,0)</f>
        <v>3.32</v>
      </c>
      <c r="Y55" s="20">
        <f>VLOOKUP(AP55,ggg,28,0)</f>
        <v>3.56</v>
      </c>
      <c r="Z55" s="33"/>
      <c r="AA55" s="33"/>
      <c r="AC55">
        <f>C$3*(C$1-C55)/C$2</f>
        <v>-1.6666666666666784E-2</v>
      </c>
      <c r="AD55">
        <f>D$3*(D$1-D55)/D$2</f>
        <v>0</v>
      </c>
      <c r="AE55">
        <f>E$3*(E$1-E55)/E$2</f>
        <v>-1.4440476190476157</v>
      </c>
      <c r="AF55">
        <f>F$3*(F$1-F55)/F$2</f>
        <v>1.72413793103414E-2</v>
      </c>
      <c r="AG55">
        <f>G$3*(G$1-G55)/G$2</f>
        <v>0.68999999999999984</v>
      </c>
      <c r="AH55">
        <f>H$3*(H$1-H55)/H$2</f>
        <v>-0.20000000000000018</v>
      </c>
      <c r="AI55">
        <f>I$3*(I$1-I55)/I$2</f>
        <v>0</v>
      </c>
      <c r="AJ55">
        <f>(Q55-$M$1)/$M$2</f>
        <v>-0.65503699999999998</v>
      </c>
      <c r="AK55">
        <f>(J55-$Q$1)/$Q$2</f>
        <v>0.38654100783703171</v>
      </c>
      <c r="AM55" s="3">
        <f>SUM(AC55:AK55)+M55+$T$1</f>
        <v>10.08972390133618</v>
      </c>
      <c r="AN55" s="3">
        <f>SUM(AC55:AK55)+M55+$T$1-AF55-AI55</f>
        <v>10.072482522025838</v>
      </c>
      <c r="AP55" t="str">
        <f>A55&amp;B55</f>
        <v>45506C</v>
      </c>
      <c r="AQ55">
        <f>VLOOKUP(AP55,kut,4,0)</f>
        <v>0</v>
      </c>
      <c r="AS55" s="3">
        <f t="shared" si="1"/>
        <v>15.77803110143309</v>
      </c>
      <c r="AT55" s="3">
        <f t="shared" si="2"/>
        <v>15.760789722122748</v>
      </c>
    </row>
    <row r="56" spans="1:46" x14ac:dyDescent="0.3">
      <c r="A56" s="17">
        <v>45509</v>
      </c>
      <c r="B56" s="18" t="s">
        <v>19</v>
      </c>
      <c r="C56" s="19">
        <v>8.4</v>
      </c>
      <c r="D56" s="19">
        <v>38.333333333333343</v>
      </c>
      <c r="E56" s="19">
        <v>27.9</v>
      </c>
      <c r="F56" s="19">
        <v>55.06</v>
      </c>
      <c r="G56" s="19">
        <v>3.56</v>
      </c>
      <c r="H56" s="19">
        <v>3.35</v>
      </c>
      <c r="I56" s="19">
        <v>161.33333333333329</v>
      </c>
      <c r="J56" s="19">
        <v>8.278736648190705</v>
      </c>
      <c r="K56" s="19">
        <v>6.8034835401174039E-3</v>
      </c>
      <c r="L56" s="19">
        <v>5.6324248518932182E-2</v>
      </c>
      <c r="M56" s="19">
        <v>17.88138317675654</v>
      </c>
      <c r="N56" s="19">
        <v>2.5824783571733361E-3</v>
      </c>
      <c r="O56" s="19">
        <v>5225</v>
      </c>
      <c r="P56" s="19">
        <v>81.234930565129233</v>
      </c>
      <c r="Q56" s="19">
        <v>16344.959199999999</v>
      </c>
      <c r="R56" s="19">
        <v>15.70450432379547</v>
      </c>
      <c r="S56" s="20">
        <f>SUM(AM56:AN56)/2 + (AQ56/$X$1)</f>
        <v>15.81223213669697</v>
      </c>
      <c r="T56" s="20">
        <f>VLOOKUP(AP56,ggg,3,0)</f>
        <v>19.25</v>
      </c>
      <c r="U56" s="20">
        <f t="shared" si="0"/>
        <v>17.93084895994043</v>
      </c>
      <c r="V56" s="20">
        <f>VLOOKUP(AP56,ggg,12,0)</f>
        <v>8.3000000000000007</v>
      </c>
      <c r="W56" s="20">
        <f>VLOOKUP(AP56,ggg,20,0)</f>
        <v>27.48</v>
      </c>
      <c r="X56" s="20">
        <f>VLOOKUP(AP56,ggg,32,0)</f>
        <v>3.46</v>
      </c>
      <c r="Y56" s="20">
        <f>VLOOKUP(AP56,ggg,28,0)</f>
        <v>3.56</v>
      </c>
      <c r="Z56" s="33"/>
      <c r="AA56" s="33"/>
      <c r="AC56">
        <f>C$3*(C$1-C56)/C$2</f>
        <v>-0.05</v>
      </c>
      <c r="AD56">
        <f>D$3*(D$1-D56)/D$2</f>
        <v>0</v>
      </c>
      <c r="AE56">
        <f>E$3*(E$1-E56)/E$2</f>
        <v>-1.4083333333333314</v>
      </c>
      <c r="AF56">
        <f>F$3*(F$1-F56)/F$2</f>
        <v>1.72413793103414E-2</v>
      </c>
      <c r="AG56">
        <f>G$3*(G$1-G56)/G$2</f>
        <v>0.74999999999999989</v>
      </c>
      <c r="AH56">
        <f>H$3*(H$1-H56)/H$2</f>
        <v>-0.24999999999999914</v>
      </c>
      <c r="AI56">
        <f>I$3*(I$1-I56)/I$2</f>
        <v>0</v>
      </c>
      <c r="AJ56">
        <f>(Q56-$M$1)/$M$2</f>
        <v>-2.1965100000000119E-2</v>
      </c>
      <c r="AK56">
        <f>(J56-$Q$1)/$Q$2</f>
        <v>1.9025267036185909</v>
      </c>
      <c r="AM56" s="3">
        <f>SUM(AC56:AK56)+M56+$T$1</f>
        <v>15.820852826352141</v>
      </c>
      <c r="AN56" s="3">
        <f>SUM(AC56:AK56)+M56+$T$1-AF56-AI56</f>
        <v>15.803611447041799</v>
      </c>
      <c r="AP56" t="str">
        <f>A56&amp;B56</f>
        <v>45509A</v>
      </c>
      <c r="AQ56">
        <f>VLOOKUP(AP56,kut,4,0)</f>
        <v>0</v>
      </c>
      <c r="AS56" s="3">
        <f t="shared" si="1"/>
        <v>17.939469649595601</v>
      </c>
      <c r="AT56" s="3">
        <f t="shared" si="2"/>
        <v>17.92222827028526</v>
      </c>
    </row>
    <row r="57" spans="1:46" x14ac:dyDescent="0.3">
      <c r="A57" s="17">
        <v>45509</v>
      </c>
      <c r="B57" s="18" t="s">
        <v>20</v>
      </c>
      <c r="C57" s="19">
        <v>8.2999999999999989</v>
      </c>
      <c r="D57" s="19">
        <v>38.5</v>
      </c>
      <c r="E57" s="19">
        <v>27.333333333333329</v>
      </c>
      <c r="F57" s="19">
        <v>54.67</v>
      </c>
      <c r="G57" s="19">
        <v>3.56</v>
      </c>
      <c r="H57" s="19">
        <v>3.4933333333333341</v>
      </c>
      <c r="I57" s="19">
        <v>152.5</v>
      </c>
      <c r="J57" s="19">
        <v>10.317810489145151</v>
      </c>
      <c r="K57" s="19">
        <v>6.2091820246909466E-6</v>
      </c>
      <c r="L57" s="19">
        <v>6.4065163423367765E-5</v>
      </c>
      <c r="M57" s="19">
        <v>13.280997795449069</v>
      </c>
      <c r="N57" s="19">
        <v>3.7202764562861712</v>
      </c>
      <c r="O57" s="19">
        <v>5225</v>
      </c>
      <c r="P57" s="19">
        <v>102.17462434075919</v>
      </c>
      <c r="Q57" s="19">
        <v>16.8</v>
      </c>
      <c r="R57" s="19">
        <v>13.284341474951731</v>
      </c>
      <c r="S57" s="20">
        <f>SUM(AM57:AN57)/2 + (AQ57/$X$1)</f>
        <v>6.6377749589212289</v>
      </c>
      <c r="T57" s="20">
        <f>VLOOKUP(AP57,ggg,3,0)</f>
        <v>18.75</v>
      </c>
      <c r="U57" s="20">
        <f t="shared" si="0"/>
        <v>13.356777163472161</v>
      </c>
      <c r="V57" s="20">
        <f>VLOOKUP(AP57,ggg,12,0)</f>
        <v>8.48</v>
      </c>
      <c r="W57" s="20">
        <f>VLOOKUP(AP57,ggg,20,0)</f>
        <v>28.1</v>
      </c>
      <c r="X57" s="20">
        <f>VLOOKUP(AP57,ggg,32,0)</f>
        <v>3.6</v>
      </c>
      <c r="Y57" s="20">
        <f>VLOOKUP(AP57,ggg,28,0)</f>
        <v>3.9</v>
      </c>
      <c r="Z57" s="33"/>
      <c r="AA57" s="33"/>
      <c r="AC57">
        <f>C$3*(C$1-C57)/C$2</f>
        <v>-2.9999999999999718E-2</v>
      </c>
      <c r="AD57">
        <f>D$3*(D$1-D57)/D$2</f>
        <v>0</v>
      </c>
      <c r="AE57">
        <f>E$3*(E$1-E57)/E$2</f>
        <v>-0.93611111111110645</v>
      </c>
      <c r="AF57">
        <f>F$3*(F$1-F57)/F$2</f>
        <v>0.68965517241379071</v>
      </c>
      <c r="AG57">
        <f>G$3*(G$1-G57)/G$2</f>
        <v>0.74999999999999989</v>
      </c>
      <c r="AH57">
        <f>H$3*(H$1-H57)/H$2</f>
        <v>0.46666666666667078</v>
      </c>
      <c r="AI57">
        <f>I$3*(I$1-I57)/I$2</f>
        <v>0</v>
      </c>
      <c r="AJ57">
        <f>(Q57-$M$1)/$M$2</f>
        <v>-2.0629850000000003</v>
      </c>
      <c r="AK57">
        <f>(J57-$Q$1)/$Q$2</f>
        <v>-2.1756209782903007</v>
      </c>
      <c r="AM57" s="3">
        <f>SUM(AC57:AK57)+M57+$T$1</f>
        <v>6.9826025451281239</v>
      </c>
      <c r="AN57" s="3">
        <f>SUM(AC57:AK57)+M57+$T$1-AF57-AI57</f>
        <v>6.292947372714333</v>
      </c>
      <c r="AP57" t="str">
        <f>A57&amp;B57</f>
        <v>45509B</v>
      </c>
      <c r="AQ57">
        <f>VLOOKUP(AP57,kut,4,0)</f>
        <v>0</v>
      </c>
      <c r="AS57" s="3">
        <f t="shared" si="1"/>
        <v>13.701604749679056</v>
      </c>
      <c r="AT57" s="3">
        <f t="shared" si="2"/>
        <v>13.011949577265266</v>
      </c>
    </row>
    <row r="58" spans="1:46" x14ac:dyDescent="0.3">
      <c r="A58" s="17">
        <v>45509</v>
      </c>
      <c r="B58" s="18" t="s">
        <v>18</v>
      </c>
      <c r="C58" s="19">
        <v>8.4849999999999994</v>
      </c>
      <c r="D58" s="19">
        <v>39.333333333333343</v>
      </c>
      <c r="E58" s="19">
        <v>27.81666666666667</v>
      </c>
      <c r="F58" s="19">
        <v>54.67</v>
      </c>
      <c r="G58" s="19">
        <v>3.9</v>
      </c>
      <c r="H58" s="19">
        <v>3.6</v>
      </c>
      <c r="I58" s="19">
        <v>151.83333333333329</v>
      </c>
      <c r="J58" s="19">
        <v>9.3604011753428313</v>
      </c>
      <c r="K58" s="19">
        <v>5.7258810143969233E-3</v>
      </c>
      <c r="L58" s="19">
        <v>5.3596543377034171E-2</v>
      </c>
      <c r="M58" s="19">
        <v>13.31681530926434</v>
      </c>
      <c r="N58" s="19">
        <v>2.5992817239348918E-3</v>
      </c>
      <c r="O58" s="19">
        <v>5225</v>
      </c>
      <c r="P58" s="19">
        <v>120.2700355746922</v>
      </c>
      <c r="Q58" s="19">
        <v>18842.240000000002</v>
      </c>
      <c r="R58" s="19">
        <v>13.316816160098179</v>
      </c>
      <c r="S58" s="20">
        <f>SUM(AM58:AN58)/2 + (AQ58/$X$1)</f>
        <v>10.015146655896684</v>
      </c>
      <c r="T58" s="20">
        <f>VLOOKUP(AP58,ggg,3,0)</f>
        <v>13.06</v>
      </c>
      <c r="U58" s="20">
        <f t="shared" si="0"/>
        <v>16.698331346632344</v>
      </c>
      <c r="V58" s="20">
        <f>VLOOKUP(AP58,ggg,12,0)</f>
        <v>8.74</v>
      </c>
      <c r="W58" s="20">
        <f>VLOOKUP(AP58,ggg,20,0)</f>
        <v>26.13</v>
      </c>
      <c r="X58" s="20">
        <f>VLOOKUP(AP58,ggg,32,0)</f>
        <v>3.75</v>
      </c>
      <c r="Y58" s="20">
        <f>VLOOKUP(AP58,ggg,28,0)</f>
        <v>3.95</v>
      </c>
      <c r="Z58" s="33"/>
      <c r="AA58" s="33"/>
      <c r="AC58">
        <f>C$3*(C$1-C58)/C$2</f>
        <v>-6.6999999999999824E-2</v>
      </c>
      <c r="AD58">
        <f>D$3*(D$1-D58)/D$2</f>
        <v>0</v>
      </c>
      <c r="AE58">
        <f>E$3*(E$1-E58)/E$2</f>
        <v>-1.338888888888891</v>
      </c>
      <c r="AF58">
        <f>F$3*(F$1-F58)/F$2</f>
        <v>0.68965517241379071</v>
      </c>
      <c r="AG58">
        <f>G$3*(G$1-G58)/G$2</f>
        <v>-0.26999999999999957</v>
      </c>
      <c r="AH58">
        <f>H$3*(H$1-H58)/H$2</f>
        <v>1.0000000000000009</v>
      </c>
      <c r="AI58">
        <f>I$3*(I$1-I58)/I$2</f>
        <v>0</v>
      </c>
      <c r="AJ58">
        <f>(Q58-$M$1)/$M$2</f>
        <v>0.29019500000000015</v>
      </c>
      <c r="AK58">
        <f>(J58-$Q$1)/$Q$2</f>
        <v>-0.26080235068566182</v>
      </c>
      <c r="AM58" s="3">
        <f>SUM(AC58:AK58)+M58+$T$1</f>
        <v>10.359974242103579</v>
      </c>
      <c r="AN58" s="3">
        <f>SUM(AC58:AK58)+M58+$T$1-AF58-AI58</f>
        <v>9.6703190696897892</v>
      </c>
      <c r="AP58" t="str">
        <f>A58&amp;B58</f>
        <v>45509C</v>
      </c>
      <c r="AQ58">
        <f>VLOOKUP(AP58,kut,4,0)</f>
        <v>0</v>
      </c>
      <c r="AS58" s="3">
        <f t="shared" si="1"/>
        <v>17.043158932839241</v>
      </c>
      <c r="AT58" s="3">
        <f t="shared" si="2"/>
        <v>16.353503760425451</v>
      </c>
    </row>
    <row r="59" spans="1:46" x14ac:dyDescent="0.3">
      <c r="A59" s="17">
        <v>45510</v>
      </c>
      <c r="B59" s="18" t="s">
        <v>19</v>
      </c>
      <c r="C59" s="19">
        <v>8.7375000000000007</v>
      </c>
      <c r="D59" s="19">
        <v>39.428571428571431</v>
      </c>
      <c r="E59" s="19">
        <v>26.13</v>
      </c>
      <c r="F59" s="19">
        <v>54.67</v>
      </c>
      <c r="G59" s="19">
        <v>3.95</v>
      </c>
      <c r="H59" s="19">
        <v>3.745714285714286</v>
      </c>
      <c r="I59" s="19">
        <v>154.71428571428569</v>
      </c>
      <c r="J59" s="19">
        <v>7.0914079506182448</v>
      </c>
      <c r="K59" s="19">
        <v>4.2227210638990011E-3</v>
      </c>
      <c r="L59" s="19">
        <v>2.9945037725776509E-2</v>
      </c>
      <c r="M59" s="19">
        <v>13.31784468817871</v>
      </c>
      <c r="N59" s="19">
        <v>0.40660471284987998</v>
      </c>
      <c r="O59" s="19">
        <v>5225</v>
      </c>
      <c r="P59" s="19">
        <v>120.27934331458739</v>
      </c>
      <c r="Q59" s="19">
        <v>13855</v>
      </c>
      <c r="R59" s="19">
        <v>13.32275663157985</v>
      </c>
      <c r="S59" s="20">
        <f>SUM(AM59:AN59)/2 + (AQ59/$X$1)</f>
        <v>15.864384468387216</v>
      </c>
      <c r="T59" s="20">
        <f>VLOOKUP(AP59,ggg,3,0)</f>
        <v>20.2</v>
      </c>
      <c r="U59" s="20">
        <f t="shared" si="0"/>
        <v>22.546539780208505</v>
      </c>
      <c r="V59" s="20">
        <f>VLOOKUP(AP59,ggg,12,0)</f>
        <v>8.68</v>
      </c>
      <c r="W59" s="20">
        <f>VLOOKUP(AP59,ggg,20,0)</f>
        <v>28.85</v>
      </c>
      <c r="X59" s="20">
        <f>VLOOKUP(AP59,ggg,32,0)</f>
        <v>3.61</v>
      </c>
      <c r="Y59" s="20">
        <f>VLOOKUP(AP59,ggg,28,0)</f>
        <v>3.95</v>
      </c>
      <c r="Z59" s="33"/>
      <c r="AA59" s="33"/>
      <c r="AC59">
        <f>C$3*(C$1-C59)/C$2</f>
        <v>-0.11750000000000008</v>
      </c>
      <c r="AD59">
        <f>D$3*(D$1-D59)/D$2</f>
        <v>0</v>
      </c>
      <c r="AE59">
        <f>E$3*(E$1-E59)/E$2</f>
        <v>6.6666666666668206E-2</v>
      </c>
      <c r="AF59">
        <f>F$3*(F$1-F59)/F$2</f>
        <v>0.68965517241379071</v>
      </c>
      <c r="AG59">
        <f>G$3*(G$1-G59)/G$2</f>
        <v>-0.42000000000000037</v>
      </c>
      <c r="AH59">
        <f>H$3*(H$1-H59)/H$2</f>
        <v>1.7285714285714304</v>
      </c>
      <c r="AI59">
        <f>I$3*(I$1-I59)/I$2</f>
        <v>0</v>
      </c>
      <c r="AJ59">
        <f>(Q59-$M$1)/$M$2</f>
        <v>-0.33321000000000006</v>
      </c>
      <c r="AK59">
        <f>(J59-$Q$1)/$Q$2</f>
        <v>4.2771840987635112</v>
      </c>
      <c r="AM59" s="3">
        <f>SUM(AC59:AK59)+M59+$T$1</f>
        <v>16.209212054594111</v>
      </c>
      <c r="AN59" s="3">
        <f>SUM(AC59:AK59)+M59+$T$1-AF59-AI59</f>
        <v>15.519556882180321</v>
      </c>
      <c r="AP59" t="str">
        <f>A59&amp;B59</f>
        <v>45510A</v>
      </c>
      <c r="AQ59">
        <f>VLOOKUP(AP59,kut,4,0)</f>
        <v>0</v>
      </c>
      <c r="AS59" s="3">
        <f t="shared" si="1"/>
        <v>22.891367366415402</v>
      </c>
      <c r="AT59" s="3">
        <f t="shared" si="2"/>
        <v>22.201712194001612</v>
      </c>
    </row>
    <row r="60" spans="1:46" x14ac:dyDescent="0.3">
      <c r="A60" s="17">
        <v>45510</v>
      </c>
      <c r="B60" s="18" t="s">
        <v>20</v>
      </c>
      <c r="C60" s="19">
        <v>8.5760000000000005</v>
      </c>
      <c r="D60" s="19">
        <v>37</v>
      </c>
      <c r="E60" s="19">
        <v>28.704999999999998</v>
      </c>
      <c r="F60" s="19">
        <v>54.27</v>
      </c>
      <c r="G60" s="19">
        <v>3.95</v>
      </c>
      <c r="H60" s="19">
        <v>3.6166666666666671</v>
      </c>
      <c r="I60" s="19">
        <v>140.33333333333329</v>
      </c>
      <c r="J60" s="19">
        <v>9.0117946352047049</v>
      </c>
      <c r="K60" s="19">
        <v>1.8412403702577271E-3</v>
      </c>
      <c r="L60" s="19">
        <v>1.6592880090810912E-2</v>
      </c>
      <c r="M60" s="19">
        <v>13.31681505311942</v>
      </c>
      <c r="N60" s="19">
        <v>2.59961343758899E-3</v>
      </c>
      <c r="O60" s="19">
        <v>5225</v>
      </c>
      <c r="P60" s="19">
        <v>120.2700437377312</v>
      </c>
      <c r="Q60" s="19">
        <v>5088.1984000000002</v>
      </c>
      <c r="R60" s="19">
        <v>13.316815213535721</v>
      </c>
      <c r="S60" s="20">
        <f>SUM(AM60:AN60)/2 + (AQ60/$X$1)</f>
        <v>8.512787421790474</v>
      </c>
      <c r="T60" s="20">
        <f>VLOOKUP(AP60,ggg,3,0)</f>
        <v>12.73</v>
      </c>
      <c r="U60" s="20">
        <f t="shared" si="0"/>
        <v>15.195972368671054</v>
      </c>
      <c r="V60" s="20">
        <f>VLOOKUP(AP60,ggg,12,0)</f>
        <v>8.86</v>
      </c>
      <c r="W60" s="20">
        <f>VLOOKUP(AP60,ggg,20,0)</f>
        <v>27.35</v>
      </c>
      <c r="X60" s="20">
        <f>VLOOKUP(AP60,ggg,32,0)</f>
        <v>3.83</v>
      </c>
      <c r="Y60" s="20">
        <f>VLOOKUP(AP60,ggg,28,0)</f>
        <v>4.05</v>
      </c>
      <c r="Z60" s="33"/>
      <c r="AA60" s="33"/>
      <c r="AC60">
        <f>C$3*(C$1-C60)/C$2</f>
        <v>-8.520000000000004E-2</v>
      </c>
      <c r="AD60">
        <f>D$3*(D$1-D60)/D$2</f>
        <v>0</v>
      </c>
      <c r="AE60">
        <f>E$3*(E$1-E60)/E$2</f>
        <v>-2.0791666666666648</v>
      </c>
      <c r="AF60">
        <f>F$3*(F$1-F60)/F$2</f>
        <v>1.3793103448275814</v>
      </c>
      <c r="AG60">
        <f>G$3*(G$1-G60)/G$2</f>
        <v>-0.42000000000000037</v>
      </c>
      <c r="AH60">
        <f>H$3*(H$1-H60)/H$2</f>
        <v>1.0833333333333361</v>
      </c>
      <c r="AI60">
        <f>I$3*(I$1-I60)/I$2</f>
        <v>0</v>
      </c>
      <c r="AJ60">
        <f>(Q60-$M$1)/$M$2</f>
        <v>-1.4290601999999999</v>
      </c>
      <c r="AK60">
        <f>(J60-$Q$1)/$Q$2</f>
        <v>0.43641072959059102</v>
      </c>
      <c r="AM60" s="3">
        <f>SUM(AC60:AK60)+M60+$T$1</f>
        <v>9.202442594204264</v>
      </c>
      <c r="AN60" s="3">
        <f>SUM(AC60:AK60)+M60+$T$1-AF60-AI60</f>
        <v>7.8231322493766822</v>
      </c>
      <c r="AP60" t="str">
        <f>A60&amp;B60</f>
        <v>45510B</v>
      </c>
      <c r="AQ60">
        <f>VLOOKUP(AP60,kut,4,0)</f>
        <v>0</v>
      </c>
      <c r="AS60" s="3">
        <f t="shared" si="1"/>
        <v>15.885627541084844</v>
      </c>
      <c r="AT60" s="3">
        <f t="shared" si="2"/>
        <v>14.506317196257262</v>
      </c>
    </row>
    <row r="61" spans="1:46" x14ac:dyDescent="0.3">
      <c r="A61" s="17">
        <v>45510</v>
      </c>
      <c r="B61" s="18" t="s">
        <v>18</v>
      </c>
      <c r="C61" s="19">
        <v>8.8574999999999999</v>
      </c>
      <c r="D61" s="19">
        <v>39.75</v>
      </c>
      <c r="E61" s="19">
        <v>27.037500000000001</v>
      </c>
      <c r="F61" s="19">
        <v>54.27</v>
      </c>
      <c r="G61" s="19">
        <v>4.3166666666666664</v>
      </c>
      <c r="H61" s="19">
        <v>3.8250000000000002</v>
      </c>
      <c r="I61" s="19">
        <v>151.25</v>
      </c>
      <c r="J61" s="19">
        <v>9.2382287184103475</v>
      </c>
      <c r="K61" s="19">
        <v>7.7522738008505947E-3</v>
      </c>
      <c r="L61" s="19">
        <v>7.1617278459998102E-2</v>
      </c>
      <c r="M61" s="19">
        <v>13.316815039769491</v>
      </c>
      <c r="N61" s="19">
        <v>2.5993473378201392E-3</v>
      </c>
      <c r="O61" s="19">
        <v>5225</v>
      </c>
      <c r="P61" s="19">
        <v>120.2700438361862</v>
      </c>
      <c r="Q61" s="19">
        <v>30931.7808</v>
      </c>
      <c r="R61" s="19">
        <v>13.316815089700819</v>
      </c>
      <c r="S61" s="20">
        <f>SUM(AM61:AN61)/2 + (AQ61/$X$1)</f>
        <v>12.565317042029257</v>
      </c>
      <c r="T61" s="20">
        <f>VLOOKUP(AP61,ggg,3,0)</f>
        <v>9.4700000000000006</v>
      </c>
      <c r="U61" s="20">
        <f t="shared" si="0"/>
        <v>19.248502002259766</v>
      </c>
      <c r="V61" s="20">
        <f>VLOOKUP(AP61,ggg,12,0)</f>
        <v>8.8000000000000007</v>
      </c>
      <c r="W61" s="20">
        <f>VLOOKUP(AP61,ggg,20,0)</f>
        <v>26.62</v>
      </c>
      <c r="X61" s="20">
        <f>VLOOKUP(AP61,ggg,32,0)</f>
        <v>3.68</v>
      </c>
      <c r="Y61" s="20">
        <f>VLOOKUP(AP61,ggg,28,0)</f>
        <v>4.32</v>
      </c>
      <c r="Z61" s="33"/>
      <c r="AA61" s="33"/>
      <c r="AC61">
        <f>C$3*(C$1-C61)/C$2</f>
        <v>-0.14149999999999993</v>
      </c>
      <c r="AD61">
        <f>D$3*(D$1-D61)/D$2</f>
        <v>0</v>
      </c>
      <c r="AE61">
        <f>E$3*(E$1-E61)/E$2</f>
        <v>-0.68958333333333388</v>
      </c>
      <c r="AF61">
        <f>F$3*(F$1-F61)/F$2</f>
        <v>1.3793103448275814</v>
      </c>
      <c r="AG61">
        <f>G$3*(G$1-G61)/G$2</f>
        <v>-1.5199999999999991</v>
      </c>
      <c r="AH61">
        <f>H$3*(H$1-H61)/H$2</f>
        <v>2.1250000000000013</v>
      </c>
      <c r="AI61">
        <f>I$3*(I$1-I61)/I$2</f>
        <v>0</v>
      </c>
      <c r="AJ61">
        <f>(Q61-$M$1)/$M$2</f>
        <v>1.8013876</v>
      </c>
      <c r="AK61">
        <f>(J61-$Q$1)/$Q$2</f>
        <v>-1.6457436820694227E-2</v>
      </c>
      <c r="AM61" s="3">
        <f>SUM(AC61:AK61)+M61+$T$1</f>
        <v>13.254972214443047</v>
      </c>
      <c r="AN61" s="3">
        <f>SUM(AC61:AK61)+M61+$T$1-AF61-AI61</f>
        <v>11.875661869615465</v>
      </c>
      <c r="AP61" t="str">
        <f>A61&amp;B61</f>
        <v>45510C</v>
      </c>
      <c r="AQ61">
        <f>VLOOKUP(AP61,kut,4,0)</f>
        <v>0</v>
      </c>
      <c r="AS61" s="3">
        <f t="shared" si="1"/>
        <v>19.938157174673556</v>
      </c>
      <c r="AT61" s="3">
        <f t="shared" si="2"/>
        <v>18.558846829845976</v>
      </c>
    </row>
    <row r="62" spans="1:46" x14ac:dyDescent="0.3">
      <c r="A62" s="17">
        <v>45511</v>
      </c>
      <c r="B62" s="18" t="s">
        <v>19</v>
      </c>
      <c r="C62" s="19">
        <v>8.8333333333333339</v>
      </c>
      <c r="D62" s="19">
        <v>38.799999999999997</v>
      </c>
      <c r="E62" s="19">
        <v>26.896000000000001</v>
      </c>
      <c r="F62" s="19">
        <v>54.27</v>
      </c>
      <c r="G62" s="19">
        <v>4.32</v>
      </c>
      <c r="H62" s="19">
        <v>3.6840000000000002</v>
      </c>
      <c r="I62" s="19">
        <v>151.19999999999999</v>
      </c>
      <c r="J62" s="19">
        <v>8.1932973328387906</v>
      </c>
      <c r="K62" s="19">
        <v>6.5188787024355781E-3</v>
      </c>
      <c r="L62" s="19">
        <v>5.3411111485765023E-2</v>
      </c>
      <c r="M62" s="19">
        <v>13.316815061746301</v>
      </c>
      <c r="N62" s="19">
        <v>2.5992682898003808E-3</v>
      </c>
      <c r="O62" s="19">
        <v>5225</v>
      </c>
      <c r="P62" s="19">
        <v>120.2700438025669</v>
      </c>
      <c r="Q62" s="19">
        <v>19008.16</v>
      </c>
      <c r="R62" s="19">
        <v>13.31681509738803</v>
      </c>
      <c r="S62" s="20">
        <f>SUM(AM62:AN62)/2 + (AQ62/$X$1)</f>
        <v>12.572477235149179</v>
      </c>
      <c r="T62" s="20">
        <f>VLOOKUP(AP62,ggg,3,0)</f>
        <v>17.46</v>
      </c>
      <c r="U62" s="20">
        <f t="shared" si="0"/>
        <v>19.255662173402879</v>
      </c>
      <c r="V62" s="20">
        <f>VLOOKUP(AP62,ggg,12,0)</f>
        <v>8.4499999999999993</v>
      </c>
      <c r="W62" s="20">
        <f>VLOOKUP(AP62,ggg,20,0)</f>
        <v>27.15</v>
      </c>
      <c r="X62" s="20">
        <f>VLOOKUP(AP62,ggg,32,0)</f>
        <v>3.6</v>
      </c>
      <c r="Y62" s="20">
        <f>VLOOKUP(AP62,ggg,28,0)</f>
        <v>3.91</v>
      </c>
      <c r="Z62" s="33"/>
      <c r="AA62" s="33"/>
      <c r="AC62">
        <f>C$3*(C$1-C62)/C$2</f>
        <v>-0.13666666666666671</v>
      </c>
      <c r="AD62">
        <f>D$3*(D$1-D62)/D$2</f>
        <v>0</v>
      </c>
      <c r="AE62">
        <f>E$3*(E$1-E62)/E$2</f>
        <v>-0.57166666666666666</v>
      </c>
      <c r="AF62">
        <f>F$3*(F$1-F62)/F$2</f>
        <v>1.3793103448275814</v>
      </c>
      <c r="AG62">
        <f>G$3*(G$1-G62)/G$2</f>
        <v>-1.5300000000000005</v>
      </c>
      <c r="AH62">
        <f>H$3*(H$1-H62)/H$2</f>
        <v>1.4200000000000013</v>
      </c>
      <c r="AI62">
        <f>I$3*(I$1-I62)/I$2</f>
        <v>0</v>
      </c>
      <c r="AJ62">
        <f>(Q62-$M$1)/$M$2</f>
        <v>0.31093499999999996</v>
      </c>
      <c r="AK62">
        <f>(J62-$Q$1)/$Q$2</f>
        <v>2.0734053343224197</v>
      </c>
      <c r="AM62" s="3">
        <f>SUM(AC62:AK62)+M62+$T$1</f>
        <v>13.262132407562969</v>
      </c>
      <c r="AN62" s="3">
        <f>SUM(AC62:AK62)+M62+$T$1-AF62-AI62</f>
        <v>11.882822062735388</v>
      </c>
      <c r="AP62" t="str">
        <f>A62&amp;B62</f>
        <v>45511A</v>
      </c>
      <c r="AQ62">
        <f>VLOOKUP(AP62,kut,4,0)</f>
        <v>0</v>
      </c>
      <c r="AS62" s="3">
        <f t="shared" si="1"/>
        <v>19.945317345816669</v>
      </c>
      <c r="AT62" s="3">
        <f t="shared" si="2"/>
        <v>18.566007000989089</v>
      </c>
    </row>
    <row r="63" spans="1:46" x14ac:dyDescent="0.3">
      <c r="A63" s="17">
        <v>45511</v>
      </c>
      <c r="B63" s="18" t="s">
        <v>20</v>
      </c>
      <c r="C63" s="19">
        <v>8.6</v>
      </c>
      <c r="D63" s="19">
        <v>37.714285714285722</v>
      </c>
      <c r="E63" s="19">
        <v>27.065714285714289</v>
      </c>
      <c r="F63" s="19">
        <v>56.86</v>
      </c>
      <c r="G63" s="19">
        <v>3.91</v>
      </c>
      <c r="H63" s="19">
        <v>3.6342857142857139</v>
      </c>
      <c r="I63" s="19">
        <v>144.71428571428569</v>
      </c>
      <c r="J63" s="19">
        <v>10.378743517967431</v>
      </c>
      <c r="K63" s="19">
        <v>4.0879483836593388E-3</v>
      </c>
      <c r="L63" s="19">
        <v>4.2427767788689792E-2</v>
      </c>
      <c r="M63" s="19">
        <v>13.33970554528616</v>
      </c>
      <c r="N63" s="19">
        <v>8.9834112772845209</v>
      </c>
      <c r="O63" s="19">
        <v>5225</v>
      </c>
      <c r="P63" s="19">
        <v>120.4767649965158</v>
      </c>
      <c r="Q63" s="19">
        <v>13812.5352</v>
      </c>
      <c r="R63" s="19">
        <v>13.32826939998183</v>
      </c>
      <c r="S63" s="20">
        <f>SUM(AM63:AN63)/2 + (AQ63/$X$1)</f>
        <v>6.2289302944087677</v>
      </c>
      <c r="T63" s="20">
        <f>VLOOKUP(AP63,ggg,3,0)</f>
        <v>14.25</v>
      </c>
      <c r="U63" s="20">
        <f t="shared" si="0"/>
        <v>12.889224749122608</v>
      </c>
      <c r="V63" s="20">
        <f>VLOOKUP(AP63,ggg,12,0)</f>
        <v>8.91</v>
      </c>
      <c r="W63" s="20">
        <f>VLOOKUP(AP63,ggg,20,0)</f>
        <v>28.63</v>
      </c>
      <c r="X63" s="20">
        <f>VLOOKUP(AP63,ggg,32,0)</f>
        <v>3.71</v>
      </c>
      <c r="Y63" s="20">
        <f>VLOOKUP(AP63,ggg,28,0)</f>
        <v>4.1500000000000004</v>
      </c>
      <c r="Z63" s="33"/>
      <c r="AA63" s="33"/>
      <c r="AC63">
        <f>C$3*(C$1-C63)/C$2</f>
        <v>-8.9999999999999858E-2</v>
      </c>
      <c r="AD63">
        <f>D$3*(D$1-D63)/D$2</f>
        <v>0</v>
      </c>
      <c r="AE63">
        <f>E$3*(E$1-E63)/E$2</f>
        <v>-0.71309523809524045</v>
      </c>
      <c r="AF63">
        <f>F$3*(F$1-F63)/F$2</f>
        <v>-3.0862068965517229</v>
      </c>
      <c r="AG63">
        <f>G$3*(G$1-G63)/G$2</f>
        <v>-0.30000000000000027</v>
      </c>
      <c r="AH63">
        <f>H$3*(H$1-H63)/H$2</f>
        <v>1.1714285714285699</v>
      </c>
      <c r="AI63">
        <f>I$3*(I$1-I63)/I$2</f>
        <v>0</v>
      </c>
      <c r="AJ63">
        <f>(Q63-$M$1)/$M$2</f>
        <v>-0.33851809999999999</v>
      </c>
      <c r="AK63">
        <f>(J63-$Q$1)/$Q$2</f>
        <v>-2.2974870359348607</v>
      </c>
      <c r="AM63" s="3">
        <f>SUM(AC63:AK63)+M63+$T$1</f>
        <v>4.6858268461329056</v>
      </c>
      <c r="AN63" s="3">
        <f>SUM(AC63:AK63)+M63+$T$1-AF63-AI63</f>
        <v>7.7720337426846289</v>
      </c>
      <c r="AP63" t="str">
        <f>A63&amp;B63</f>
        <v>45511B</v>
      </c>
      <c r="AQ63">
        <f>VLOOKUP(AP63,kut,4,0)</f>
        <v>0</v>
      </c>
      <c r="AS63" s="3">
        <f t="shared" si="1"/>
        <v>11.346121300846747</v>
      </c>
      <c r="AT63" s="3">
        <f t="shared" si="2"/>
        <v>14.432328197398469</v>
      </c>
    </row>
    <row r="64" spans="1:46" x14ac:dyDescent="0.3">
      <c r="A64" s="17">
        <v>45511</v>
      </c>
      <c r="B64" s="18" t="s">
        <v>18</v>
      </c>
      <c r="C64" s="19">
        <v>8.7733333333333334</v>
      </c>
      <c r="D64" s="19">
        <v>38.333333333333343</v>
      </c>
      <c r="E64" s="19">
        <v>28.111111111111111</v>
      </c>
      <c r="F64" s="19">
        <v>56.86</v>
      </c>
      <c r="G64" s="19">
        <v>4.1500000000000004</v>
      </c>
      <c r="H64" s="19">
        <v>3.686666666666667</v>
      </c>
      <c r="I64" s="19">
        <v>146.66666666666671</v>
      </c>
      <c r="J64" s="19">
        <v>12.07496872687677</v>
      </c>
      <c r="K64" s="19">
        <v>4.9906076272276086E-3</v>
      </c>
      <c r="L64" s="19">
        <v>6.0261431026886081E-2</v>
      </c>
      <c r="M64" s="19">
        <v>13.339705707274501</v>
      </c>
      <c r="N64" s="19">
        <v>8.9834011731201908</v>
      </c>
      <c r="O64" s="19">
        <v>5225</v>
      </c>
      <c r="P64" s="19">
        <v>120.4767643273847</v>
      </c>
      <c r="Q64" s="19">
        <v>15566.64</v>
      </c>
      <c r="R64" s="19">
        <v>13.32399871943222</v>
      </c>
      <c r="S64" s="20">
        <f>SUM(AM64:AN64)/2 + (AQ64/$X$1)</f>
        <v>1.6918172126525095</v>
      </c>
      <c r="T64" s="20">
        <f>VLOOKUP(AP64,ggg,3,0)</f>
        <v>7.61</v>
      </c>
      <c r="U64" s="20">
        <f t="shared" si="0"/>
        <v>8.3521115053780086</v>
      </c>
      <c r="V64" s="20">
        <f>VLOOKUP(AP64,ggg,12,0)</f>
        <v>8.8800000000000008</v>
      </c>
      <c r="W64" s="20">
        <f>VLOOKUP(AP64,ggg,20,0)</f>
        <v>28.04</v>
      </c>
      <c r="X64" s="20">
        <f>VLOOKUP(AP64,ggg,32,0)</f>
        <v>3.63</v>
      </c>
      <c r="Y64" s="20">
        <f>VLOOKUP(AP64,ggg,28,0)</f>
        <v>4.1500000000000004</v>
      </c>
      <c r="Z64" s="33"/>
      <c r="AA64" s="33"/>
      <c r="AC64">
        <f>C$3*(C$1-C64)/C$2</f>
        <v>-0.12466666666666662</v>
      </c>
      <c r="AD64">
        <f>D$3*(D$1-D64)/D$2</f>
        <v>0</v>
      </c>
      <c r="AE64">
        <f>E$3*(E$1-E64)/E$2</f>
        <v>-1.5842592592592584</v>
      </c>
      <c r="AF64">
        <f>F$3*(F$1-F64)/F$2</f>
        <v>-3.0862068965517229</v>
      </c>
      <c r="AG64">
        <f>G$3*(G$1-G64)/G$2</f>
        <v>-1.0200000000000009</v>
      </c>
      <c r="AH64">
        <f>H$3*(H$1-H64)/H$2</f>
        <v>1.4333333333333353</v>
      </c>
      <c r="AI64">
        <f>I$3*(I$1-I64)/I$2</f>
        <v>0</v>
      </c>
      <c r="AJ64">
        <f>(Q64-$M$1)/$M$2</f>
        <v>-0.11925500000000011</v>
      </c>
      <c r="AK64">
        <f>(J64-$Q$1)/$Q$2</f>
        <v>-5.6899374537535401</v>
      </c>
      <c r="AM64" s="3">
        <f>SUM(AC64:AK64)+M64+$T$1</f>
        <v>0.14871376437664807</v>
      </c>
      <c r="AN64" s="3">
        <f>SUM(AC64:AK64)+M64+$T$1-AF64-AI64</f>
        <v>3.2349206609283709</v>
      </c>
      <c r="AP64" t="str">
        <f>A64&amp;B64</f>
        <v>45511C</v>
      </c>
      <c r="AQ64">
        <f>VLOOKUP(AP64,kut,4,0)</f>
        <v>0</v>
      </c>
      <c r="AS64" s="3">
        <f t="shared" si="1"/>
        <v>6.8090080571021474</v>
      </c>
      <c r="AT64" s="3">
        <f t="shared" si="2"/>
        <v>9.8952149536538698</v>
      </c>
    </row>
    <row r="65" spans="1:46" x14ac:dyDescent="0.3">
      <c r="A65" s="17">
        <v>45512</v>
      </c>
      <c r="B65" s="18" t="s">
        <v>19</v>
      </c>
      <c r="C65" s="19">
        <v>8.875</v>
      </c>
      <c r="D65" s="19">
        <v>38.75</v>
      </c>
      <c r="E65" s="19">
        <v>28.0425</v>
      </c>
      <c r="F65" s="19">
        <v>56.86</v>
      </c>
      <c r="G65" s="19">
        <v>4.1500000000000004</v>
      </c>
      <c r="H65" s="19">
        <v>3.63</v>
      </c>
      <c r="I65" s="19">
        <v>147.25</v>
      </c>
      <c r="J65" s="19">
        <v>8.5452211426799529</v>
      </c>
      <c r="K65" s="19">
        <v>1.371196993949355E-2</v>
      </c>
      <c r="L65" s="19">
        <v>0.11717181543475221</v>
      </c>
      <c r="M65" s="19">
        <v>13.316817818360329</v>
      </c>
      <c r="N65" s="19">
        <v>2.6027966877611099E-3</v>
      </c>
      <c r="O65" s="19">
        <v>5225</v>
      </c>
      <c r="P65" s="19">
        <v>120.2700390932869</v>
      </c>
      <c r="Q65" s="19">
        <v>38543.199999999997</v>
      </c>
      <c r="R65" s="19">
        <v>13.316815081059969</v>
      </c>
      <c r="S65" s="20">
        <f>SUM(AM65:AN65)/2 + (AQ65/$X$1)</f>
        <v>11.354003751391229</v>
      </c>
      <c r="T65" s="20">
        <f>VLOOKUP(AP65,ggg,3,0)</f>
        <v>12.55</v>
      </c>
      <c r="U65" s="20">
        <f t="shared" si="0"/>
        <v>18.037185933030898</v>
      </c>
      <c r="V65" s="20">
        <f>VLOOKUP(AP65,ggg,12,0)</f>
        <v>8.44</v>
      </c>
      <c r="W65" s="20">
        <f>VLOOKUP(AP65,ggg,20,0)</f>
        <v>28.09</v>
      </c>
      <c r="X65" s="20">
        <f>VLOOKUP(AP65,ggg,32,0)</f>
        <v>3.44</v>
      </c>
      <c r="Y65" s="20">
        <f>VLOOKUP(AP65,ggg,28,0)</f>
        <v>4.1500000000000004</v>
      </c>
      <c r="Z65" s="33" t="e">
        <f>VLOOKUP(AP65,fff,2,0)</f>
        <v>#N/A</v>
      </c>
      <c r="AA65" s="33" t="e">
        <f>VLOOKUP(AP65,fff,3,0)</f>
        <v>#N/A</v>
      </c>
      <c r="AC65">
        <f>C$3*(C$1-C65)/C$2</f>
        <v>-0.14499999999999993</v>
      </c>
      <c r="AD65">
        <f>D$3*(D$1-D65)/D$2</f>
        <v>0</v>
      </c>
      <c r="AE65">
        <f>E$3*(E$1-E65)/E$2</f>
        <v>-1.5270833333333331</v>
      </c>
      <c r="AF65">
        <f>F$3*(F$1-F65)/F$2</f>
        <v>-3.0862068965517229</v>
      </c>
      <c r="AG65">
        <f>G$3*(G$1-G65)/G$2</f>
        <v>-1.0200000000000009</v>
      </c>
      <c r="AH65">
        <f>H$3*(H$1-H65)/H$2</f>
        <v>1.1499999999999999</v>
      </c>
      <c r="AI65">
        <f>I$3*(I$1-I65)/I$2</f>
        <v>0</v>
      </c>
      <c r="AJ65">
        <f>(Q65-$M$1)/$M$2</f>
        <v>2.7528149999999996</v>
      </c>
      <c r="AK65">
        <f>(J65-$Q$1)/$Q$2</f>
        <v>1.369557714640095</v>
      </c>
      <c r="AM65" s="3">
        <f>SUM(AC65:AK65)+M65+$T$1</f>
        <v>9.8109003031153676</v>
      </c>
      <c r="AN65" s="3">
        <f>SUM(AC65:AK65)+M65+$T$1-AF65-AI65</f>
        <v>12.89710719966709</v>
      </c>
      <c r="AP65" t="str">
        <f>A65&amp;B65</f>
        <v>45512A</v>
      </c>
      <c r="AQ65">
        <f>VLOOKUP(AP65,kut,4,0)</f>
        <v>0</v>
      </c>
      <c r="AS65" s="3">
        <f t="shared" si="1"/>
        <v>16.494082484755037</v>
      </c>
      <c r="AT65" s="3">
        <f t="shared" si="2"/>
        <v>19.580289381306759</v>
      </c>
    </row>
    <row r="66" spans="1:46" x14ac:dyDescent="0.3">
      <c r="A66" s="17">
        <v>45512</v>
      </c>
      <c r="B66" s="18" t="s">
        <v>20</v>
      </c>
      <c r="C66" s="19">
        <v>8.4383333333333344</v>
      </c>
      <c r="D66" s="19">
        <v>37.25</v>
      </c>
      <c r="E66" s="19">
        <v>27.653749999999999</v>
      </c>
      <c r="F66" s="19">
        <v>56.17</v>
      </c>
      <c r="G66" s="19">
        <v>4.1500000000000004</v>
      </c>
      <c r="H66" s="19">
        <v>3.44</v>
      </c>
      <c r="I66" s="19">
        <v>144.5</v>
      </c>
      <c r="J66" s="19">
        <v>9.5713951825377652</v>
      </c>
      <c r="K66" s="19">
        <v>3.6836871614442691E-3</v>
      </c>
      <c r="L66" s="19">
        <v>3.5258025551023892E-2</v>
      </c>
      <c r="M66" s="19">
        <v>13.317457770464561</v>
      </c>
      <c r="N66" s="19">
        <v>0.2490728777978804</v>
      </c>
      <c r="O66" s="19">
        <v>5225</v>
      </c>
      <c r="P66" s="19">
        <v>120.2757171377815</v>
      </c>
      <c r="Q66" s="19">
        <v>12405.36</v>
      </c>
      <c r="R66" s="19">
        <v>13.31681694121295</v>
      </c>
      <c r="S66" s="20">
        <f>SUM(AM66:AN66)/2 + (AQ66/$X$1)</f>
        <v>6.0911848766533989</v>
      </c>
      <c r="T66" s="20">
        <f>VLOOKUP(AP66,ggg,3,0)</f>
        <v>14.57</v>
      </c>
      <c r="U66" s="20">
        <f t="shared" si="0"/>
        <v>12.77372710618884</v>
      </c>
      <c r="V66" s="20">
        <f>VLOOKUP(AP66,ggg,12,0)</f>
        <v>8.24</v>
      </c>
      <c r="W66" s="20">
        <f>VLOOKUP(AP66,ggg,20,0)</f>
        <v>27.04</v>
      </c>
      <c r="X66" s="20">
        <f>VLOOKUP(AP66,ggg,32,0)</f>
        <v>3.3</v>
      </c>
      <c r="Y66" s="20">
        <f>VLOOKUP(AP66,ggg,28,0)</f>
        <v>4.01</v>
      </c>
      <c r="Z66" s="33"/>
      <c r="AA66" s="33"/>
      <c r="AC66">
        <f>C$3*(C$1-C66)/C$2</f>
        <v>-5.7666666666666803E-2</v>
      </c>
      <c r="AD66">
        <f>D$3*(D$1-D66)/D$2</f>
        <v>0</v>
      </c>
      <c r="AE66">
        <f>E$3*(E$1-E66)/E$2</f>
        <v>-1.2031249999999982</v>
      </c>
      <c r="AF66">
        <f>F$3*(F$1-F66)/F$2</f>
        <v>-1.8965517241379335</v>
      </c>
      <c r="AG66">
        <f>G$3*(G$1-G66)/G$2</f>
        <v>-1.0200000000000009</v>
      </c>
      <c r="AH66">
        <f>H$3*(H$1-H66)/H$2</f>
        <v>0.20000000000000018</v>
      </c>
      <c r="AI66">
        <f>I$3*(I$1-I66)/I$2</f>
        <v>0</v>
      </c>
      <c r="AJ66">
        <f>(Q66-$M$1)/$M$2</f>
        <v>-0.51441499999999996</v>
      </c>
      <c r="AK66">
        <f>(J66-$Q$1)/$Q$2</f>
        <v>-0.68279036507552959</v>
      </c>
      <c r="AM66" s="3">
        <f>SUM(AC66:AK66)+M66+$T$1</f>
        <v>5.1429090145844327</v>
      </c>
      <c r="AN66" s="3">
        <f>SUM(AC66:AK66)+M66+$T$1-AF66-AI66</f>
        <v>7.039460738722366</v>
      </c>
      <c r="AP66" t="str">
        <f>A66&amp;B66</f>
        <v>45512B</v>
      </c>
      <c r="AQ66">
        <f>VLOOKUP(AP66,kut,4,0)</f>
        <v>0</v>
      </c>
      <c r="AS66" s="3">
        <f t="shared" si="1"/>
        <v>11.825451244119872</v>
      </c>
      <c r="AT66" s="3">
        <f t="shared" si="2"/>
        <v>13.722002968257806</v>
      </c>
    </row>
    <row r="67" spans="1:46" x14ac:dyDescent="0.3">
      <c r="A67" s="17">
        <v>45512</v>
      </c>
      <c r="B67" s="18" t="s">
        <v>18</v>
      </c>
      <c r="C67" s="19">
        <v>8.2439999999999998</v>
      </c>
      <c r="D67" s="19">
        <v>37.333333333333343</v>
      </c>
      <c r="E67" s="19">
        <v>27.044444444444441</v>
      </c>
      <c r="F67" s="19">
        <v>56.17</v>
      </c>
      <c r="G67" s="19">
        <v>4.01</v>
      </c>
      <c r="H67" s="19">
        <v>3.295555555555556</v>
      </c>
      <c r="I67" s="19">
        <v>147.55555555555549</v>
      </c>
      <c r="J67" s="19">
        <v>8.2261391721817176</v>
      </c>
      <c r="K67" s="19">
        <v>1.175012052793031E-2</v>
      </c>
      <c r="L67" s="19">
        <v>9.6658126752664053E-2</v>
      </c>
      <c r="M67" s="19">
        <v>19.503088963828102</v>
      </c>
      <c r="N67" s="19">
        <v>2.5832409167195259E-3</v>
      </c>
      <c r="O67" s="19">
        <v>5225</v>
      </c>
      <c r="P67" s="19">
        <v>81.260060586454358</v>
      </c>
      <c r="Q67" s="19">
        <v>43085.36</v>
      </c>
      <c r="R67" s="19">
        <v>16.996423239382992</v>
      </c>
      <c r="S67" s="20">
        <f>SUM(AM67:AN67)/2 + (AQ67/$X$1)</f>
        <v>19.046727164803116</v>
      </c>
      <c r="T67" s="20">
        <f>VLOOKUP(AP67,ggg,3,0)</f>
        <v>14.16</v>
      </c>
      <c r="U67" s="20">
        <f t="shared" si="0"/>
        <v>19.54363820097501</v>
      </c>
      <c r="V67" s="20">
        <f>VLOOKUP(AP67,ggg,12,0)</f>
        <v>8</v>
      </c>
      <c r="W67" s="20">
        <f>VLOOKUP(AP67,ggg,20,0)</f>
        <v>25.35</v>
      </c>
      <c r="X67" s="20">
        <f>VLOOKUP(AP67,ggg,32,0)</f>
        <v>3.3</v>
      </c>
      <c r="Y67" s="20">
        <f>VLOOKUP(AP67,ggg,28,0)</f>
        <v>3.67</v>
      </c>
      <c r="Z67" s="33"/>
      <c r="AA67" s="33"/>
      <c r="AC67">
        <f>C$3*(C$1-C67)/C$2</f>
        <v>-1.8799999999999886E-2</v>
      </c>
      <c r="AD67">
        <f>D$3*(D$1-D67)/D$2</f>
        <v>0</v>
      </c>
      <c r="AE67">
        <f>E$3*(E$1-E67)/E$2</f>
        <v>-0.69537037037036664</v>
      </c>
      <c r="AF67">
        <f>F$3*(F$1-F67)/F$2</f>
        <v>-1.8965517241379335</v>
      </c>
      <c r="AG67">
        <f>G$3*(G$1-G67)/G$2</f>
        <v>-0.59999999999999909</v>
      </c>
      <c r="AH67">
        <f>H$3*(H$1-H67)/H$2</f>
        <v>-0.52222222222221948</v>
      </c>
      <c r="AI67">
        <f>I$3*(I$1-I67)/I$2</f>
        <v>0</v>
      </c>
      <c r="AJ67">
        <f>(Q67-$M$1)/$M$2</f>
        <v>3.3205849999999999</v>
      </c>
      <c r="AK67">
        <f>(J67-$Q$1)/$Q$2</f>
        <v>2.0077216556365656</v>
      </c>
      <c r="AM67" s="3">
        <f>SUM(AC67:AK67)+M67+$T$1</f>
        <v>18.098451302734148</v>
      </c>
      <c r="AN67" s="3">
        <f>SUM(AC67:AK67)+M67+$T$1-AF67-AI67</f>
        <v>19.99500302687208</v>
      </c>
      <c r="AP67" t="str">
        <f>A67&amp;B67</f>
        <v>45512C</v>
      </c>
      <c r="AQ67">
        <f>VLOOKUP(AP67,kut,4,0)</f>
        <v>0</v>
      </c>
      <c r="AS67" s="3">
        <f t="shared" si="1"/>
        <v>18.595362338906046</v>
      </c>
      <c r="AT67" s="3">
        <f t="shared" si="2"/>
        <v>20.491914063043978</v>
      </c>
    </row>
    <row r="68" spans="1:46" x14ac:dyDescent="0.3">
      <c r="A68" s="17">
        <v>45516</v>
      </c>
      <c r="B68" s="18" t="s">
        <v>19</v>
      </c>
      <c r="C68" s="19">
        <v>8</v>
      </c>
      <c r="D68" s="19">
        <v>40.5</v>
      </c>
      <c r="E68" s="19">
        <v>25.35</v>
      </c>
      <c r="F68" s="19">
        <v>56.17</v>
      </c>
      <c r="G68" s="19">
        <v>3.67</v>
      </c>
      <c r="H68" s="19">
        <v>3.3</v>
      </c>
      <c r="I68" s="19">
        <v>153</v>
      </c>
      <c r="J68" s="19">
        <v>8.9198732503577229</v>
      </c>
      <c r="K68" s="19">
        <v>1.4056735814804201E-2</v>
      </c>
      <c r="L68" s="19">
        <v>0.12538430178181731</v>
      </c>
      <c r="M68" s="19">
        <v>27.047676585579591</v>
      </c>
      <c r="N68" s="19">
        <v>2.586916395324121E-3</v>
      </c>
      <c r="O68" s="19">
        <v>5225</v>
      </c>
      <c r="P68" s="19">
        <v>81.376955130503504</v>
      </c>
      <c r="Q68" s="19">
        <v>15685.2</v>
      </c>
      <c r="R68" s="19">
        <v>23.674085078926641</v>
      </c>
      <c r="S68" s="20">
        <f>SUM(AM68:AN68)/2 + (AQ68/$X$1)</f>
        <v>24.281885889461847</v>
      </c>
      <c r="T68" s="20">
        <f>VLOOKUP(AP68,ggg,3,0)</f>
        <v>24.44</v>
      </c>
      <c r="U68" s="20">
        <f t="shared" si="0"/>
        <v>17.234209303882253</v>
      </c>
      <c r="V68" s="20">
        <f>VLOOKUP(AP68,ggg,12,0)</f>
        <v>8.1999999999999993</v>
      </c>
      <c r="W68" s="20">
        <f>VLOOKUP(AP68,ggg,20,0)</f>
        <v>27.02</v>
      </c>
      <c r="X68" s="20">
        <f>VLOOKUP(AP68,ggg,32,0)</f>
        <v>3.4</v>
      </c>
      <c r="Y68" s="20">
        <f>VLOOKUP(AP68,ggg,28,0)</f>
        <v>3.72</v>
      </c>
      <c r="Z68" s="33" t="e">
        <f>VLOOKUP(AP68,fff,2,0)</f>
        <v>#N/A</v>
      </c>
      <c r="AA68" s="33" t="e">
        <f>VLOOKUP(AP68,fff,3,0)</f>
        <v>#N/A</v>
      </c>
      <c r="AC68">
        <f>C$3*(C$1-C68)/C$2</f>
        <v>3.0000000000000072E-2</v>
      </c>
      <c r="AD68">
        <f>D$3*(D$1-D68)/D$2</f>
        <v>0</v>
      </c>
      <c r="AE68">
        <f>E$3*(E$1-E68)/E$2</f>
        <v>0.71666666666666623</v>
      </c>
      <c r="AF68">
        <f>F$3*(F$1-F68)/F$2</f>
        <v>-1.8965517241379335</v>
      </c>
      <c r="AG68">
        <f>G$3*(G$1-G68)/G$2</f>
        <v>0.42000000000000037</v>
      </c>
      <c r="AH68">
        <f>H$3*(H$1-H68)/H$2</f>
        <v>-0.50000000000000044</v>
      </c>
      <c r="AI68">
        <f>I$3*(I$1-I68)/I$2</f>
        <v>0</v>
      </c>
      <c r="AJ68">
        <f>(Q68-$M$1)/$M$2</f>
        <v>-0.10443499999999994</v>
      </c>
      <c r="AK68">
        <f>(J68-$Q$1)/$Q$2</f>
        <v>0.62025349928455498</v>
      </c>
      <c r="AM68" s="3">
        <f>SUM(AC68:AK68)+M68+$T$1</f>
        <v>23.333610027392879</v>
      </c>
      <c r="AN68" s="3">
        <f>SUM(AC68:AK68)+M68+$T$1-AF68-AI68</f>
        <v>25.230161751530812</v>
      </c>
      <c r="AP68" t="str">
        <f>A68&amp;B68</f>
        <v>45516A</v>
      </c>
      <c r="AQ68">
        <f>VLOOKUP(AP68,kut,4,0)</f>
        <v>0</v>
      </c>
      <c r="AS68" s="3">
        <f t="shared" si="1"/>
        <v>16.285933441813288</v>
      </c>
      <c r="AT68" s="3">
        <f t="shared" si="2"/>
        <v>18.182485165951221</v>
      </c>
    </row>
    <row r="69" spans="1:46" x14ac:dyDescent="0.3">
      <c r="A69" s="17">
        <v>45516</v>
      </c>
      <c r="B69" s="18" t="s">
        <v>20</v>
      </c>
      <c r="C69" s="19">
        <v>8.1760000000000002</v>
      </c>
      <c r="D69" s="19">
        <v>37.857142857142847</v>
      </c>
      <c r="E69" s="19">
        <v>26.728571428571431</v>
      </c>
      <c r="F69" s="19">
        <v>55.72</v>
      </c>
      <c r="G69" s="19">
        <v>3.72</v>
      </c>
      <c r="H69" s="19">
        <v>3.3885714285714279</v>
      </c>
      <c r="I69" s="19">
        <v>142.71428571428569</v>
      </c>
      <c r="J69" s="19">
        <v>8.7494062523784155</v>
      </c>
      <c r="K69" s="19">
        <v>1.1679002409990329E-3</v>
      </c>
      <c r="L69" s="19">
        <v>1.02184336707512E-2</v>
      </c>
      <c r="M69" s="19">
        <v>14.69199668345853</v>
      </c>
      <c r="N69" s="19">
        <v>0.91000265224697996</v>
      </c>
      <c r="O69" s="19">
        <v>5225</v>
      </c>
      <c r="P69" s="19">
        <v>81.199789546590594</v>
      </c>
      <c r="Q69" s="19">
        <v>3222.24</v>
      </c>
      <c r="R69" s="19">
        <v>14.759234624799481</v>
      </c>
      <c r="S69" s="20">
        <f>SUM(AM69:AN69)/2 + (AQ69/$X$1)</f>
        <v>10.206048636829774</v>
      </c>
      <c r="T69" s="20">
        <f>VLOOKUP(AP69,ggg,3,0)</f>
        <v>21.14</v>
      </c>
      <c r="U69" s="20">
        <f t="shared" si="0"/>
        <v>15.514051953371244</v>
      </c>
      <c r="V69" s="20">
        <f>VLOOKUP(AP69,ggg,12,0)</f>
        <v>8.3000000000000007</v>
      </c>
      <c r="W69" s="20">
        <f>VLOOKUP(AP69,ggg,20,0)</f>
        <v>26.66</v>
      </c>
      <c r="X69" s="20">
        <f>VLOOKUP(AP69,ggg,32,0)</f>
        <v>3.38</v>
      </c>
      <c r="Y69" s="20">
        <f>VLOOKUP(AP69,ggg,28,0)</f>
        <v>3.72</v>
      </c>
      <c r="Z69" s="33"/>
      <c r="AA69" s="33"/>
      <c r="AC69">
        <f>C$3*(C$1-C69)/C$2</f>
        <v>-5.1999999999999607E-3</v>
      </c>
      <c r="AD69">
        <f>D$3*(D$1-D69)/D$2</f>
        <v>0</v>
      </c>
      <c r="AE69">
        <f>E$3*(E$1-E69)/E$2</f>
        <v>-0.43214285714285872</v>
      </c>
      <c r="AF69">
        <f>F$3*(F$1-F69)/F$2</f>
        <v>-1.1206896551724115</v>
      </c>
      <c r="AG69">
        <f>G$3*(G$1-G69)/G$2</f>
        <v>0.26999999999999957</v>
      </c>
      <c r="AH69">
        <f>H$3*(H$1-H69)/H$2</f>
        <v>-5.7142857142860048E-2</v>
      </c>
      <c r="AI69">
        <f>I$3*(I$1-I69)/I$2</f>
        <v>0</v>
      </c>
      <c r="AJ69">
        <f>(Q69-$M$1)/$M$2</f>
        <v>-1.6623050000000001</v>
      </c>
      <c r="AK69">
        <f>(J69-$Q$1)/$Q$2</f>
        <v>0.96118749524316982</v>
      </c>
      <c r="AM69" s="3">
        <f>SUM(AC69:AK69)+M69+$T$1</f>
        <v>9.6457038092435692</v>
      </c>
      <c r="AN69" s="3">
        <f>SUM(AC69:AK69)+M69+$T$1-AF69-AI69</f>
        <v>10.76639346441598</v>
      </c>
      <c r="AP69" t="str">
        <f>A69&amp;B69</f>
        <v>45516B</v>
      </c>
      <c r="AQ69">
        <f>VLOOKUP(AP69,kut,4,0)</f>
        <v>0</v>
      </c>
      <c r="AS69" s="3">
        <f t="shared" si="1"/>
        <v>14.953707125785037</v>
      </c>
      <c r="AT69" s="3">
        <f t="shared" si="2"/>
        <v>16.07439678095745</v>
      </c>
    </row>
    <row r="70" spans="1:46" x14ac:dyDescent="0.3">
      <c r="A70" s="17">
        <v>45516</v>
      </c>
      <c r="B70" s="18" t="s">
        <v>18</v>
      </c>
      <c r="C70" s="19">
        <v>8.3000000000000007</v>
      </c>
      <c r="D70" s="19">
        <v>38.444444444444443</v>
      </c>
      <c r="E70" s="19">
        <v>26.855555555555551</v>
      </c>
      <c r="F70" s="19">
        <v>55.72</v>
      </c>
      <c r="G70" s="19">
        <v>3.72</v>
      </c>
      <c r="H70" s="19">
        <v>3.3755555555555561</v>
      </c>
      <c r="I70" s="19">
        <v>151.7777777777778</v>
      </c>
      <c r="J70" s="19">
        <v>9.2840868557896474</v>
      </c>
      <c r="K70" s="19">
        <v>7.5136455633355729E-3</v>
      </c>
      <c r="L70" s="19">
        <v>6.9757338013625991E-2</v>
      </c>
      <c r="M70" s="19">
        <v>17.32053745191137</v>
      </c>
      <c r="N70" s="19">
        <v>2.582269916571101E-3</v>
      </c>
      <c r="O70" s="19">
        <v>5225</v>
      </c>
      <c r="P70" s="19">
        <v>81.226242173846657</v>
      </c>
      <c r="Q70" s="19">
        <v>29928.2</v>
      </c>
      <c r="R70" s="19">
        <v>15.279771447988891</v>
      </c>
      <c r="S70" s="20">
        <f>SUM(AM70:AN70)/2 + (AQ70/$X$1)</f>
        <v>14.907773727560695</v>
      </c>
      <c r="T70" s="20">
        <f>VLOOKUP(AP70,ggg,3,0)</f>
        <v>14.86</v>
      </c>
      <c r="U70" s="20">
        <f t="shared" si="0"/>
        <v>17.587236275649325</v>
      </c>
      <c r="V70" s="20">
        <f>VLOOKUP(AP70,ggg,12,0)</f>
        <v>8.1999999999999993</v>
      </c>
      <c r="W70" s="20">
        <f>VLOOKUP(AP70,ggg,20,0)</f>
        <v>25.57</v>
      </c>
      <c r="X70" s="20">
        <f>VLOOKUP(AP70,ggg,32,0)</f>
        <v>3.34</v>
      </c>
      <c r="Y70" s="20">
        <f>VLOOKUP(AP70,ggg,28,0)</f>
        <v>3.72</v>
      </c>
      <c r="Z70" s="33"/>
      <c r="AA70" s="33"/>
      <c r="AC70">
        <f>C$3*(C$1-C70)/C$2</f>
        <v>-3.0000000000000072E-2</v>
      </c>
      <c r="AD70">
        <f>D$3*(D$1-D70)/D$2</f>
        <v>0</v>
      </c>
      <c r="AE70">
        <f>E$3*(E$1-E70)/E$2</f>
        <v>-0.53796296296295831</v>
      </c>
      <c r="AF70">
        <f>F$3*(F$1-F70)/F$2</f>
        <v>-1.1206896551724115</v>
      </c>
      <c r="AG70">
        <f>G$3*(G$1-G70)/G$2</f>
        <v>0.26999999999999957</v>
      </c>
      <c r="AH70">
        <f>H$3*(H$1-H70)/H$2</f>
        <v>-0.12222222222221914</v>
      </c>
      <c r="AI70">
        <f>I$3*(I$1-I70)/I$2</f>
        <v>0</v>
      </c>
      <c r="AJ70">
        <f>(Q70-$M$1)/$M$2</f>
        <v>1.67594</v>
      </c>
      <c r="AK70">
        <f>(J70-$Q$1)/$Q$2</f>
        <v>-0.10817371157929401</v>
      </c>
      <c r="AM70" s="3">
        <f>SUM(AC70:AK70)+M70+$T$1</f>
        <v>14.347428899974489</v>
      </c>
      <c r="AN70" s="3">
        <f>SUM(AC70:AK70)+M70+$T$1-AF70-AI70</f>
        <v>15.4681185551469</v>
      </c>
      <c r="AP70" t="str">
        <f>A70&amp;B70</f>
        <v>45516C</v>
      </c>
      <c r="AQ70">
        <f>VLOOKUP(AP70,kut,4,0)</f>
        <v>0</v>
      </c>
      <c r="AS70" s="3">
        <f t="shared" si="1"/>
        <v>17.026891448063118</v>
      </c>
      <c r="AT70" s="3">
        <f t="shared" si="2"/>
        <v>18.147581103235531</v>
      </c>
    </row>
    <row r="71" spans="1:46" x14ac:dyDescent="0.3">
      <c r="A71" s="17">
        <v>45517</v>
      </c>
      <c r="B71" s="18" t="s">
        <v>19</v>
      </c>
      <c r="C71" s="19">
        <v>8.1999999999999993</v>
      </c>
      <c r="D71" s="19">
        <v>39</v>
      </c>
      <c r="E71" s="19">
        <v>25.567499999999999</v>
      </c>
      <c r="F71" s="19">
        <v>55.72</v>
      </c>
      <c r="G71" s="19">
        <v>3.72</v>
      </c>
      <c r="H71" s="19">
        <v>3.335</v>
      </c>
      <c r="I71" s="19">
        <v>150.75</v>
      </c>
      <c r="J71" s="19">
        <v>7.4281058074224422</v>
      </c>
      <c r="K71" s="19">
        <v>7.3037465656852554E-3</v>
      </c>
      <c r="L71" s="19">
        <v>5.4253002280508361E-2</v>
      </c>
      <c r="M71" s="19">
        <v>20.397629065026159</v>
      </c>
      <c r="N71" s="19">
        <v>2.5837840150728609E-3</v>
      </c>
      <c r="O71" s="19">
        <v>5225</v>
      </c>
      <c r="P71" s="19">
        <v>81.273917323444252</v>
      </c>
      <c r="Q71" s="19">
        <v>18603.68</v>
      </c>
      <c r="R71" s="19">
        <v>18.6041193138499</v>
      </c>
      <c r="S71" s="20">
        <f>SUM(AM71:AN71)/2 + (AQ71/$X$1)</f>
        <v>21.171864289261737</v>
      </c>
      <c r="T71" s="20">
        <f>VLOOKUP(AP71,ggg,3,0)</f>
        <v>22.27</v>
      </c>
      <c r="U71" s="20">
        <f t="shared" si="0"/>
        <v>20.774235224235579</v>
      </c>
      <c r="V71" s="20">
        <f>VLOOKUP(AP71,ggg,12,0)</f>
        <v>8.1199999999999992</v>
      </c>
      <c r="W71" s="20">
        <f>VLOOKUP(AP71,ggg,20,0)</f>
        <v>25.1</v>
      </c>
      <c r="X71" s="20">
        <f>VLOOKUP(AP71,ggg,32,0)</f>
        <v>3.37</v>
      </c>
      <c r="Y71" s="20">
        <f>VLOOKUP(AP71,ggg,28,0)</f>
        <v>3.72</v>
      </c>
      <c r="Z71" s="33" t="e">
        <f>VLOOKUP(AP71,fff,2,0)</f>
        <v>#N/A</v>
      </c>
      <c r="AA71" s="33" t="e">
        <f>VLOOKUP(AP71,fff,3,0)</f>
        <v>#N/A</v>
      </c>
      <c r="AC71">
        <f>C$3*(C$1-C71)/C$2</f>
        <v>-9.9999999999997868E-3</v>
      </c>
      <c r="AD71">
        <f>D$3*(D$1-D71)/D$2</f>
        <v>0</v>
      </c>
      <c r="AE71">
        <f>E$3*(E$1-E71)/E$2</f>
        <v>0.53541666666666821</v>
      </c>
      <c r="AF71">
        <f>F$3*(F$1-F71)/F$2</f>
        <v>-1.1206896551724115</v>
      </c>
      <c r="AG71">
        <f>G$3*(G$1-G71)/G$2</f>
        <v>0.26999999999999957</v>
      </c>
      <c r="AH71">
        <f>H$3*(H$1-H71)/H$2</f>
        <v>-0.32499999999999979</v>
      </c>
      <c r="AI71">
        <f>I$3*(I$1-I71)/I$2</f>
        <v>0</v>
      </c>
      <c r="AJ71">
        <f>(Q71-$M$1)/$M$2</f>
        <v>0.26037500000000002</v>
      </c>
      <c r="AK71">
        <f>(J71-$Q$1)/$Q$2</f>
        <v>3.6037883851551165</v>
      </c>
      <c r="AM71" s="3">
        <f>SUM(AC71:AK71)+M71+$T$1</f>
        <v>20.611519461675531</v>
      </c>
      <c r="AN71" s="3">
        <f>SUM(AC71:AK71)+M71+$T$1-AF71-AI71</f>
        <v>21.732209116847944</v>
      </c>
      <c r="AP71" t="str">
        <f>A71&amp;B71</f>
        <v>45517A</v>
      </c>
      <c r="AQ71">
        <f>VLOOKUP(AP71,kut,4,0)</f>
        <v>0</v>
      </c>
      <c r="AS71" s="3">
        <f t="shared" si="1"/>
        <v>20.213890396649372</v>
      </c>
      <c r="AT71" s="3">
        <f t="shared" si="2"/>
        <v>21.334580051821785</v>
      </c>
    </row>
    <row r="72" spans="1:46" x14ac:dyDescent="0.3">
      <c r="A72" s="17">
        <v>45517</v>
      </c>
      <c r="B72" s="18" t="s">
        <v>20</v>
      </c>
      <c r="C72" s="19">
        <v>8.129999999999999</v>
      </c>
      <c r="D72" s="19">
        <v>38.285714285714278</v>
      </c>
      <c r="E72" s="19">
        <v>25.457142857142859</v>
      </c>
      <c r="F72" s="19">
        <v>56.21</v>
      </c>
      <c r="G72" s="19">
        <v>3.72</v>
      </c>
      <c r="H72" s="19">
        <v>3.36</v>
      </c>
      <c r="I72" s="19">
        <v>145.28571428571431</v>
      </c>
      <c r="J72" s="19">
        <v>9.5508588051030703</v>
      </c>
      <c r="K72" s="19">
        <v>3.3653555472503869E-3</v>
      </c>
      <c r="L72" s="19">
        <v>3.2142035660758822E-2</v>
      </c>
      <c r="M72" s="19">
        <v>19.334908772643281</v>
      </c>
      <c r="N72" s="19">
        <v>6.0666064813988969</v>
      </c>
      <c r="O72" s="19">
        <v>5225</v>
      </c>
      <c r="P72" s="19">
        <v>87.913829573805558</v>
      </c>
      <c r="Q72" s="19">
        <v>11430.64</v>
      </c>
      <c r="R72" s="19">
        <v>16.16396909240629</v>
      </c>
      <c r="S72" s="20">
        <f>SUM(AM72:AN72)/2 + (AQ72/$X$1)</f>
        <v>14.775558494128436</v>
      </c>
      <c r="T72" s="20">
        <f>VLOOKUP(AP72,ggg,3,0)</f>
        <v>20.98</v>
      </c>
      <c r="U72" s="20">
        <f t="shared" ref="U72:U106" si="3">AVERAGE(AS72:AT72)+(AQ72/$X$1)</f>
        <v>15.440649721485155</v>
      </c>
      <c r="V72" s="20">
        <f>VLOOKUP(AP72,ggg,12,0)</f>
        <v>8.1999999999999993</v>
      </c>
      <c r="W72" s="20">
        <f>VLOOKUP(AP72,ggg,20,0)</f>
        <v>27.9</v>
      </c>
      <c r="X72" s="20">
        <f>VLOOKUP(AP72,ggg,32,0)</f>
        <v>3.21</v>
      </c>
      <c r="Y72" s="20">
        <f>VLOOKUP(AP72,ggg,28,0)</f>
        <v>3.38</v>
      </c>
      <c r="Z72" s="33"/>
      <c r="AA72" s="33"/>
      <c r="AC72">
        <f>C$3*(C$1-C72)/C$2</f>
        <v>4.0000000000002698E-3</v>
      </c>
      <c r="AD72">
        <f>D$3*(D$1-D72)/D$2</f>
        <v>0</v>
      </c>
      <c r="AE72">
        <f>E$3*(E$1-E72)/E$2</f>
        <v>0.62738095238095148</v>
      </c>
      <c r="AF72">
        <f>F$3*(F$1-F72)/F$2</f>
        <v>-1.9655172413793112</v>
      </c>
      <c r="AG72">
        <f>G$3*(G$1-G72)/G$2</f>
        <v>0.26999999999999957</v>
      </c>
      <c r="AH72">
        <f>H$3*(H$1-H72)/H$2</f>
        <v>-0.20000000000000018</v>
      </c>
      <c r="AI72">
        <f>I$3*(I$1-I72)/I$2</f>
        <v>0</v>
      </c>
      <c r="AJ72">
        <f>(Q72-$M$1)/$M$2</f>
        <v>-0.63625500000000013</v>
      </c>
      <c r="AK72">
        <f>(J72-$Q$1)/$Q$2</f>
        <v>-0.64171761020613971</v>
      </c>
      <c r="AM72" s="3">
        <f>SUM(AC72:AK72)+M72+$T$1</f>
        <v>13.792799873438781</v>
      </c>
      <c r="AN72" s="3">
        <f>SUM(AC72:AK72)+M72+$T$1-AF72-AI72</f>
        <v>15.758317114818093</v>
      </c>
      <c r="AP72" t="str">
        <f>A72&amp;B72</f>
        <v>45517B</v>
      </c>
      <c r="AQ72">
        <f>VLOOKUP(AP72,kut,4,0)</f>
        <v>0</v>
      </c>
      <c r="AS72" s="3">
        <f t="shared" ref="AS72:AS106" si="4">SUM(AC72:AK72)+$AA$1+$T$1</f>
        <v>14.4578911007955</v>
      </c>
      <c r="AT72" s="3">
        <f t="shared" ref="AT72:AT106" si="5">SUM(AC72:AK72)+$AA$1+$T$1-AF72-AI72</f>
        <v>16.42340834217481</v>
      </c>
    </row>
    <row r="73" spans="1:46" x14ac:dyDescent="0.3">
      <c r="A73" s="17">
        <v>45517</v>
      </c>
      <c r="B73" s="18" t="s">
        <v>18</v>
      </c>
      <c r="C73" s="19">
        <v>8.1999999999999993</v>
      </c>
      <c r="D73" s="19">
        <v>38.571428571428569</v>
      </c>
      <c r="E73" s="19">
        <v>27.928571428571431</v>
      </c>
      <c r="F73" s="19">
        <v>56.21</v>
      </c>
      <c r="G73" s="19">
        <v>3.585</v>
      </c>
      <c r="H73" s="19">
        <v>3.1914285714285708</v>
      </c>
      <c r="I73" s="19">
        <v>147.28571428571431</v>
      </c>
      <c r="J73" s="19">
        <v>9.6545944752824386</v>
      </c>
      <c r="K73" s="19">
        <v>9.6268279794244523E-3</v>
      </c>
      <c r="L73" s="19">
        <v>9.2943120224645723E-2</v>
      </c>
      <c r="M73" s="19">
        <v>23.601830053231001</v>
      </c>
      <c r="N73" s="19">
        <v>2.5853194675495889E-3</v>
      </c>
      <c r="O73" s="19">
        <v>5225</v>
      </c>
      <c r="P73" s="19">
        <v>81.323564097704889</v>
      </c>
      <c r="Q73" s="19">
        <v>28464.76</v>
      </c>
      <c r="R73" s="19">
        <v>21.024274181354951</v>
      </c>
      <c r="S73" s="20">
        <f>SUM(AM73:AN73)/2 + (AQ73/$X$1)</f>
        <v>18.452892481976466</v>
      </c>
      <c r="T73" s="20">
        <f>VLOOKUP(AP73,ggg,3,0)</f>
        <v>16.829999999999998</v>
      </c>
      <c r="U73" s="20">
        <f t="shared" si="3"/>
        <v>14.851062428745465</v>
      </c>
      <c r="V73" s="20">
        <f>VLOOKUP(AP73,ggg,12,0)</f>
        <v>8.1</v>
      </c>
      <c r="W73" s="20">
        <f>VLOOKUP(AP73,ggg,20,0)</f>
        <v>25.45</v>
      </c>
      <c r="X73" s="20">
        <f>VLOOKUP(AP73,ggg,32,0)</f>
        <v>3.21</v>
      </c>
      <c r="Y73" s="20">
        <f>VLOOKUP(AP73,ggg,28,0)</f>
        <v>3.59</v>
      </c>
      <c r="Z73" s="33"/>
      <c r="AA73" s="33"/>
      <c r="AC73">
        <f>C$3*(C$1-C73)/C$2</f>
        <v>-9.9999999999997868E-3</v>
      </c>
      <c r="AD73">
        <f>D$3*(D$1-D73)/D$2</f>
        <v>0</v>
      </c>
      <c r="AE73">
        <f>E$3*(E$1-E73)/E$2</f>
        <v>-1.4321428571428583</v>
      </c>
      <c r="AF73">
        <f>F$3*(F$1-F73)/F$2</f>
        <v>-1.9655172413793112</v>
      </c>
      <c r="AG73">
        <f>G$3*(G$1-G73)/G$2</f>
        <v>0.67500000000000016</v>
      </c>
      <c r="AH73">
        <f>H$3*(H$1-H73)/H$2</f>
        <v>-1.0428571428571454</v>
      </c>
      <c r="AI73">
        <f>I$3*(I$1-I73)/I$2</f>
        <v>0</v>
      </c>
      <c r="AJ73">
        <f>(Q73-$M$1)/$M$2</f>
        <v>1.4930099999999997</v>
      </c>
      <c r="AK73">
        <f>(J73-$Q$1)/$Q$2</f>
        <v>-0.84918895056487642</v>
      </c>
      <c r="AM73" s="3">
        <f>SUM(AC73:AK73)+M73+$T$1</f>
        <v>17.470133861286811</v>
      </c>
      <c r="AN73" s="3">
        <f>SUM(AC73:AK73)+M73+$T$1-AF73-AI73</f>
        <v>19.435651102666121</v>
      </c>
      <c r="AP73" t="str">
        <f>A73&amp;B73</f>
        <v>45517C</v>
      </c>
      <c r="AQ73">
        <f>VLOOKUP(AP73,kut,4,0)</f>
        <v>0</v>
      </c>
      <c r="AS73" s="3">
        <f t="shared" si="4"/>
        <v>13.86830380805581</v>
      </c>
      <c r="AT73" s="3">
        <f t="shared" si="5"/>
        <v>15.833821049435121</v>
      </c>
    </row>
    <row r="74" spans="1:46" x14ac:dyDescent="0.3">
      <c r="A74" s="17">
        <v>45518</v>
      </c>
      <c r="B74" s="18" t="s">
        <v>19</v>
      </c>
      <c r="C74" s="19">
        <v>8.1</v>
      </c>
      <c r="D74" s="19">
        <v>38</v>
      </c>
      <c r="E74" s="19">
        <v>25.45</v>
      </c>
      <c r="F74" s="19">
        <v>56.21</v>
      </c>
      <c r="G74" s="19">
        <v>3.59</v>
      </c>
      <c r="H74" s="19">
        <v>3.21</v>
      </c>
      <c r="I74" s="19">
        <v>146.75</v>
      </c>
      <c r="J74" s="19">
        <v>7.9775124251713683</v>
      </c>
      <c r="K74" s="19">
        <v>6.1786672175395676E-3</v>
      </c>
      <c r="L74" s="19">
        <v>4.9290394498920913E-2</v>
      </c>
      <c r="M74" s="19">
        <v>24.00275518038173</v>
      </c>
      <c r="N74" s="19">
        <v>1.0530875595058611</v>
      </c>
      <c r="O74" s="19">
        <v>5225</v>
      </c>
      <c r="P74" s="19">
        <v>81.346052999468114</v>
      </c>
      <c r="Q74" s="19">
        <v>22816.080000000002</v>
      </c>
      <c r="R74" s="19">
        <v>21.446935187918911</v>
      </c>
      <c r="S74" s="20">
        <f>SUM(AM74:AN74)/2 + (AQ74/$X$1)</f>
        <v>23.665230042682673</v>
      </c>
      <c r="T74" s="20">
        <f>VLOOKUP(AP74,ggg,3,0)</f>
        <v>26.58</v>
      </c>
      <c r="U74" s="20">
        <f t="shared" si="3"/>
        <v>19.662474862300943</v>
      </c>
      <c r="V74" s="20">
        <f>VLOOKUP(AP74,ggg,12,0)</f>
        <v>8.15</v>
      </c>
      <c r="W74" s="20">
        <f>VLOOKUP(AP74,ggg,20,0)</f>
        <v>26.77</v>
      </c>
      <c r="X74" s="20">
        <f>VLOOKUP(AP74,ggg,32,0)</f>
        <v>3.49</v>
      </c>
      <c r="Y74" s="20">
        <f>VLOOKUP(AP74,ggg,28,0)</f>
        <v>3.63</v>
      </c>
      <c r="Z74" s="33" t="e">
        <f>VLOOKUP(AP74,fff,2,0)</f>
        <v>#N/A</v>
      </c>
      <c r="AA74" s="33" t="e">
        <f>VLOOKUP(AP74,fff,3,0)</f>
        <v>#N/A</v>
      </c>
      <c r="AC74">
        <f>C$3*(C$1-C74)/C$2</f>
        <v>1.0000000000000142E-2</v>
      </c>
      <c r="AD74">
        <f>D$3*(D$1-D74)/D$2</f>
        <v>0</v>
      </c>
      <c r="AE74">
        <f>E$3*(E$1-E74)/E$2</f>
        <v>0.63333333333333464</v>
      </c>
      <c r="AF74">
        <f>F$3*(F$1-F74)/F$2</f>
        <v>-1.9655172413793112</v>
      </c>
      <c r="AG74">
        <f>G$3*(G$1-G74)/G$2</f>
        <v>0.66000000000000059</v>
      </c>
      <c r="AH74">
        <f>H$3*(H$1-H74)/H$2</f>
        <v>-0.94999999999999973</v>
      </c>
      <c r="AI74">
        <f>I$3*(I$1-I74)/I$2</f>
        <v>0</v>
      </c>
      <c r="AJ74">
        <f>(Q74-$M$1)/$M$2</f>
        <v>0.78692500000000021</v>
      </c>
      <c r="AK74">
        <f>(J74-$Q$1)/$Q$2</f>
        <v>2.5049751496572643</v>
      </c>
      <c r="AM74" s="3">
        <f>SUM(AC74:AK74)+M74+$T$1</f>
        <v>22.682471421993018</v>
      </c>
      <c r="AN74" s="3">
        <f>SUM(AC74:AK74)+M74+$T$1-AF74-AI74</f>
        <v>24.647988663372328</v>
      </c>
      <c r="AP74" t="str">
        <f>A74&amp;B74</f>
        <v>45518A</v>
      </c>
      <c r="AQ74">
        <f>VLOOKUP(AP74,kut,4,0)</f>
        <v>0</v>
      </c>
      <c r="AS74" s="3">
        <f t="shared" si="4"/>
        <v>18.679716241611288</v>
      </c>
      <c r="AT74" s="3">
        <f t="shared" si="5"/>
        <v>20.645233482990598</v>
      </c>
    </row>
    <row r="75" spans="1:46" x14ac:dyDescent="0.3">
      <c r="A75" s="17">
        <v>45518</v>
      </c>
      <c r="B75" s="18" t="s">
        <v>20</v>
      </c>
      <c r="C75" s="19">
        <v>8.0649999999999995</v>
      </c>
      <c r="D75" s="19">
        <v>38</v>
      </c>
      <c r="E75" s="19">
        <v>26.38333333333334</v>
      </c>
      <c r="F75" s="19">
        <v>55.77</v>
      </c>
      <c r="G75" s="19">
        <v>3.63</v>
      </c>
      <c r="H75" s="19">
        <v>3.413333333333334</v>
      </c>
      <c r="I75" s="19">
        <v>146.66666666666671</v>
      </c>
      <c r="J75" s="19">
        <v>11.480326272141239</v>
      </c>
      <c r="K75" s="19">
        <v>3.4536689093319179E-3</v>
      </c>
      <c r="L75" s="19">
        <v>3.9649245915080587E-2</v>
      </c>
      <c r="M75" s="19">
        <v>18.544465651719442</v>
      </c>
      <c r="N75" s="19">
        <v>7.4112068112906613</v>
      </c>
      <c r="O75" s="19">
        <v>5225</v>
      </c>
      <c r="P75" s="19">
        <v>108.5420255704576</v>
      </c>
      <c r="Q75" s="19">
        <v>10227.656800000001</v>
      </c>
      <c r="R75" s="19">
        <v>16.294297161879179</v>
      </c>
      <c r="S75" s="20">
        <f>SUM(AM75:AN75)/2 + (AQ75/$X$1)</f>
        <v>10.132959153797115</v>
      </c>
      <c r="T75" s="20">
        <f>VLOOKUP(AP75,ggg,3,0)</f>
        <v>22.23</v>
      </c>
      <c r="U75" s="20">
        <f t="shared" si="3"/>
        <v>11.588493502077673</v>
      </c>
      <c r="V75" s="20">
        <f>VLOOKUP(AP75,ggg,12,0)</f>
        <v>8.3000000000000007</v>
      </c>
      <c r="W75" s="20">
        <f>VLOOKUP(AP75,ggg,20,0)</f>
        <v>26.41</v>
      </c>
      <c r="X75" s="20">
        <f>VLOOKUP(AP75,ggg,32,0)</f>
        <v>3.36</v>
      </c>
      <c r="Y75" s="20">
        <f>VLOOKUP(AP75,ggg,28,0)</f>
        <v>3.63</v>
      </c>
      <c r="Z75" s="33"/>
      <c r="AA75" s="33"/>
      <c r="AC75">
        <f>C$3*(C$1-C75)/C$2</f>
        <v>1.7000000000000171E-2</v>
      </c>
      <c r="AD75">
        <f>D$3*(D$1-D75)/D$2</f>
        <v>0</v>
      </c>
      <c r="AE75">
        <f>E$3*(E$1-E75)/E$2</f>
        <v>-0.14444444444444926</v>
      </c>
      <c r="AF75">
        <f>F$3*(F$1-F75)/F$2</f>
        <v>-1.2068965517241428</v>
      </c>
      <c r="AG75">
        <f>G$3*(G$1-G75)/G$2</f>
        <v>0.54000000000000048</v>
      </c>
      <c r="AH75">
        <f>H$3*(H$1-H75)/H$2</f>
        <v>6.6666666666670427E-2</v>
      </c>
      <c r="AI75">
        <f>I$3*(I$1-I75)/I$2</f>
        <v>0</v>
      </c>
      <c r="AJ75">
        <f>(Q75-$M$1)/$M$2</f>
        <v>-0.78662789999999994</v>
      </c>
      <c r="AK75">
        <f>(J75-$Q$1)/$Q$2</f>
        <v>-4.5006525442824774</v>
      </c>
      <c r="AM75" s="3">
        <f>SUM(AC75:AK75)+M75+$T$1</f>
        <v>9.5295108779350439</v>
      </c>
      <c r="AN75" s="3">
        <f>SUM(AC75:AK75)+M75+$T$1-AF75-AI75</f>
        <v>10.736407429659186</v>
      </c>
      <c r="AP75" t="str">
        <f>A75&amp;B75</f>
        <v>45518B</v>
      </c>
      <c r="AQ75">
        <f>VLOOKUP(AP75,kut,4,0)</f>
        <v>0</v>
      </c>
      <c r="AS75" s="3">
        <f t="shared" si="4"/>
        <v>10.985045226215602</v>
      </c>
      <c r="AT75" s="3">
        <f t="shared" si="5"/>
        <v>12.191941777939745</v>
      </c>
    </row>
    <row r="76" spans="1:46" x14ac:dyDescent="0.3">
      <c r="A76" s="17">
        <v>45518</v>
      </c>
      <c r="B76" s="18" t="s">
        <v>18</v>
      </c>
      <c r="C76" s="19">
        <v>8.1679999999999993</v>
      </c>
      <c r="D76" s="19">
        <v>39.285714285714278</v>
      </c>
      <c r="E76" s="19">
        <v>25.874285714285719</v>
      </c>
      <c r="F76" s="19">
        <v>55.44</v>
      </c>
      <c r="G76" s="19">
        <v>3.63</v>
      </c>
      <c r="H76" s="19">
        <v>3.4485714285714288</v>
      </c>
      <c r="I76" s="19">
        <v>143.57142857142861</v>
      </c>
      <c r="J76" s="19">
        <v>10.650572656705689</v>
      </c>
      <c r="K76" s="19">
        <v>3.7044531790318119E-3</v>
      </c>
      <c r="L76" s="19">
        <v>3.9454547736642698E-2</v>
      </c>
      <c r="M76" s="19">
        <v>15.8137802663075</v>
      </c>
      <c r="N76" s="19">
        <v>5.9392412117159452</v>
      </c>
      <c r="O76" s="19">
        <v>5225</v>
      </c>
      <c r="P76" s="19">
        <v>103.26362359516961</v>
      </c>
      <c r="Q76" s="19">
        <v>18272.608800000002</v>
      </c>
      <c r="R76" s="19">
        <v>15.730396885225581</v>
      </c>
      <c r="S76" s="20">
        <f>SUM(AM76:AN76)/2 + (AQ76/$X$1)</f>
        <v>10.931679583273793</v>
      </c>
      <c r="T76" s="20">
        <f>VLOOKUP(AP76,ggg,3,0)</f>
        <v>16</v>
      </c>
      <c r="U76" s="20">
        <f t="shared" si="3"/>
        <v>15.117899316966291</v>
      </c>
      <c r="V76" s="20">
        <f>VLOOKUP(AP76,ggg,12,0)</f>
        <v>8.4</v>
      </c>
      <c r="W76" s="20">
        <f>VLOOKUP(AP76,ggg,20,0)</f>
        <v>26.96</v>
      </c>
      <c r="X76" s="20">
        <f>VLOOKUP(AP76,ggg,32,0)</f>
        <v>3.45</v>
      </c>
      <c r="Y76" s="20">
        <f>VLOOKUP(AP76,ggg,28,0)</f>
        <v>3.63</v>
      </c>
      <c r="Z76" s="33"/>
      <c r="AA76" s="33"/>
      <c r="AC76">
        <f>C$3*(C$1-C76)/C$2</f>
        <v>-3.5999999999997813E-3</v>
      </c>
      <c r="AD76">
        <f>D$3*(D$1-D76)/D$2</f>
        <v>0</v>
      </c>
      <c r="AE76">
        <f>E$3*(E$1-E76)/E$2</f>
        <v>0.27976190476190155</v>
      </c>
      <c r="AF76">
        <f>F$3*(F$1-F76)/F$2</f>
        <v>-0.63793103448275423</v>
      </c>
      <c r="AG76">
        <f>G$3*(G$1-G76)/G$2</f>
        <v>0.54000000000000048</v>
      </c>
      <c r="AH76">
        <f>H$3*(H$1-H76)/H$2</f>
        <v>0.24285714285714466</v>
      </c>
      <c r="AI76">
        <f>I$3*(I$1-I76)/I$2</f>
        <v>0</v>
      </c>
      <c r="AJ76">
        <f>(Q76-$M$1)/$M$2</f>
        <v>0.21899110000000019</v>
      </c>
      <c r="AK76">
        <f>(J76-$Q$1)/$Q$2</f>
        <v>-2.8411453134113778</v>
      </c>
      <c r="AM76" s="3">
        <f>SUM(AC76:AK76)+M76+$T$1</f>
        <v>10.612714066032416</v>
      </c>
      <c r="AN76" s="3">
        <f>SUM(AC76:AK76)+M76+$T$1-AF76-AI76</f>
        <v>11.25064510051517</v>
      </c>
      <c r="AP76" t="str">
        <f>A76&amp;B76</f>
        <v>45518C</v>
      </c>
      <c r="AQ76">
        <f>VLOOKUP(AP76,kut,4,0)</f>
        <v>0</v>
      </c>
      <c r="AS76" s="3">
        <f t="shared" si="4"/>
        <v>14.798933799724914</v>
      </c>
      <c r="AT76" s="3">
        <f t="shared" si="5"/>
        <v>15.436864834207668</v>
      </c>
    </row>
    <row r="77" spans="1:46" x14ac:dyDescent="0.3">
      <c r="A77" s="17">
        <v>45519</v>
      </c>
      <c r="B77" s="18" t="s">
        <v>19</v>
      </c>
      <c r="C77" s="19">
        <v>8.4</v>
      </c>
      <c r="D77" s="19">
        <v>40</v>
      </c>
      <c r="E77" s="19">
        <v>26.96</v>
      </c>
      <c r="F77" s="19">
        <v>55.44</v>
      </c>
      <c r="G77" s="19">
        <v>3.63</v>
      </c>
      <c r="H77" s="19">
        <v>3.45</v>
      </c>
      <c r="I77" s="19">
        <v>143.5</v>
      </c>
      <c r="J77" s="19">
        <v>9.2436775699054525</v>
      </c>
      <c r="K77" s="19">
        <v>1.187185686884026E-2</v>
      </c>
      <c r="L77" s="19">
        <v>0.1097396170516267</v>
      </c>
      <c r="M77" s="19">
        <v>14.4519196417315</v>
      </c>
      <c r="N77" s="19">
        <v>2.5807412015701621E-3</v>
      </c>
      <c r="O77" s="19">
        <v>5225</v>
      </c>
      <c r="P77" s="19">
        <v>81.181793150731565</v>
      </c>
      <c r="Q77" s="19">
        <v>30003.360000000001</v>
      </c>
      <c r="R77" s="19">
        <v>15.34623872784222</v>
      </c>
      <c r="S77" s="20">
        <f>SUM(AM77:AN77)/2 + (AQ77/$X$1)</f>
        <v>12.905933984679221</v>
      </c>
      <c r="T77" s="20">
        <f>VLOOKUP(AP77,ggg,3,0)</f>
        <v>15.34</v>
      </c>
      <c r="U77" s="20">
        <f t="shared" si="3"/>
        <v>18.454014342947719</v>
      </c>
      <c r="V77" s="20">
        <f>VLOOKUP(AP77,ggg,12,0)</f>
        <v>8</v>
      </c>
      <c r="W77" s="20">
        <f>VLOOKUP(AP77,ggg,20,0)</f>
        <v>27.77</v>
      </c>
      <c r="X77" s="20">
        <f>VLOOKUP(AP77,ggg,32,0)</f>
        <v>3.23</v>
      </c>
      <c r="Y77" s="20">
        <f>VLOOKUP(AP77,ggg,28,0)</f>
        <v>3.63</v>
      </c>
      <c r="Z77" s="33" t="e">
        <f>VLOOKUP(AP77,fff,2,0)</f>
        <v>#N/A</v>
      </c>
      <c r="AA77" s="33" t="e">
        <f>VLOOKUP(AP77,fff,3,0)</f>
        <v>#N/A</v>
      </c>
      <c r="AC77">
        <f>C$3*(C$1-C77)/C$2</f>
        <v>-0.05</v>
      </c>
      <c r="AD77">
        <f>D$3*(D$1-D77)/D$2</f>
        <v>0</v>
      </c>
      <c r="AE77">
        <f>E$3*(E$1-E77)/E$2</f>
        <v>-0.625</v>
      </c>
      <c r="AF77">
        <f>F$3*(F$1-F77)/F$2</f>
        <v>-0.63793103448275423</v>
      </c>
      <c r="AG77">
        <f>G$3*(G$1-G77)/G$2</f>
        <v>0.54000000000000048</v>
      </c>
      <c r="AH77">
        <f>H$3*(H$1-H77)/H$2</f>
        <v>0.25000000000000133</v>
      </c>
      <c r="AI77">
        <f>I$3*(I$1-I77)/I$2</f>
        <v>0</v>
      </c>
      <c r="AJ77">
        <f>(Q77-$M$1)/$M$2</f>
        <v>1.685335</v>
      </c>
      <c r="AK77">
        <f>(J77-$Q$1)/$Q$2</f>
        <v>-2.7355139810904205E-2</v>
      </c>
      <c r="AM77" s="3">
        <f>SUM(AC77:AK77)+M77+$T$1</f>
        <v>12.586968467437844</v>
      </c>
      <c r="AN77" s="3">
        <f>SUM(AC77:AK77)+M77+$T$1-AF77-AI77</f>
        <v>13.224899501920598</v>
      </c>
      <c r="AP77" t="str">
        <f>A77&amp;B77</f>
        <v>45519A</v>
      </c>
      <c r="AQ77">
        <f>VLOOKUP(AP77,kut,4,0)</f>
        <v>0</v>
      </c>
      <c r="AS77" s="3">
        <f t="shared" si="4"/>
        <v>18.135048825706342</v>
      </c>
      <c r="AT77" s="3">
        <f t="shared" si="5"/>
        <v>18.772979860189096</v>
      </c>
    </row>
    <row r="78" spans="1:46" x14ac:dyDescent="0.3">
      <c r="A78" s="17">
        <v>45519</v>
      </c>
      <c r="B78" s="18" t="s">
        <v>20</v>
      </c>
      <c r="C78" s="19">
        <v>8.0860000000000003</v>
      </c>
      <c r="D78" s="19">
        <v>37.166666666666657</v>
      </c>
      <c r="E78" s="19">
        <v>28.086666666666659</v>
      </c>
      <c r="F78" s="19">
        <v>55.72</v>
      </c>
      <c r="G78" s="19">
        <v>3.63</v>
      </c>
      <c r="H78" s="19">
        <v>3.22</v>
      </c>
      <c r="I78" s="19">
        <v>138.83333333333329</v>
      </c>
      <c r="J78" s="19">
        <v>9.9609532417953943</v>
      </c>
      <c r="K78" s="19">
        <v>3.5510822862902369E-3</v>
      </c>
      <c r="L78" s="19">
        <v>3.5372164611504928E-2</v>
      </c>
      <c r="M78" s="19">
        <v>17.707686605018999</v>
      </c>
      <c r="N78" s="19">
        <v>2.582473655310405E-3</v>
      </c>
      <c r="O78" s="19">
        <v>5225</v>
      </c>
      <c r="P78" s="19">
        <v>81.232240009492514</v>
      </c>
      <c r="Q78" s="19">
        <v>10865.212799999999</v>
      </c>
      <c r="R78" s="19">
        <v>18.809597837630911</v>
      </c>
      <c r="S78" s="20">
        <f>SUM(AM78:AN78)/2 + (AQ78/$X$1)</f>
        <v>10.067413004953124</v>
      </c>
      <c r="T78" s="20">
        <f>VLOOKUP(AP78,ggg,3,0)</f>
        <v>15.21</v>
      </c>
      <c r="U78" s="20">
        <f t="shared" si="3"/>
        <v>12.359726399934125</v>
      </c>
      <c r="V78" s="20">
        <f>VLOOKUP(AP78,ggg,12,0)</f>
        <v>7.93</v>
      </c>
      <c r="W78" s="20">
        <f>VLOOKUP(AP78,ggg,20,0)</f>
        <v>26.5</v>
      </c>
      <c r="X78" s="20">
        <f>VLOOKUP(AP78,ggg,32,0)</f>
        <v>3.23</v>
      </c>
      <c r="Y78" s="20">
        <f>VLOOKUP(AP78,ggg,28,0)</f>
        <v>3.58</v>
      </c>
      <c r="Z78" s="33"/>
      <c r="AA78" s="33"/>
      <c r="AC78">
        <f>C$3*(C$1-C78)/C$2</f>
        <v>1.2800000000000013E-2</v>
      </c>
      <c r="AD78">
        <f>D$3*(D$1-D78)/D$2</f>
        <v>0</v>
      </c>
      <c r="AE78">
        <f>E$3*(E$1-E78)/E$2</f>
        <v>-1.5638888888888818</v>
      </c>
      <c r="AF78">
        <f>F$3*(F$1-F78)/F$2</f>
        <v>-1.1206896551724115</v>
      </c>
      <c r="AG78">
        <f>G$3*(G$1-G78)/G$2</f>
        <v>0.54000000000000048</v>
      </c>
      <c r="AH78">
        <f>H$3*(H$1-H78)/H$2</f>
        <v>-0.89999999999999858</v>
      </c>
      <c r="AI78">
        <f>I$3*(I$1-I78)/I$2</f>
        <v>0</v>
      </c>
      <c r="AJ78">
        <f>(Q78-$M$1)/$M$2</f>
        <v>-0.70693340000000016</v>
      </c>
      <c r="AK78">
        <f>(J78-$Q$1)/$Q$2</f>
        <v>-1.4619064835907878</v>
      </c>
      <c r="AM78" s="3">
        <f>SUM(AC78:AK78)+M78+$T$1</f>
        <v>9.5070681773669197</v>
      </c>
      <c r="AN78" s="3">
        <f>SUM(AC78:AK78)+M78+$T$1-AF78-AI78</f>
        <v>10.627757832539331</v>
      </c>
      <c r="AP78" t="str">
        <f>A78&amp;B78</f>
        <v>45519B</v>
      </c>
      <c r="AQ78">
        <f>VLOOKUP(AP78,kut,4,0)</f>
        <v>0</v>
      </c>
      <c r="AS78" s="3">
        <f t="shared" si="4"/>
        <v>11.799381572347921</v>
      </c>
      <c r="AT78" s="3">
        <f t="shared" si="5"/>
        <v>12.920071227520332</v>
      </c>
    </row>
    <row r="79" spans="1:46" s="30" customFormat="1" x14ac:dyDescent="0.3">
      <c r="A79" s="26">
        <v>45520</v>
      </c>
      <c r="B79" s="27" t="s">
        <v>19</v>
      </c>
      <c r="C79" s="28">
        <v>7.9266666666666667</v>
      </c>
      <c r="D79" s="28">
        <v>39</v>
      </c>
      <c r="E79" s="28">
        <v>26.5</v>
      </c>
      <c r="F79" s="28">
        <v>55.74</v>
      </c>
      <c r="G79" s="28">
        <v>3.58</v>
      </c>
      <c r="H79" s="28">
        <v>3.2320000000000002</v>
      </c>
      <c r="I79" s="28">
        <v>146.19999999999999</v>
      </c>
      <c r="J79" s="28">
        <v>7.3595315908254673</v>
      </c>
      <c r="K79" s="28">
        <v>1.462589734942622E-3</v>
      </c>
      <c r="L79" s="28">
        <v>1.076397535872727E-2</v>
      </c>
      <c r="M79" s="28">
        <v>23.79931600361477</v>
      </c>
      <c r="N79" s="28">
        <v>2.585548240946207E-3</v>
      </c>
      <c r="O79" s="28">
        <v>5225</v>
      </c>
      <c r="P79" s="28">
        <v>81.326623997066889</v>
      </c>
      <c r="Q79" s="28">
        <v>4011.7919999999999</v>
      </c>
      <c r="R79" s="28">
        <v>23.04415064126032</v>
      </c>
      <c r="S79" s="35">
        <f>SUM(AM79:AN79)/2 + (AQ79/$X$1)</f>
        <v>22.052055615067289</v>
      </c>
      <c r="T79" s="35">
        <f>VLOOKUP(AP79,ggg,3,0)</f>
        <v>20.51</v>
      </c>
      <c r="U79" s="20">
        <f t="shared" si="3"/>
        <v>18.252739611452519</v>
      </c>
      <c r="V79" s="29">
        <f>VLOOKUP(AP79,ggg,12,0)</f>
        <v>7.98</v>
      </c>
      <c r="W79" s="29">
        <f>VLOOKUP(AP79,ggg,20,0)</f>
        <v>26.15</v>
      </c>
      <c r="X79" s="29">
        <f>VLOOKUP(AP79,ggg,32,0)</f>
        <v>3.31</v>
      </c>
      <c r="Y79" s="29">
        <f>VLOOKUP(AP79,ggg,28,0)</f>
        <v>3.61</v>
      </c>
      <c r="Z79" s="33">
        <f>VLOOKUP(AP79,fff,2,0)</f>
        <v>22.77</v>
      </c>
      <c r="AA79" s="33">
        <f>VLOOKUP(AP79,fff,3,0)</f>
        <v>20.83</v>
      </c>
      <c r="AC79" s="30">
        <f>C$3*(C$1-C79)/C$2</f>
        <v>4.4666666666666723E-2</v>
      </c>
      <c r="AD79" s="30">
        <f>D$3*(D$1-D79)/D$2</f>
        <v>0</v>
      </c>
      <c r="AE79" s="30">
        <f>E$3*(E$1-E79)/E$2</f>
        <v>-0.24166666666666597</v>
      </c>
      <c r="AF79" s="30">
        <f>F$3*(F$1-F79)/F$2</f>
        <v>-1.1551724137931063</v>
      </c>
      <c r="AG79" s="30">
        <f>G$3*(G$1-G79)/G$2</f>
        <v>0.68999999999999984</v>
      </c>
      <c r="AH79" s="30">
        <f>H$3*(H$1-H79)/H$2</f>
        <v>-0.83999999999999853</v>
      </c>
      <c r="AI79" s="30">
        <f>I$3*(I$1-I79)/I$2</f>
        <v>0</v>
      </c>
      <c r="AJ79" s="30">
        <f>(Q79-$M$1)/$M$2</f>
        <v>-1.5636110000000001</v>
      </c>
      <c r="AK79" s="30">
        <f>(J79-$Q$1)/$Q$2</f>
        <v>3.7409368183490663</v>
      </c>
      <c r="AM79" s="31">
        <f>SUM(AC79:AK79)+M79+$T$1</f>
        <v>21.474469408170734</v>
      </c>
      <c r="AN79" s="31">
        <f>SUM(AC79:AK79)+M79+$T$1-AF79-AI79</f>
        <v>22.62964182196384</v>
      </c>
      <c r="AP79" s="30" t="str">
        <f>A79&amp;B79</f>
        <v>45520A</v>
      </c>
      <c r="AQ79" s="30">
        <f>VLOOKUP(AP79,kut,4,0)</f>
        <v>0</v>
      </c>
      <c r="AS79" s="3">
        <f t="shared" si="4"/>
        <v>17.675153404555964</v>
      </c>
      <c r="AT79" s="3">
        <f t="shared" si="5"/>
        <v>18.83032581834907</v>
      </c>
    </row>
    <row r="80" spans="1:46" x14ac:dyDescent="0.3">
      <c r="A80" s="17">
        <v>45520</v>
      </c>
      <c r="B80" s="18" t="s">
        <v>20</v>
      </c>
      <c r="C80" s="19">
        <v>7.9233333333333329</v>
      </c>
      <c r="D80" s="19">
        <v>37.666666666666657</v>
      </c>
      <c r="E80" s="19">
        <v>25.645555555555561</v>
      </c>
      <c r="F80" s="19">
        <v>55</v>
      </c>
      <c r="G80" s="19">
        <v>3.61</v>
      </c>
      <c r="H80" s="19">
        <v>3.342222222222222</v>
      </c>
      <c r="I80" s="19">
        <v>146.55555555555549</v>
      </c>
      <c r="J80" s="19">
        <v>9.652389297713535</v>
      </c>
      <c r="K80" s="19">
        <v>2.156223942478476E-3</v>
      </c>
      <c r="L80" s="19">
        <v>2.0812712905852921E-2</v>
      </c>
      <c r="M80" s="19">
        <v>16.935379146352751</v>
      </c>
      <c r="N80" s="19">
        <v>2.5888473344657672E-3</v>
      </c>
      <c r="O80" s="19">
        <v>5225</v>
      </c>
      <c r="P80" s="19">
        <v>81.220271998057797</v>
      </c>
      <c r="Q80" s="19">
        <v>7130.04</v>
      </c>
      <c r="R80" s="19">
        <v>18.546888675365761</v>
      </c>
      <c r="S80" s="20">
        <f>SUM(AM80:AN80)/2 + (AQ80/$X$1)</f>
        <v>12.8039301933267</v>
      </c>
      <c r="T80" s="20">
        <f>VLOOKUP(AP80,ggg,3,0)</f>
        <v>18.02</v>
      </c>
      <c r="U80" s="20">
        <f t="shared" si="3"/>
        <v>15.868551046973948</v>
      </c>
      <c r="V80" s="20">
        <f>VLOOKUP(AP80,ggg,12,0)</f>
        <v>8.3699999999999992</v>
      </c>
      <c r="W80" s="20">
        <f>VLOOKUP(AP80,ggg,20,0)</f>
        <v>27.03</v>
      </c>
      <c r="X80" s="20">
        <f>VLOOKUP(AP80,ggg,32,0)</f>
        <v>3.39</v>
      </c>
      <c r="Y80" s="20">
        <f>VLOOKUP(AP80,ggg,28,0)</f>
        <v>3.79</v>
      </c>
      <c r="Z80" s="33"/>
      <c r="AA80" s="33"/>
      <c r="AC80">
        <f>C$3*(C$1-C80)/C$2</f>
        <v>4.5333333333333496E-2</v>
      </c>
      <c r="AD80">
        <f>D$3*(D$1-D80)/D$2</f>
        <v>0</v>
      </c>
      <c r="AE80">
        <f>E$3*(E$1-E80)/E$2</f>
        <v>0.47037037037036694</v>
      </c>
      <c r="AF80">
        <f>F$3*(F$1-F80)/F$2</f>
        <v>0.12068965517241428</v>
      </c>
      <c r="AG80">
        <f>G$3*(G$1-G80)/G$2</f>
        <v>0.60000000000000053</v>
      </c>
      <c r="AH80">
        <f>H$3*(H$1-H80)/H$2</f>
        <v>-0.28888888888888964</v>
      </c>
      <c r="AI80">
        <f>I$3*(I$1-I80)/I$2</f>
        <v>0</v>
      </c>
      <c r="AJ80">
        <f>(Q80-$M$1)/$M$2</f>
        <v>-1.1738299999999999</v>
      </c>
      <c r="AK80">
        <f>(J80-$Q$1)/$Q$2</f>
        <v>-0.84477859542706923</v>
      </c>
      <c r="AM80" s="3">
        <f>SUM(AC80:AK80)+M80+$T$1</f>
        <v>12.864275020912908</v>
      </c>
      <c r="AN80" s="3">
        <f>SUM(AC80:AK80)+M80+$T$1-AF80-AI80</f>
        <v>12.743585365740493</v>
      </c>
      <c r="AP80" t="str">
        <f>A80&amp;B80</f>
        <v>45520B</v>
      </c>
      <c r="AQ80">
        <f>VLOOKUP(AP80,kut,4,0)</f>
        <v>0</v>
      </c>
      <c r="AS80" s="3">
        <f t="shared" si="4"/>
        <v>15.928895874560155</v>
      </c>
      <c r="AT80" s="3">
        <f t="shared" si="5"/>
        <v>15.80820621938774</v>
      </c>
    </row>
    <row r="81" spans="1:46" x14ac:dyDescent="0.3">
      <c r="A81" s="17">
        <v>45520</v>
      </c>
      <c r="B81" s="18" t="s">
        <v>18</v>
      </c>
      <c r="C81" s="19">
        <v>8.3000000000000007</v>
      </c>
      <c r="D81" s="19">
        <v>38.428571428571431</v>
      </c>
      <c r="E81" s="19">
        <v>27.12857142857143</v>
      </c>
      <c r="F81" s="19">
        <v>55</v>
      </c>
      <c r="G81" s="19">
        <v>3.79</v>
      </c>
      <c r="H81" s="19">
        <v>3.32</v>
      </c>
      <c r="I81" s="19">
        <v>144.42857142857139</v>
      </c>
      <c r="J81" s="19">
        <v>11.061952303184031</v>
      </c>
      <c r="K81" s="19">
        <v>5.5088161329194113E-3</v>
      </c>
      <c r="L81" s="19">
        <v>6.0938261309365242E-2</v>
      </c>
      <c r="M81" s="19">
        <v>13.24720161470152</v>
      </c>
      <c r="N81" s="19">
        <v>2.5855531934385269E-3</v>
      </c>
      <c r="O81" s="19">
        <v>5225</v>
      </c>
      <c r="P81" s="19">
        <v>92.285658727356264</v>
      </c>
      <c r="Q81" s="19">
        <v>15783.68</v>
      </c>
      <c r="R81" s="19">
        <v>14.932263705682651</v>
      </c>
      <c r="S81" s="20">
        <f>SUM(AM81:AN81)/2 + (AQ81/$X$1)</f>
        <v>5.4160406454434762</v>
      </c>
      <c r="T81" s="20">
        <f>VLOOKUP(AP81,ggg,3,0)</f>
        <v>16.03</v>
      </c>
      <c r="U81" s="20">
        <f t="shared" si="3"/>
        <v>12.168839030741957</v>
      </c>
      <c r="V81" s="20">
        <f>VLOOKUP(AP81,ggg,12,0)</f>
        <v>8.43</v>
      </c>
      <c r="W81" s="20">
        <f>VLOOKUP(AP81,ggg,20,0)</f>
        <v>26.6</v>
      </c>
      <c r="X81" s="20">
        <f>VLOOKUP(AP81,ggg,32,0)</f>
        <v>3.46</v>
      </c>
      <c r="Y81" s="20">
        <f>VLOOKUP(AP81,ggg,28,0)</f>
        <v>3.79</v>
      </c>
      <c r="Z81" s="33"/>
      <c r="AA81" s="33"/>
      <c r="AC81">
        <f>C$3*(C$1-C81)/C$2</f>
        <v>-3.0000000000000072E-2</v>
      </c>
      <c r="AD81">
        <f>D$3*(D$1-D81)/D$2</f>
        <v>0</v>
      </c>
      <c r="AE81">
        <f>E$3*(E$1-E81)/E$2</f>
        <v>-0.76547619047619087</v>
      </c>
      <c r="AF81">
        <f>F$3*(F$1-F81)/F$2</f>
        <v>0.12068965517241428</v>
      </c>
      <c r="AG81">
        <f>G$3*(G$1-G81)/G$2</f>
        <v>6.0000000000000053E-2</v>
      </c>
      <c r="AH81">
        <f>H$3*(H$1-H81)/H$2</f>
        <v>-0.40000000000000036</v>
      </c>
      <c r="AI81">
        <f>I$3*(I$1-I81)/I$2</f>
        <v>0</v>
      </c>
      <c r="AJ81">
        <f>(Q81-$M$1)/$M$2</f>
        <v>-9.2124999999999999E-2</v>
      </c>
      <c r="AK81">
        <f>(J81-$Q$1)/$Q$2</f>
        <v>-3.6639046063680603</v>
      </c>
      <c r="AM81" s="3">
        <f>SUM(AC81:AK81)+M81+$T$1</f>
        <v>5.4763854730296835</v>
      </c>
      <c r="AN81" s="3">
        <f>SUM(AC81:AK81)+M81+$T$1-AF81-AI81</f>
        <v>5.3556958178572689</v>
      </c>
      <c r="AP81" t="str">
        <f>A81&amp;B81</f>
        <v>45520C</v>
      </c>
      <c r="AQ81">
        <f>VLOOKUP(AP81,kut,4,0)</f>
        <v>0</v>
      </c>
      <c r="AS81" s="3">
        <f t="shared" si="4"/>
        <v>12.229183858328163</v>
      </c>
      <c r="AT81" s="3">
        <f t="shared" si="5"/>
        <v>12.108494203155749</v>
      </c>
    </row>
    <row r="82" spans="1:46" x14ac:dyDescent="0.3">
      <c r="A82" s="17">
        <v>45523</v>
      </c>
      <c r="B82" s="18" t="s">
        <v>19</v>
      </c>
      <c r="C82" s="19">
        <v>8.4250000000000007</v>
      </c>
      <c r="D82" s="19">
        <v>38.799999999999997</v>
      </c>
      <c r="E82" s="19">
        <v>26.52</v>
      </c>
      <c r="F82" s="19">
        <v>55</v>
      </c>
      <c r="G82" s="19">
        <v>3.79</v>
      </c>
      <c r="H82" s="19">
        <v>3.4359999999999999</v>
      </c>
      <c r="I82" s="19">
        <v>151.80000000000001</v>
      </c>
      <c r="J82" s="19">
        <v>8.9054512273790181</v>
      </c>
      <c r="K82" s="19">
        <v>8.3200541042557155E-3</v>
      </c>
      <c r="L82" s="19">
        <v>7.4093836034603913E-2</v>
      </c>
      <c r="M82" s="19">
        <v>13.22125857945203</v>
      </c>
      <c r="N82" s="19">
        <v>2.5804699207323798E-3</v>
      </c>
      <c r="O82" s="19">
        <v>5225</v>
      </c>
      <c r="P82" s="19">
        <v>81.914392620027201</v>
      </c>
      <c r="Q82" s="19">
        <v>25728.639999999999</v>
      </c>
      <c r="R82" s="19">
        <v>13.22059769091552</v>
      </c>
      <c r="S82" s="35">
        <f>SUM(AM82:AN82)/2 + (AQ82/$X$1)</f>
        <v>12.008362618946869</v>
      </c>
      <c r="T82" s="35">
        <f>VLOOKUP(AP82,ggg,3,0)</f>
        <v>15.4</v>
      </c>
      <c r="U82" s="25">
        <f t="shared" si="3"/>
        <v>18.787104039494842</v>
      </c>
      <c r="V82" s="20">
        <f>VLOOKUP(AP82,ggg,12,0)</f>
        <v>8.43</v>
      </c>
      <c r="W82" s="20">
        <f>VLOOKUP(AP82,ggg,20,0)</f>
        <v>28.38</v>
      </c>
      <c r="X82" s="20">
        <f>VLOOKUP(AP82,ggg,32,0)</f>
        <v>3.51</v>
      </c>
      <c r="Y82" s="20">
        <f>VLOOKUP(AP82,ggg,28,0)</f>
        <v>3.96</v>
      </c>
      <c r="Z82" s="33">
        <f>VLOOKUP(AP82,fff,2,0)</f>
        <v>14.66</v>
      </c>
      <c r="AA82" s="33">
        <f>VLOOKUP(AP82,fff,3,0)</f>
        <v>15.1</v>
      </c>
      <c r="AC82">
        <f>C$3*(C$1-C82)/C$2</f>
        <v>-5.5000000000000077E-2</v>
      </c>
      <c r="AD82">
        <f>D$3*(D$1-D82)/D$2</f>
        <v>0</v>
      </c>
      <c r="AE82">
        <f>E$3*(E$1-E82)/E$2</f>
        <v>-0.2583333333333323</v>
      </c>
      <c r="AF82">
        <f>F$3*(F$1-F82)/F$2</f>
        <v>0.12068965517241428</v>
      </c>
      <c r="AG82">
        <f>G$3*(G$1-G82)/G$2</f>
        <v>6.0000000000000053E-2</v>
      </c>
      <c r="AH82">
        <f>H$3*(H$1-H82)/H$2</f>
        <v>0.18000000000000016</v>
      </c>
      <c r="AI82">
        <f>I$3*(I$1-I82)/I$2</f>
        <v>0</v>
      </c>
      <c r="AJ82">
        <f>(Q82-$M$1)/$M$2</f>
        <v>1.150995</v>
      </c>
      <c r="AK82">
        <f>(J82-$Q$1)/$Q$2</f>
        <v>0.64909754524196472</v>
      </c>
      <c r="AM82" s="3">
        <f>SUM(AC82:AK82)+M82+$T$1</f>
        <v>12.068707446533077</v>
      </c>
      <c r="AN82" s="3">
        <f>SUM(AC82:AK82)+M82+$T$1-AF82-AI82</f>
        <v>11.948017791360662</v>
      </c>
      <c r="AP82" t="str">
        <f>A82&amp;B82</f>
        <v>45523A</v>
      </c>
      <c r="AQ82">
        <f>VLOOKUP(AP82,kut,4,0)</f>
        <v>0</v>
      </c>
      <c r="AS82" s="3">
        <f t="shared" si="4"/>
        <v>18.847448867081049</v>
      </c>
      <c r="AT82" s="3">
        <f t="shared" si="5"/>
        <v>18.726759211908636</v>
      </c>
    </row>
    <row r="83" spans="1:46" x14ac:dyDescent="0.3">
      <c r="A83" s="17">
        <v>45523</v>
      </c>
      <c r="B83" s="18" t="s">
        <v>20</v>
      </c>
      <c r="C83" s="19">
        <v>8.418000000000001</v>
      </c>
      <c r="D83" s="19">
        <v>37.714285714285722</v>
      </c>
      <c r="E83" s="19">
        <v>27.76857142857143</v>
      </c>
      <c r="F83" s="19">
        <v>55.77</v>
      </c>
      <c r="G83" s="19">
        <v>3.96</v>
      </c>
      <c r="H83" s="19">
        <v>3.5371428571428569</v>
      </c>
      <c r="I83" s="19">
        <v>142.42857142857139</v>
      </c>
      <c r="J83" s="19">
        <v>8.7983604397963564</v>
      </c>
      <c r="K83" s="19">
        <v>3.7581421215423258E-4</v>
      </c>
      <c r="L83" s="19">
        <v>3.3065488969310358E-3</v>
      </c>
      <c r="M83" s="19">
        <v>13.32355952971105</v>
      </c>
      <c r="N83" s="19">
        <v>2.64822666676148</v>
      </c>
      <c r="O83" s="19">
        <v>5225</v>
      </c>
      <c r="P83" s="19">
        <v>120.3309396016098</v>
      </c>
      <c r="Q83" s="19">
        <v>1293.76</v>
      </c>
      <c r="R83" s="19">
        <v>13.31681562850474</v>
      </c>
      <c r="S83" s="20">
        <f>SUM(AM83:AN83)/2 + (AQ83/$X$1)</f>
        <v>7.5633301361610261</v>
      </c>
      <c r="T83" s="20">
        <f>VLOOKUP(AP83,ggg,3,0)</f>
        <v>12.94</v>
      </c>
      <c r="U83" s="20">
        <f t="shared" si="3"/>
        <v>14.239770606449976</v>
      </c>
      <c r="V83" s="20">
        <f>VLOOKUP(AP83,ggg,12,0)</f>
        <v>8.6999999999999993</v>
      </c>
      <c r="W83" s="20">
        <f>VLOOKUP(AP83,ggg,20,0)</f>
        <v>27.63</v>
      </c>
      <c r="X83" s="20">
        <f>VLOOKUP(AP83,ggg,32,0)</f>
        <v>3.59</v>
      </c>
      <c r="Y83" s="20">
        <f>VLOOKUP(AP83,ggg,28,0)</f>
        <v>4.04</v>
      </c>
      <c r="Z83" s="33"/>
      <c r="AA83" s="33"/>
      <c r="AC83">
        <f>C$3*(C$1-C83)/C$2</f>
        <v>-5.3600000000000141E-2</v>
      </c>
      <c r="AD83">
        <f>D$3*(D$1-D83)/D$2</f>
        <v>0</v>
      </c>
      <c r="AE83">
        <f>E$3*(E$1-E83)/E$2</f>
        <v>-1.2988095238095247</v>
      </c>
      <c r="AF83">
        <f>F$3*(F$1-F83)/F$2</f>
        <v>-1.2068965517241428</v>
      </c>
      <c r="AG83">
        <f>G$3*(G$1-G83)/G$2</f>
        <v>-0.44999999999999968</v>
      </c>
      <c r="AH83">
        <f>H$3*(H$1-H83)/H$2</f>
        <v>0.68571428571428505</v>
      </c>
      <c r="AI83">
        <f>I$3*(I$1-I83)/I$2</f>
        <v>0</v>
      </c>
      <c r="AJ83">
        <f>(Q83-$M$1)/$M$2</f>
        <v>-1.903365</v>
      </c>
      <c r="AK83">
        <f>(J83-$Q$1)/$Q$2</f>
        <v>0.86327912040728805</v>
      </c>
      <c r="AM83" s="3">
        <f>SUM(AC83:AK83)+M83+$T$1</f>
        <v>6.9598818602989549</v>
      </c>
      <c r="AN83" s="3">
        <f>SUM(AC83:AK83)+M83+$T$1-AF83-AI83</f>
        <v>8.1667784120230973</v>
      </c>
      <c r="AP83" t="str">
        <f>A83&amp;B83</f>
        <v>45523B</v>
      </c>
      <c r="AQ83">
        <f>VLOOKUP(AP83,kut,4,0)</f>
        <v>0</v>
      </c>
      <c r="AS83" s="3">
        <f t="shared" si="4"/>
        <v>13.636322330587905</v>
      </c>
      <c r="AT83" s="3">
        <f t="shared" si="5"/>
        <v>14.843218882312048</v>
      </c>
    </row>
    <row r="84" spans="1:46" x14ac:dyDescent="0.3">
      <c r="A84" s="17">
        <v>45523</v>
      </c>
      <c r="B84" s="18" t="s">
        <v>18</v>
      </c>
      <c r="C84" s="19">
        <v>8.6575000000000006</v>
      </c>
      <c r="D84" s="19">
        <v>38.142857142857153</v>
      </c>
      <c r="E84" s="19">
        <v>27.87142857142857</v>
      </c>
      <c r="F84" s="19">
        <v>54.98</v>
      </c>
      <c r="G84" s="19">
        <v>4.04</v>
      </c>
      <c r="H84" s="19">
        <v>3.5657142857142858</v>
      </c>
      <c r="I84" s="19">
        <v>146</v>
      </c>
      <c r="J84" s="19">
        <v>10.436053469383589</v>
      </c>
      <c r="K84" s="19">
        <v>6.3139311876013442E-3</v>
      </c>
      <c r="L84" s="19">
        <v>6.5892523475816242E-2</v>
      </c>
      <c r="M84" s="19">
        <v>13.31681514441644</v>
      </c>
      <c r="N84" s="19">
        <v>2.6057290162954192E-3</v>
      </c>
      <c r="O84" s="19">
        <v>5225</v>
      </c>
      <c r="P84" s="19">
        <v>120.270043771179</v>
      </c>
      <c r="Q84" s="19">
        <v>19360.080000000002</v>
      </c>
      <c r="R84" s="19">
        <v>13.31681518302068</v>
      </c>
      <c r="S84" s="20">
        <f>SUM(AM84:AN84)/2 + (AQ84/$X$1)</f>
        <v>6.9897670315934377</v>
      </c>
      <c r="T84" s="20">
        <f>VLOOKUP(AP84,ggg,3,0)</f>
        <v>11.08</v>
      </c>
      <c r="U84" s="20">
        <f t="shared" si="3"/>
        <v>13.672951887177</v>
      </c>
      <c r="V84" s="20">
        <f>VLOOKUP(AP84,ggg,12,0)</f>
        <v>8.4700000000000006</v>
      </c>
      <c r="W84" s="20">
        <f>VLOOKUP(AP84,ggg,20,0)</f>
        <v>26.59</v>
      </c>
      <c r="X84" s="20">
        <f>VLOOKUP(AP84,ggg,32,0)</f>
        <v>3.44</v>
      </c>
      <c r="Y84" s="20">
        <f>VLOOKUP(AP84,ggg,28,0)</f>
        <v>4.04</v>
      </c>
      <c r="Z84" s="33"/>
      <c r="AA84" s="33"/>
      <c r="AC84">
        <f>C$3*(C$1-C84)/C$2</f>
        <v>-0.10150000000000006</v>
      </c>
      <c r="AD84">
        <f>D$3*(D$1-D84)/D$2</f>
        <v>0</v>
      </c>
      <c r="AE84">
        <f>E$3*(E$1-E84)/E$2</f>
        <v>-1.3845238095238077</v>
      </c>
      <c r="AF84">
        <f>F$3*(F$1-F84)/F$2</f>
        <v>0.15517241379310931</v>
      </c>
      <c r="AG84">
        <f>G$3*(G$1-G84)/G$2</f>
        <v>-0.68999999999999984</v>
      </c>
      <c r="AH84">
        <f>H$3*(H$1-H84)/H$2</f>
        <v>0.82857142857142974</v>
      </c>
      <c r="AI84">
        <f>I$3*(I$1-I84)/I$2</f>
        <v>0</v>
      </c>
      <c r="AJ84">
        <f>(Q84-$M$1)/$M$2</f>
        <v>0.35492500000000016</v>
      </c>
      <c r="AK84">
        <f>(J84-$Q$1)/$Q$2</f>
        <v>-2.4121069387671774</v>
      </c>
      <c r="AM84" s="3">
        <f>SUM(AC84:AK84)+M84+$T$1</f>
        <v>7.0673532384899929</v>
      </c>
      <c r="AN84" s="3">
        <f>SUM(AC84:AK84)+M84+$T$1-AF84-AI84</f>
        <v>6.9121808246968834</v>
      </c>
      <c r="AP84" t="str">
        <f>A84&amp;B84</f>
        <v>45523C</v>
      </c>
      <c r="AQ84">
        <f>VLOOKUP(AP84,kut,4,0)</f>
        <v>0</v>
      </c>
      <c r="AS84" s="3">
        <f t="shared" si="4"/>
        <v>13.750538094073555</v>
      </c>
      <c r="AT84" s="3">
        <f t="shared" si="5"/>
        <v>13.595365680280446</v>
      </c>
    </row>
    <row r="85" spans="1:46" x14ac:dyDescent="0.3">
      <c r="A85" s="17">
        <v>45524</v>
      </c>
      <c r="B85" s="18" t="s">
        <v>19</v>
      </c>
      <c r="C85" s="19">
        <v>8.4666666666666668</v>
      </c>
      <c r="D85" s="19">
        <v>38.833333333333343</v>
      </c>
      <c r="E85" s="19">
        <v>26.59333333333333</v>
      </c>
      <c r="F85" s="19">
        <v>54.98</v>
      </c>
      <c r="G85" s="19">
        <v>4.04</v>
      </c>
      <c r="H85" s="19">
        <v>3.436666666666667</v>
      </c>
      <c r="I85" s="19">
        <v>148.5</v>
      </c>
      <c r="J85" s="19">
        <v>6.4726133495870144</v>
      </c>
      <c r="K85" s="19">
        <v>4.1169729628379734E-3</v>
      </c>
      <c r="L85" s="19">
        <v>2.6647574159153871E-2</v>
      </c>
      <c r="M85" s="19">
        <v>13.252646523819291</v>
      </c>
      <c r="N85" s="19">
        <v>2.5866063732768599E-3</v>
      </c>
      <c r="O85" s="19">
        <v>5225</v>
      </c>
      <c r="P85" s="19">
        <v>94.51272689825494</v>
      </c>
      <c r="Q85" s="19">
        <v>12766.08</v>
      </c>
      <c r="R85" s="19">
        <v>13.241294265552231</v>
      </c>
      <c r="S85" s="35">
        <f>SUM(AM85:AN85)/2 + (AQ85/$X$1)</f>
        <v>14.486236587097377</v>
      </c>
      <c r="T85" s="35">
        <f>VLOOKUP(AP85,ggg,3,0)</f>
        <v>13.73</v>
      </c>
      <c r="U85" s="25">
        <f t="shared" si="3"/>
        <v>21.233590063278086</v>
      </c>
      <c r="V85" s="20">
        <f>VLOOKUP(AP85,ggg,12,0)</f>
        <v>8.15</v>
      </c>
      <c r="W85" s="20">
        <f>VLOOKUP(AP85,ggg,20,0)</f>
        <v>26.4</v>
      </c>
      <c r="X85" s="20">
        <f>VLOOKUP(AP85,ggg,32,0)</f>
        <v>3.34</v>
      </c>
      <c r="Y85" s="20">
        <f>VLOOKUP(AP85,ggg,28,0)</f>
        <v>4.0599999999999996</v>
      </c>
      <c r="Z85" s="33">
        <f>VLOOKUP(AP85,fff,2,0)</f>
        <v>13.72</v>
      </c>
      <c r="AA85" s="33">
        <f>VLOOKUP(AP85,fff,3,0)</f>
        <v>13.73</v>
      </c>
      <c r="AC85">
        <f>C$3*(C$1-C85)/C$2</f>
        <v>-6.3333333333333283E-2</v>
      </c>
      <c r="AD85">
        <f>D$3*(D$1-D85)/D$2</f>
        <v>0</v>
      </c>
      <c r="AE85">
        <f>E$3*(E$1-E85)/E$2</f>
        <v>-0.31944444444444109</v>
      </c>
      <c r="AF85">
        <f>F$3*(F$1-F85)/F$2</f>
        <v>0.15517241379310931</v>
      </c>
      <c r="AG85">
        <f>G$3*(G$1-G85)/G$2</f>
        <v>-0.68999999999999984</v>
      </c>
      <c r="AH85">
        <f>H$3*(H$1-H85)/H$2</f>
        <v>0.18333333333333535</v>
      </c>
      <c r="AI85">
        <f>I$3*(I$1-I85)/I$2</f>
        <v>0</v>
      </c>
      <c r="AJ85">
        <f>(Q85-$M$1)/$M$2</f>
        <v>-0.46932500000000005</v>
      </c>
      <c r="AK85">
        <f>(J85-$Q$1)/$Q$2</f>
        <v>5.5147733008259721</v>
      </c>
      <c r="AM85" s="3">
        <f>SUM(AC85:AK85)+M85+$T$1</f>
        <v>14.563822793993932</v>
      </c>
      <c r="AN85" s="3">
        <f>SUM(AC85:AK85)+M85+$T$1-AF85-AI85</f>
        <v>14.408650380200823</v>
      </c>
      <c r="AP85" t="str">
        <f>A85&amp;B85</f>
        <v>45524A</v>
      </c>
      <c r="AQ85">
        <f>VLOOKUP(AP85,kut,4,0)</f>
        <v>0</v>
      </c>
      <c r="AS85" s="3">
        <f t="shared" si="4"/>
        <v>21.311176270174641</v>
      </c>
      <c r="AT85" s="3">
        <f t="shared" si="5"/>
        <v>21.156003856381531</v>
      </c>
    </row>
    <row r="86" spans="1:46" x14ac:dyDescent="0.3">
      <c r="A86" s="17">
        <v>45524</v>
      </c>
      <c r="B86" s="18" t="s">
        <v>20</v>
      </c>
      <c r="C86" s="19">
        <v>8.1980000000000004</v>
      </c>
      <c r="D86" s="19">
        <v>38.714285714285722</v>
      </c>
      <c r="E86" s="19">
        <v>26.12285714285715</v>
      </c>
      <c r="F86" s="19">
        <v>54.44</v>
      </c>
      <c r="G86" s="19">
        <v>4.0599999999999996</v>
      </c>
      <c r="H86" s="19">
        <v>3.4</v>
      </c>
      <c r="I86" s="19">
        <v>142.57142857142861</v>
      </c>
      <c r="J86" s="19">
        <v>9.0261075997455773</v>
      </c>
      <c r="K86" s="19">
        <v>8.4356627102759232E-3</v>
      </c>
      <c r="L86" s="19">
        <v>7.6141199298111889E-2</v>
      </c>
      <c r="M86" s="19">
        <v>13.29464637005267</v>
      </c>
      <c r="N86" s="19">
        <v>2.5948204946623032E-3</v>
      </c>
      <c r="O86" s="19">
        <v>5225</v>
      </c>
      <c r="P86" s="19">
        <v>111.3464311704714</v>
      </c>
      <c r="Q86" s="19">
        <v>30765.08</v>
      </c>
      <c r="R86" s="19">
        <v>16.498684685425861</v>
      </c>
      <c r="S86" s="20">
        <f>SUM(AM86:AN86)/2 + (AQ86/$X$1)</f>
        <v>12.339103666456424</v>
      </c>
      <c r="T86" s="20">
        <f>VLOOKUP(AP86,ggg,3,0)</f>
        <v>13.62</v>
      </c>
      <c r="U86" s="20">
        <f t="shared" si="3"/>
        <v>19.044457296403753</v>
      </c>
      <c r="V86" s="20">
        <f>VLOOKUP(AP86,ggg,12,0)</f>
        <v>8.0500000000000007</v>
      </c>
      <c r="W86" s="20">
        <f>VLOOKUP(AP86,ggg,20,0)</f>
        <v>26.8</v>
      </c>
      <c r="X86" s="20">
        <f>VLOOKUP(AP86,ggg,32,0)</f>
        <v>3.27</v>
      </c>
      <c r="Y86" s="20">
        <f>VLOOKUP(AP86,ggg,28,0)</f>
        <v>3.65</v>
      </c>
      <c r="Z86" s="33"/>
      <c r="AA86" s="33"/>
      <c r="AC86">
        <f>C$3*(C$1-C86)/C$2</f>
        <v>-9.6000000000000096E-3</v>
      </c>
      <c r="AD86">
        <f>D$3*(D$1-D86)/D$2</f>
        <v>0</v>
      </c>
      <c r="AE86">
        <f>E$3*(E$1-E86)/E$2</f>
        <v>7.2619047619042476E-2</v>
      </c>
      <c r="AF86">
        <f>F$3*(F$1-F86)/F$2</f>
        <v>1.0862068965517286</v>
      </c>
      <c r="AG86">
        <f>G$3*(G$1-G86)/G$2</f>
        <v>-0.74999999999999856</v>
      </c>
      <c r="AH86">
        <f>H$3*(H$1-H86)/H$2</f>
        <v>0</v>
      </c>
      <c r="AI86">
        <f>I$3*(I$1-I86)/I$2</f>
        <v>0</v>
      </c>
      <c r="AJ86">
        <f>(Q86-$M$1)/$M$2</f>
        <v>1.7805500000000001</v>
      </c>
      <c r="AK86">
        <f>(J86-$Q$1)/$Q$2</f>
        <v>0.40778480050884625</v>
      </c>
      <c r="AM86" s="3">
        <f>SUM(AC86:AK86)+M86+$T$1</f>
        <v>12.882207114732289</v>
      </c>
      <c r="AN86" s="3">
        <f>SUM(AC86:AK86)+M86+$T$1-AF86-AI86</f>
        <v>11.796000218180559</v>
      </c>
      <c r="AP86" t="str">
        <f>A86&amp;B86</f>
        <v>45524B</v>
      </c>
      <c r="AQ86">
        <f>VLOOKUP(AP86,kut,4,0)</f>
        <v>0</v>
      </c>
      <c r="AS86" s="3">
        <f t="shared" si="4"/>
        <v>19.587560744679617</v>
      </c>
      <c r="AT86" s="3">
        <f t="shared" si="5"/>
        <v>18.501353848127888</v>
      </c>
    </row>
    <row r="87" spans="1:46" x14ac:dyDescent="0.3">
      <c r="A87" s="17">
        <v>45524</v>
      </c>
      <c r="B87" s="18" t="s">
        <v>18</v>
      </c>
      <c r="C87" s="19">
        <v>8.0499999999999989</v>
      </c>
      <c r="D87" s="19">
        <v>38.166666666666657</v>
      </c>
      <c r="E87" s="19">
        <v>26.783333333333331</v>
      </c>
      <c r="F87" s="19">
        <v>56.44</v>
      </c>
      <c r="G87" s="19">
        <v>3.65</v>
      </c>
      <c r="H87" s="19">
        <v>3.2433333333333341</v>
      </c>
      <c r="I87" s="19">
        <v>149</v>
      </c>
      <c r="J87" s="19">
        <v>9.9725815645606151</v>
      </c>
      <c r="K87" s="19">
        <v>1.8763595766833111E-3</v>
      </c>
      <c r="L87" s="19">
        <v>1.871214892291875E-2</v>
      </c>
      <c r="M87" s="19">
        <v>23.1281299457061</v>
      </c>
      <c r="N87" s="19">
        <v>4.3367414224947787</v>
      </c>
      <c r="O87" s="19">
        <v>5225</v>
      </c>
      <c r="P87" s="19">
        <v>81.383379919121921</v>
      </c>
      <c r="Q87" s="19">
        <v>7571.1600000000008</v>
      </c>
      <c r="R87" s="19">
        <v>18.92741508743082</v>
      </c>
      <c r="S87" s="20">
        <f>SUM(AM87:AN87)/2 + (AQ87/$X$1)</f>
        <v>15.582131222715148</v>
      </c>
      <c r="T87" s="20">
        <f>VLOOKUP(AP87,ggg,3,0)</f>
        <v>14.1</v>
      </c>
      <c r="U87" s="20">
        <f t="shared" si="3"/>
        <v>12.454001277009048</v>
      </c>
      <c r="V87" s="20">
        <f>VLOOKUP(AP87,ggg,12,0)</f>
        <v>8.15</v>
      </c>
      <c r="W87" s="20">
        <f>VLOOKUP(AP87,ggg,20,0)</f>
        <v>26.16</v>
      </c>
      <c r="X87" s="20">
        <f>VLOOKUP(AP87,ggg,32,0)</f>
        <v>3.25</v>
      </c>
      <c r="Y87" s="20">
        <f>VLOOKUP(AP87,ggg,28,0)</f>
        <v>3.65</v>
      </c>
      <c r="Z87" s="33"/>
      <c r="AA87" s="33"/>
      <c r="AC87">
        <f>C$3*(C$1-C87)/C$2</f>
        <v>2.0000000000000285E-2</v>
      </c>
      <c r="AD87">
        <f>D$3*(D$1-D87)/D$2</f>
        <v>0</v>
      </c>
      <c r="AE87">
        <f>E$3*(E$1-E87)/E$2</f>
        <v>-0.47777777777777553</v>
      </c>
      <c r="AF87">
        <f>F$3*(F$1-F87)/F$2</f>
        <v>-2.3620689655172371</v>
      </c>
      <c r="AG87">
        <f>G$3*(G$1-G87)/G$2</f>
        <v>0.48000000000000043</v>
      </c>
      <c r="AH87">
        <f>H$3*(H$1-H87)/H$2</f>
        <v>-0.78333333333332922</v>
      </c>
      <c r="AI87">
        <f>I$3*(I$1-I87)/I$2</f>
        <v>0</v>
      </c>
      <c r="AJ87">
        <f>(Q87-$M$1)/$M$2</f>
        <v>-1.11869</v>
      </c>
      <c r="AK87">
        <f>(J87-$Q$1)/$Q$2</f>
        <v>-1.4851631291212293</v>
      </c>
      <c r="AM87" s="3">
        <f>SUM(AC87:AK87)+M87+$T$1</f>
        <v>14.401096739956529</v>
      </c>
      <c r="AN87" s="3">
        <f>SUM(AC87:AK87)+M87+$T$1-AF87-AI87</f>
        <v>16.763165705473767</v>
      </c>
      <c r="AP87" t="str">
        <f>A87&amp;B87</f>
        <v>45524C</v>
      </c>
      <c r="AQ87">
        <f>VLOOKUP(AP87,kut,4,0)</f>
        <v>0</v>
      </c>
      <c r="AS87" s="3">
        <f t="shared" si="4"/>
        <v>11.272966794250429</v>
      </c>
      <c r="AT87" s="3">
        <f t="shared" si="5"/>
        <v>13.635035759767666</v>
      </c>
    </row>
    <row r="88" spans="1:46" x14ac:dyDescent="0.3">
      <c r="A88" s="17">
        <v>45525</v>
      </c>
      <c r="B88" s="18" t="s">
        <v>19</v>
      </c>
      <c r="C88" s="19">
        <v>8.15</v>
      </c>
      <c r="D88" s="19">
        <v>37.833333333333343</v>
      </c>
      <c r="E88" s="19">
        <v>26.158333333333331</v>
      </c>
      <c r="F88" s="19">
        <v>56.43</v>
      </c>
      <c r="G88" s="19">
        <v>3.65</v>
      </c>
      <c r="H88" s="19">
        <v>3.246666666666667</v>
      </c>
      <c r="I88" s="19">
        <v>147.33333333333329</v>
      </c>
      <c r="J88" s="19">
        <v>6.5827179589794893</v>
      </c>
      <c r="K88" s="19">
        <v>1.6939277308347369E-3</v>
      </c>
      <c r="L88" s="19">
        <v>1.1150648494979201E-2</v>
      </c>
      <c r="M88" s="19">
        <v>23.048764941891161</v>
      </c>
      <c r="N88" s="19">
        <v>1.1472832844946459</v>
      </c>
      <c r="O88" s="19">
        <v>5225</v>
      </c>
      <c r="P88" s="19">
        <v>81.332731048773553</v>
      </c>
      <c r="Q88" s="19">
        <v>4569.4799999999996</v>
      </c>
      <c r="R88" s="19">
        <v>19.61365467900459</v>
      </c>
      <c r="S88" s="35">
        <f>SUM(AM88:AN88)/2 + (AQ88/$X$1)</f>
        <v>22.433404119717629</v>
      </c>
      <c r="T88" s="35">
        <f>VLOOKUP(AP88,ggg,3,0)</f>
        <v>22.8</v>
      </c>
      <c r="U88" s="25">
        <f t="shared" si="3"/>
        <v>19.384639177826468</v>
      </c>
      <c r="V88" s="20">
        <f>VLOOKUP(AP88,ggg,12,0)</f>
        <v>7.9</v>
      </c>
      <c r="W88" s="20">
        <f>VLOOKUP(AP88,ggg,20,0)</f>
        <v>25.9</v>
      </c>
      <c r="X88" s="20">
        <f>VLOOKUP(AP88,ggg,32,0)</f>
        <v>3.32</v>
      </c>
      <c r="Y88" s="20">
        <f>VLOOKUP(AP88,ggg,28,0)</f>
        <v>3.65</v>
      </c>
      <c r="Z88" s="33">
        <f>VLOOKUP(AP88,fff,2,0)</f>
        <v>22.68</v>
      </c>
      <c r="AA88" s="33">
        <f>VLOOKUP(AP88,fff,3,0)</f>
        <v>23.05</v>
      </c>
      <c r="AC88">
        <f>C$3*(C$1-C88)/C$2</f>
        <v>0</v>
      </c>
      <c r="AD88">
        <f>D$3*(D$1-D88)/D$2</f>
        <v>0</v>
      </c>
      <c r="AE88">
        <f>E$3*(E$1-E88)/E$2</f>
        <v>4.3055555555557845E-2</v>
      </c>
      <c r="AF88">
        <f>F$3*(F$1-F88)/F$2</f>
        <v>-2.3448275862068955</v>
      </c>
      <c r="AG88">
        <f>G$3*(G$1-G88)/G$2</f>
        <v>0.48000000000000043</v>
      </c>
      <c r="AH88">
        <f>H$3*(H$1-H88)/H$2</f>
        <v>-0.76666666666666439</v>
      </c>
      <c r="AI88">
        <f>I$3*(I$1-I88)/I$2</f>
        <v>0</v>
      </c>
      <c r="AJ88">
        <f>(Q88-$M$1)/$M$2</f>
        <v>-1.4939</v>
      </c>
      <c r="AK88">
        <f>(J88-$Q$1)/$Q$2</f>
        <v>5.2945640820410222</v>
      </c>
      <c r="AM88" s="3">
        <f>SUM(AC88:AK88)+M88+$T$1</f>
        <v>21.260990326614181</v>
      </c>
      <c r="AN88" s="3">
        <f>SUM(AC88:AK88)+M88+$T$1-AF88-AI88</f>
        <v>23.605817912821077</v>
      </c>
      <c r="AP88" t="str">
        <f>A88&amp;B88</f>
        <v>45525A</v>
      </c>
      <c r="AQ88">
        <f>VLOOKUP(AP88,kut,4,0)</f>
        <v>0</v>
      </c>
      <c r="AS88" s="3">
        <f t="shared" si="4"/>
        <v>18.21222538472302</v>
      </c>
      <c r="AT88" s="3">
        <f t="shared" si="5"/>
        <v>20.557052970929917</v>
      </c>
    </row>
    <row r="89" spans="1:46" x14ac:dyDescent="0.3">
      <c r="A89" s="17">
        <v>45525</v>
      </c>
      <c r="B89" s="18" t="s">
        <v>20</v>
      </c>
      <c r="C89" s="19">
        <v>7.9249999999999998</v>
      </c>
      <c r="D89" s="19">
        <v>38.200000000000003</v>
      </c>
      <c r="E89" s="19">
        <v>25.582000000000001</v>
      </c>
      <c r="F89" s="19">
        <v>55.79</v>
      </c>
      <c r="G89" s="19">
        <v>3.65</v>
      </c>
      <c r="H89" s="19">
        <v>3.351999999999999</v>
      </c>
      <c r="I89" s="19">
        <v>145</v>
      </c>
      <c r="J89" s="19">
        <v>11.622310993163699</v>
      </c>
      <c r="K89" s="19">
        <v>2.9094549099118001E-3</v>
      </c>
      <c r="L89" s="19">
        <v>3.3814589783582032E-2</v>
      </c>
      <c r="M89" s="19">
        <v>20.626338895823981</v>
      </c>
      <c r="N89" s="19">
        <v>7.9342907893482684</v>
      </c>
      <c r="O89" s="19">
        <v>5225</v>
      </c>
      <c r="P89" s="19">
        <v>105.3862345323075</v>
      </c>
      <c r="Q89" s="19">
        <v>8715.44</v>
      </c>
      <c r="R89" s="19">
        <v>18.594758347659269</v>
      </c>
      <c r="S89" s="20">
        <f>SUM(AM89:AN89)/2 + (AQ89/$X$1)</f>
        <v>12.0537055876575</v>
      </c>
      <c r="T89" s="20">
        <f>VLOOKUP(AP89,ggg,3,0)</f>
        <v>18.84</v>
      </c>
      <c r="U89" s="20">
        <f t="shared" si="3"/>
        <v>11.427366691833519</v>
      </c>
      <c r="V89" s="20">
        <f>VLOOKUP(AP89,ggg,12,0)</f>
        <v>8.08</v>
      </c>
      <c r="W89" s="20">
        <f>VLOOKUP(AP89,ggg,20,0)</f>
        <v>26.9</v>
      </c>
      <c r="X89" s="20">
        <f>VLOOKUP(AP89,ggg,32,0)</f>
        <v>3.39</v>
      </c>
      <c r="Y89" s="20">
        <f>VLOOKUP(AP89,ggg,28,0)</f>
        <v>3.65</v>
      </c>
      <c r="Z89" s="33"/>
      <c r="AA89" s="33"/>
      <c r="AC89">
        <f>C$3*(C$1-C89)/C$2</f>
        <v>4.5000000000000109E-2</v>
      </c>
      <c r="AD89">
        <f>D$3*(D$1-D89)/D$2</f>
        <v>0</v>
      </c>
      <c r="AE89">
        <f>E$3*(E$1-E89)/E$2</f>
        <v>0.52333333333333343</v>
      </c>
      <c r="AF89">
        <f>F$3*(F$1-F89)/F$2</f>
        <v>-1.2413793103448256</v>
      </c>
      <c r="AG89">
        <f>G$3*(G$1-G89)/G$2</f>
        <v>0.48000000000000043</v>
      </c>
      <c r="AH89">
        <f>H$3*(H$1-H89)/H$2</f>
        <v>-0.24000000000000465</v>
      </c>
      <c r="AI89">
        <f>I$3*(I$1-I89)/I$2</f>
        <v>0</v>
      </c>
      <c r="AJ89">
        <f>(Q89-$M$1)/$M$2</f>
        <v>-0.97565499999999994</v>
      </c>
      <c r="AK89">
        <f>(J89-$Q$1)/$Q$2</f>
        <v>-4.784621986327398</v>
      </c>
      <c r="AM89" s="3">
        <f>SUM(AC89:AK89)+M89+$T$1</f>
        <v>11.433015932485088</v>
      </c>
      <c r="AN89" s="3">
        <f>SUM(AC89:AK89)+M89+$T$1-AF89-AI89</f>
        <v>12.674395242829913</v>
      </c>
      <c r="AP89" t="str">
        <f>A89&amp;B89</f>
        <v>45525B</v>
      </c>
      <c r="AQ89">
        <f>VLOOKUP(AP89,kut,4,0)</f>
        <v>0</v>
      </c>
      <c r="AS89" s="3">
        <f t="shared" si="4"/>
        <v>10.806677036661107</v>
      </c>
      <c r="AT89" s="3">
        <f t="shared" si="5"/>
        <v>12.048056347005932</v>
      </c>
    </row>
    <row r="90" spans="1:46" x14ac:dyDescent="0.3">
      <c r="A90" s="17">
        <v>45525</v>
      </c>
      <c r="B90" s="18" t="s">
        <v>18</v>
      </c>
      <c r="C90" s="19">
        <v>8.086666666666666</v>
      </c>
      <c r="D90" s="19">
        <v>38.4</v>
      </c>
      <c r="E90" s="19">
        <v>26.033333333333331</v>
      </c>
      <c r="F90" s="19">
        <v>55.09</v>
      </c>
      <c r="G90" s="19">
        <v>3.65</v>
      </c>
      <c r="H90" s="19">
        <v>3.3879999999999999</v>
      </c>
      <c r="I90" s="19">
        <v>142.6</v>
      </c>
      <c r="J90" s="19">
        <v>10.10217486372099</v>
      </c>
      <c r="K90" s="19">
        <v>8.9673818912667513E-3</v>
      </c>
      <c r="L90" s="19">
        <v>9.0590059935341735E-2</v>
      </c>
      <c r="M90" s="19">
        <v>15.37794368756253</v>
      </c>
      <c r="N90" s="19">
        <v>2.5832048155099122E-3</v>
      </c>
      <c r="O90" s="19">
        <v>5225</v>
      </c>
      <c r="P90" s="19">
        <v>81.196219931192715</v>
      </c>
      <c r="Q90" s="19">
        <v>29730.48</v>
      </c>
      <c r="R90" s="19">
        <v>17.649333901445509</v>
      </c>
      <c r="S90" s="20">
        <f>SUM(AM90:AN90)/2 + (AQ90/$X$1)</f>
        <v>12.847466469699096</v>
      </c>
      <c r="T90" s="20">
        <f>VLOOKUP(AP90,ggg,3,0)</f>
        <v>16.22</v>
      </c>
      <c r="U90" s="20">
        <f t="shared" si="3"/>
        <v>17.469522782136565</v>
      </c>
      <c r="V90" s="20">
        <f>VLOOKUP(AP90,ggg,12,0)</f>
        <v>8.33</v>
      </c>
      <c r="W90" s="20">
        <f>VLOOKUP(AP90,ggg,20,0)</f>
        <v>26.5</v>
      </c>
      <c r="X90" s="20">
        <f>VLOOKUP(AP90,ggg,32,0)</f>
        <v>3.45</v>
      </c>
      <c r="Y90" s="20">
        <f>VLOOKUP(AP90,ggg,28,0)</f>
        <v>3.65</v>
      </c>
      <c r="Z90" s="33"/>
      <c r="AA90" s="33"/>
      <c r="AC90">
        <f>C$3*(C$1-C90)/C$2</f>
        <v>1.2666666666666871E-2</v>
      </c>
      <c r="AD90">
        <f>D$3*(D$1-D90)/D$2</f>
        <v>0</v>
      </c>
      <c r="AE90">
        <f>E$3*(E$1-E90)/E$2</f>
        <v>0.14722222222222453</v>
      </c>
      <c r="AF90">
        <f>F$3*(F$1-F90)/F$2</f>
        <v>-3.4482758620695046E-2</v>
      </c>
      <c r="AG90">
        <f>G$3*(G$1-G90)/G$2</f>
        <v>0.48000000000000043</v>
      </c>
      <c r="AH90">
        <f>H$3*(H$1-H90)/H$2</f>
        <v>-6.000000000000006E-2</v>
      </c>
      <c r="AI90">
        <f>I$3*(I$1-I90)/I$2</f>
        <v>0</v>
      </c>
      <c r="AJ90">
        <f>(Q90-$M$1)/$M$2</f>
        <v>1.6512249999999999</v>
      </c>
      <c r="AK90">
        <f>(J90-$Q$1)/$Q$2</f>
        <v>-1.7443497274419784</v>
      </c>
      <c r="AM90" s="3">
        <f>SUM(AC90:AK90)+M90+$T$1</f>
        <v>12.830225090388748</v>
      </c>
      <c r="AN90" s="3">
        <f>SUM(AC90:AK90)+M90+$T$1-AF90-AI90</f>
        <v>12.864707849009443</v>
      </c>
      <c r="AP90" t="str">
        <f>A90&amp;B90</f>
        <v>45525C</v>
      </c>
      <c r="AQ90">
        <f>VLOOKUP(AP90,kut,4,0)</f>
        <v>0</v>
      </c>
      <c r="AS90" s="3">
        <f t="shared" si="4"/>
        <v>17.45228140282622</v>
      </c>
      <c r="AT90" s="3">
        <f t="shared" si="5"/>
        <v>17.486764161446914</v>
      </c>
    </row>
    <row r="91" spans="1:46" x14ac:dyDescent="0.3">
      <c r="A91" s="17">
        <v>45526</v>
      </c>
      <c r="B91" s="18" t="s">
        <v>19</v>
      </c>
      <c r="C91" s="19">
        <v>8.3333333333333339</v>
      </c>
      <c r="D91" s="19">
        <v>38.666666666666657</v>
      </c>
      <c r="E91" s="19">
        <v>26.5</v>
      </c>
      <c r="F91" s="19">
        <v>55.08</v>
      </c>
      <c r="G91" s="19">
        <v>3.65</v>
      </c>
      <c r="H91" s="19">
        <v>3.4533333333333331</v>
      </c>
      <c r="I91" s="19">
        <v>148.66666666666671</v>
      </c>
      <c r="J91" s="19">
        <v>8.3437362277361213</v>
      </c>
      <c r="K91" s="19">
        <v>3.7298000013672649E-3</v>
      </c>
      <c r="L91" s="19">
        <v>3.1120467393618279E-2</v>
      </c>
      <c r="M91" s="19">
        <v>13.22072403242084</v>
      </c>
      <c r="N91" s="19">
        <v>2.58177013477255E-3</v>
      </c>
      <c r="O91" s="19">
        <v>5225</v>
      </c>
      <c r="P91" s="19">
        <v>81.646668054126224</v>
      </c>
      <c r="Q91" s="19">
        <v>5262.72</v>
      </c>
      <c r="R91" s="19">
        <v>13.69728600108683</v>
      </c>
      <c r="S91" s="25">
        <f>SUM(AM91:AN91)/2 + (AQ91/$X$1)</f>
        <v>11.045719220626761</v>
      </c>
      <c r="T91" s="25">
        <f>VLOOKUP(AP91,ggg,3,0)</f>
        <v>21.37</v>
      </c>
      <c r="U91" s="20">
        <f t="shared" si="3"/>
        <v>17.824995188205921</v>
      </c>
      <c r="V91" s="20">
        <f>VLOOKUP(AP91,ggg,12,0)</f>
        <v>7.85</v>
      </c>
      <c r="W91" s="20">
        <f>VLOOKUP(AP91,ggg,20,0)</f>
        <v>25</v>
      </c>
      <c r="X91" s="20">
        <f>VLOOKUP(AP91,ggg,32,0)</f>
        <v>3.37</v>
      </c>
      <c r="Y91" s="20">
        <f>VLOOKUP(AP91,ggg,28,0)</f>
        <v>3.65</v>
      </c>
      <c r="Z91" s="33">
        <f>VLOOKUP(AP91,fff,2,0)</f>
        <v>17.88</v>
      </c>
      <c r="AA91" s="33">
        <f>VLOOKUP(AP91,fff,3,0)</f>
        <v>20.72</v>
      </c>
      <c r="AC91">
        <f>C$3*(C$1-C91)/C$2</f>
        <v>-3.6666666666666715E-2</v>
      </c>
      <c r="AD91">
        <f>D$3*(D$1-D91)/D$2</f>
        <v>0</v>
      </c>
      <c r="AE91">
        <f>E$3*(E$1-E91)/E$2</f>
        <v>-0.24166666666666597</v>
      </c>
      <c r="AF91">
        <f>F$3*(F$1-F91)/F$2</f>
        <v>-1.72413793103414E-2</v>
      </c>
      <c r="AG91">
        <f>G$3*(G$1-G91)/G$2</f>
        <v>0.48000000000000043</v>
      </c>
      <c r="AH91">
        <f>H$3*(H$1-H91)/H$2</f>
        <v>0.26666666666666616</v>
      </c>
      <c r="AI91">
        <f>I$3*(I$1-I91)/I$2</f>
        <v>0</v>
      </c>
      <c r="AJ91">
        <f>(Q91-$M$1)/$M$2</f>
        <v>-1.4072449999999999</v>
      </c>
      <c r="AK91">
        <f>(J91-$Q$1)/$Q$2</f>
        <v>1.7725275445277582</v>
      </c>
      <c r="AM91" s="3">
        <f>SUM(AC91:AK91)+M91+$T$1</f>
        <v>11.037098530971591</v>
      </c>
      <c r="AN91" s="3">
        <f>SUM(AC91:AK91)+M91+$T$1-AF91-AI91</f>
        <v>11.054339910281932</v>
      </c>
      <c r="AP91" t="str">
        <f>A91&amp;B91</f>
        <v>45526A</v>
      </c>
      <c r="AQ91">
        <f>VLOOKUP(AP91,kut,4,0)</f>
        <v>0</v>
      </c>
      <c r="AS91" s="3">
        <f t="shared" si="4"/>
        <v>17.816374498550751</v>
      </c>
      <c r="AT91" s="3">
        <f t="shared" si="5"/>
        <v>17.833615877861092</v>
      </c>
    </row>
    <row r="92" spans="1:46" x14ac:dyDescent="0.3">
      <c r="A92" s="17">
        <v>45526</v>
      </c>
      <c r="B92" s="18" t="s">
        <v>20</v>
      </c>
      <c r="C92" s="19">
        <v>7.9124999999999996</v>
      </c>
      <c r="D92" s="19">
        <v>38.75</v>
      </c>
      <c r="E92" s="19">
        <v>25</v>
      </c>
      <c r="F92" s="19">
        <v>55.08</v>
      </c>
      <c r="G92" s="19">
        <v>3.65</v>
      </c>
      <c r="H92" s="19">
        <v>3.38</v>
      </c>
      <c r="I92" s="19">
        <v>145.5</v>
      </c>
      <c r="J92" s="19">
        <v>8.2222470909462846</v>
      </c>
      <c r="K92" s="19">
        <v>2.3433587234429208E-3</v>
      </c>
      <c r="L92" s="19">
        <v>1.9267674446872159E-2</v>
      </c>
      <c r="M92" s="19">
        <v>17.87760471191589</v>
      </c>
      <c r="N92" s="19">
        <v>2.5832053303796688E-3</v>
      </c>
      <c r="O92" s="19">
        <v>5225</v>
      </c>
      <c r="P92" s="19">
        <v>81.234872932478268</v>
      </c>
      <c r="Q92" s="19">
        <v>6499.16</v>
      </c>
      <c r="R92" s="19">
        <v>19.47947548397477</v>
      </c>
      <c r="S92" s="20">
        <f>SUM(AM92:AN92)/2 + (AQ92/$X$1)</f>
        <v>17.067633173701484</v>
      </c>
      <c r="T92" s="20">
        <f>VLOOKUP(AP92,ggg,3,0)</f>
        <v>18.79</v>
      </c>
      <c r="U92" s="20">
        <f t="shared" si="3"/>
        <v>19.190028461785595</v>
      </c>
      <c r="V92" s="20">
        <f>VLOOKUP(AP92,ggg,12,0)</f>
        <v>7.98</v>
      </c>
      <c r="W92" s="20">
        <f>VLOOKUP(AP92,ggg,20,0)</f>
        <v>27.9</v>
      </c>
      <c r="X92" s="20">
        <f>VLOOKUP(AP92,ggg,32,0)</f>
        <v>3.42</v>
      </c>
      <c r="Y92" s="20">
        <f>VLOOKUP(AP92,ggg,28,0)</f>
        <v>3.84</v>
      </c>
      <c r="Z92" s="33"/>
      <c r="AA92" s="33"/>
      <c r="AC92">
        <f>C$3*(C$1-C92)/C$2</f>
        <v>4.7500000000000146E-2</v>
      </c>
      <c r="AD92">
        <f>D$3*(D$1-D92)/D$2</f>
        <v>0</v>
      </c>
      <c r="AE92">
        <f>E$3*(E$1-E92)/E$2</f>
        <v>1.0083333333333342</v>
      </c>
      <c r="AF92">
        <f>F$3*(F$1-F92)/F$2</f>
        <v>-1.72413793103414E-2</v>
      </c>
      <c r="AG92">
        <f>G$3*(G$1-G92)/G$2</f>
        <v>0.48000000000000043</v>
      </c>
      <c r="AH92">
        <f>H$3*(H$1-H92)/H$2</f>
        <v>-0.10000000000000009</v>
      </c>
      <c r="AI92">
        <f>I$3*(I$1-I92)/I$2</f>
        <v>0</v>
      </c>
      <c r="AJ92">
        <f>(Q92-$M$1)/$M$2</f>
        <v>-1.2526900000000001</v>
      </c>
      <c r="AK92">
        <f>(J92-$Q$1)/$Q$2</f>
        <v>2.0155058181074317</v>
      </c>
      <c r="AM92" s="3">
        <f>SUM(AC92:AK92)+M92+$T$1</f>
        <v>17.059012484046313</v>
      </c>
      <c r="AN92" s="3">
        <f>SUM(AC92:AK92)+M92+$T$1-AF92-AI92</f>
        <v>17.076253863356655</v>
      </c>
      <c r="AP92" t="str">
        <f>A92&amp;B92</f>
        <v>45526B</v>
      </c>
      <c r="AQ92">
        <f>VLOOKUP(AP92,kut,4,0)</f>
        <v>0</v>
      </c>
      <c r="AS92" s="3">
        <f t="shared" si="4"/>
        <v>19.181407772130424</v>
      </c>
      <c r="AT92" s="3">
        <f t="shared" si="5"/>
        <v>19.198649151440765</v>
      </c>
    </row>
    <row r="93" spans="1:46" x14ac:dyDescent="0.3">
      <c r="A93" s="17">
        <v>45526</v>
      </c>
      <c r="B93" s="18" t="s">
        <v>18</v>
      </c>
      <c r="C93" s="19">
        <v>8.07</v>
      </c>
      <c r="D93" s="19">
        <v>37.666666666666657</v>
      </c>
      <c r="E93" s="19">
        <v>26.233333333333331</v>
      </c>
      <c r="F93" s="19">
        <v>55.45333333333334</v>
      </c>
      <c r="G93" s="19">
        <v>3.8450000000000002</v>
      </c>
      <c r="H93" s="19">
        <v>3.5066666666666659</v>
      </c>
      <c r="I93" s="19">
        <v>143</v>
      </c>
      <c r="J93" s="19">
        <v>11.164041483129029</v>
      </c>
      <c r="K93" s="19">
        <v>1.1479230034270239E-2</v>
      </c>
      <c r="L93" s="19">
        <v>0.1281546002969737</v>
      </c>
      <c r="M93" s="19">
        <v>15.531383566983131</v>
      </c>
      <c r="N93" s="19">
        <v>2.5971392376256631E-3</v>
      </c>
      <c r="O93" s="19">
        <v>5225</v>
      </c>
      <c r="P93" s="19">
        <v>113.5238384551314</v>
      </c>
      <c r="Q93" s="19">
        <v>41254.76</v>
      </c>
      <c r="R93" s="19">
        <v>16.313391812202241</v>
      </c>
      <c r="S93" s="20">
        <f>SUM(AM93:AN93)/2 + (AQ93/$X$1)</f>
        <v>11.849489719499012</v>
      </c>
      <c r="T93" s="20">
        <f>VLOOKUP(AP93,ggg,3,0)</f>
        <v>16.95</v>
      </c>
      <c r="U93" s="20">
        <f t="shared" si="3"/>
        <v>16.318106152515885</v>
      </c>
      <c r="V93" s="20">
        <f>VLOOKUP(AP93,ggg,12,0)</f>
        <v>8.5500000000000007</v>
      </c>
      <c r="W93" s="20">
        <f>VLOOKUP(AP93,ggg,20,0)</f>
        <v>25.61</v>
      </c>
      <c r="X93" s="20">
        <f>VLOOKUP(AP93,ggg,32,0)</f>
        <v>3.59</v>
      </c>
      <c r="Y93" s="20">
        <f>VLOOKUP(AP93,ggg,28,0)</f>
        <v>3.84</v>
      </c>
      <c r="Z93" s="33"/>
      <c r="AA93" s="33"/>
      <c r="AC93">
        <f>C$3*(C$1-C93)/C$2</f>
        <v>1.6000000000000014E-2</v>
      </c>
      <c r="AD93">
        <f>D$3*(D$1-D93)/D$2</f>
        <v>0</v>
      </c>
      <c r="AE93">
        <f>E$3*(E$1-E93)/E$2</f>
        <v>-1.9444444444441565E-2</v>
      </c>
      <c r="AF93">
        <f>F$3*(F$1-F93)/F$2</f>
        <v>-0.66091954022989641</v>
      </c>
      <c r="AG93">
        <f>G$3*(G$1-G93)/G$2</f>
        <v>-0.10500000000000041</v>
      </c>
      <c r="AH93">
        <f>H$3*(H$1-H93)/H$2</f>
        <v>0.53333333333333011</v>
      </c>
      <c r="AI93">
        <f>I$3*(I$1-I93)/I$2</f>
        <v>0</v>
      </c>
      <c r="AJ93">
        <f>(Q93-$M$1)/$M$2</f>
        <v>3.0917600000000003</v>
      </c>
      <c r="AK93">
        <f>(J93-$Q$1)/$Q$2</f>
        <v>-3.8680829662580578</v>
      </c>
      <c r="AM93" s="3">
        <f>SUM(AC93:AK93)+M93+$T$1</f>
        <v>11.519029949384064</v>
      </c>
      <c r="AN93" s="3">
        <f>SUM(AC93:AK93)+M93+$T$1-AF93-AI93</f>
        <v>12.179949489613961</v>
      </c>
      <c r="AP93" t="str">
        <f>A93&amp;B93</f>
        <v>45526C</v>
      </c>
      <c r="AQ93">
        <f>VLOOKUP(AP93,kut,4,0)</f>
        <v>0</v>
      </c>
      <c r="AS93" s="3">
        <f t="shared" si="4"/>
        <v>15.987646382400936</v>
      </c>
      <c r="AT93" s="3">
        <f t="shared" si="5"/>
        <v>16.648565922630834</v>
      </c>
    </row>
    <row r="94" spans="1:46" x14ac:dyDescent="0.3">
      <c r="A94" s="17">
        <v>45530</v>
      </c>
      <c r="B94" s="18" t="s">
        <v>19</v>
      </c>
      <c r="C94" s="19">
        <v>8.5500000000000007</v>
      </c>
      <c r="D94" s="19">
        <v>38.666666666666657</v>
      </c>
      <c r="E94" s="19">
        <v>25.61</v>
      </c>
      <c r="F94" s="19">
        <v>55.24</v>
      </c>
      <c r="G94" s="19">
        <v>3.84</v>
      </c>
      <c r="H94" s="19">
        <v>3.586666666666666</v>
      </c>
      <c r="I94" s="19">
        <v>147.33333333333329</v>
      </c>
      <c r="J94" s="19">
        <v>6.9524741128099539</v>
      </c>
      <c r="K94" s="19">
        <v>5.5308730113705256E-3</v>
      </c>
      <c r="L94" s="19">
        <v>3.8453251432792823E-2</v>
      </c>
      <c r="M94" s="19">
        <v>13.27378218910003</v>
      </c>
      <c r="N94" s="19">
        <v>0.38689338544139568</v>
      </c>
      <c r="O94" s="19">
        <v>5225</v>
      </c>
      <c r="P94" s="19">
        <v>102.61268762990051</v>
      </c>
      <c r="Q94" s="19">
        <v>17853.96</v>
      </c>
      <c r="R94" s="19">
        <v>13.26385753974184</v>
      </c>
      <c r="S94" s="35">
        <f>SUM(AM94:AN94)/2 + (AQ94/$X$1)</f>
        <v>16.675048322675526</v>
      </c>
      <c r="T94" s="35">
        <f>VLOOKUP(AP94,ggg,3,0)</f>
        <v>17.36</v>
      </c>
      <c r="U94" s="20">
        <f t="shared" si="3"/>
        <v>23.401266133575493</v>
      </c>
      <c r="V94" s="20">
        <f>VLOOKUP(AP94,ggg,12,0)</f>
        <v>9.1</v>
      </c>
      <c r="W94" s="20">
        <f>VLOOKUP(AP94,ggg,20,0)</f>
        <v>28.8</v>
      </c>
      <c r="X94" s="20">
        <f>VLOOKUP(AP94,ggg,32,0)</f>
        <v>3.7</v>
      </c>
      <c r="Y94" s="20">
        <f>VLOOKUP(AP94,ggg,28,0)</f>
        <v>3.75</v>
      </c>
      <c r="Z94" s="33">
        <f>VLOOKUP(AP94,fff,2,0)</f>
        <v>18.989999999999998</v>
      </c>
      <c r="AA94" s="33">
        <f>VLOOKUP(AP94,fff,3,0)</f>
        <v>17.43</v>
      </c>
      <c r="AC94">
        <f>C$3*(C$1-C94)/C$2</f>
        <v>-8.0000000000000071E-2</v>
      </c>
      <c r="AD94">
        <f>D$3*(D$1-D94)/D$2</f>
        <v>0</v>
      </c>
      <c r="AE94">
        <f>E$3*(E$1-E94)/E$2</f>
        <v>0.50000000000000122</v>
      </c>
      <c r="AF94">
        <f>F$3*(F$1-F94)/F$2</f>
        <v>-0.29310344827586499</v>
      </c>
      <c r="AG94">
        <f>G$3*(G$1-G94)/G$2</f>
        <v>-8.99999999999994E-2</v>
      </c>
      <c r="AH94">
        <f>H$3*(H$1-H94)/H$2</f>
        <v>0.93333333333333046</v>
      </c>
      <c r="AI94">
        <f>I$3*(I$1-I94)/I$2</f>
        <v>0</v>
      </c>
      <c r="AJ94">
        <f>(Q94-$M$1)/$M$2</f>
        <v>0.16665999999999986</v>
      </c>
      <c r="AK94">
        <f>(J94-$Q$1)/$Q$2</f>
        <v>4.5550517743800931</v>
      </c>
      <c r="AM94" s="3">
        <f>SUM(AC94:AK94)+M94+$T$1</f>
        <v>15.965723848537593</v>
      </c>
      <c r="AN94" s="3">
        <f>SUM(AC94:AK94)+M94+$T$1-AF94-AI94</f>
        <v>16.258827296813458</v>
      </c>
      <c r="AP94" t="str">
        <f>A94&amp;B94</f>
        <v>45530A</v>
      </c>
      <c r="AQ94">
        <f>VLOOKUP(AP94,kut,4,0)</f>
        <v>4502.1820000000007</v>
      </c>
      <c r="AS94" s="3">
        <f t="shared" si="4"/>
        <v>22.69194165943756</v>
      </c>
      <c r="AT94" s="3">
        <f t="shared" si="5"/>
        <v>22.985045107713425</v>
      </c>
    </row>
    <row r="95" spans="1:46" x14ac:dyDescent="0.3">
      <c r="A95" s="17">
        <v>45530</v>
      </c>
      <c r="B95" s="18" t="s">
        <v>20</v>
      </c>
      <c r="C95" s="19">
        <v>8.548</v>
      </c>
      <c r="D95" s="19">
        <v>38.666666666666657</v>
      </c>
      <c r="E95" s="19">
        <v>26.535</v>
      </c>
      <c r="F95" s="19">
        <v>56.12</v>
      </c>
      <c r="G95" s="19">
        <v>3.75</v>
      </c>
      <c r="H95" s="19">
        <v>3.5783333333333331</v>
      </c>
      <c r="I95" s="19">
        <v>133.66666666666671</v>
      </c>
      <c r="J95" s="19">
        <v>10.14654040753889</v>
      </c>
      <c r="K95" s="19">
        <v>4.4453492004987191E-4</v>
      </c>
      <c r="L95" s="19">
        <v>4.5104915288480974E-3</v>
      </c>
      <c r="M95" s="19">
        <v>13.339704236628251</v>
      </c>
      <c r="N95" s="19">
        <v>8.9834115034611042</v>
      </c>
      <c r="O95" s="19">
        <v>5225</v>
      </c>
      <c r="P95" s="19">
        <v>120.4767653530422</v>
      </c>
      <c r="Q95" s="19">
        <v>1250.2</v>
      </c>
      <c r="R95" s="19">
        <v>13.33970436711442</v>
      </c>
      <c r="S95" s="20">
        <f>SUM(AM95:AN95)/2 + (AQ95/$X$1)</f>
        <v>7.4920635910907052</v>
      </c>
      <c r="T95" s="20">
        <f>VLOOKUP(AP95,ggg,3,0)</f>
        <v>9.7100000000000009</v>
      </c>
      <c r="U95" s="20">
        <f t="shared" si="3"/>
        <v>14.152359354462455</v>
      </c>
      <c r="V95" s="20">
        <f>VLOOKUP(AP95,ggg,12,0)</f>
        <v>8.61</v>
      </c>
      <c r="W95" s="20">
        <f>VLOOKUP(AP95,ggg,20,0)</f>
        <v>25.5</v>
      </c>
      <c r="X95" s="20">
        <f>VLOOKUP(AP95,ggg,32,0)</f>
        <v>3.66</v>
      </c>
      <c r="Y95" s="20">
        <f>VLOOKUP(AP95,ggg,28,0)</f>
        <v>4.29</v>
      </c>
      <c r="Z95" s="33"/>
      <c r="AA95" s="33"/>
      <c r="AC95">
        <f>C$3*(C$1-C95)/C$2</f>
        <v>-7.9599999999999949E-2</v>
      </c>
      <c r="AD95">
        <f>D$3*(D$1-D95)/D$2</f>
        <v>0</v>
      </c>
      <c r="AE95">
        <f>E$3*(E$1-E95)/E$2</f>
        <v>-0.27083333333333276</v>
      </c>
      <c r="AF95">
        <f>F$3*(F$1-F95)/F$2</f>
        <v>-1.810344827586202</v>
      </c>
      <c r="AG95">
        <f>G$3*(G$1-G95)/G$2</f>
        <v>0.18000000000000016</v>
      </c>
      <c r="AH95">
        <f>H$3*(H$1-H95)/H$2</f>
        <v>0.89166666666666616</v>
      </c>
      <c r="AI95">
        <f>I$3*(I$1-I95)/I$2</f>
        <v>0</v>
      </c>
      <c r="AJ95">
        <f>(Q95-$M$1)/$M$2</f>
        <v>-1.9088099999999999</v>
      </c>
      <c r="AK95">
        <f>(J95-$Q$1)/$Q$2</f>
        <v>-1.8330808150777784</v>
      </c>
      <c r="AM95" s="3">
        <f>SUM(AC95:AK95)+M95+$T$1</f>
        <v>5.5087019272976043</v>
      </c>
      <c r="AN95" s="3">
        <f>SUM(AC95:AK95)+M95+$T$1-AF95-AI95</f>
        <v>7.3190467548838063</v>
      </c>
      <c r="AP95" t="str">
        <f>A95&amp;B95</f>
        <v>45530B</v>
      </c>
      <c r="AQ95">
        <f>VLOOKUP(AP95,kut,4,0)</f>
        <v>8625.5139999999992</v>
      </c>
      <c r="AS95" s="3">
        <f t="shared" si="4"/>
        <v>12.168997690669354</v>
      </c>
      <c r="AT95" s="3">
        <f t="shared" si="5"/>
        <v>13.979342518255557</v>
      </c>
    </row>
    <row r="96" spans="1:46" x14ac:dyDescent="0.3">
      <c r="A96" s="17">
        <v>45530</v>
      </c>
      <c r="B96" s="18" t="s">
        <v>18</v>
      </c>
      <c r="C96" s="19">
        <v>8.7700000000000014</v>
      </c>
      <c r="D96" s="19">
        <v>38.5</v>
      </c>
      <c r="E96" s="19">
        <v>27.333333333333329</v>
      </c>
      <c r="F96" s="19">
        <v>56.47</v>
      </c>
      <c r="G96" s="19">
        <v>4.29</v>
      </c>
      <c r="H96" s="19">
        <v>3.6933333333333329</v>
      </c>
      <c r="I96" s="19">
        <v>143</v>
      </c>
      <c r="J96" s="19">
        <v>10.40971356935877</v>
      </c>
      <c r="K96" s="19">
        <v>4.9215894991794986E-3</v>
      </c>
      <c r="L96" s="19">
        <v>5.1232336992422488E-2</v>
      </c>
      <c r="M96" s="19">
        <v>13.334274511576609</v>
      </c>
      <c r="N96" s="19">
        <v>6.8529287213482064</v>
      </c>
      <c r="O96" s="19">
        <v>5225</v>
      </c>
      <c r="P96" s="19">
        <v>120.4277256488115</v>
      </c>
      <c r="Q96" s="19">
        <v>17450.400000000001</v>
      </c>
      <c r="R96" s="19">
        <v>13.31701195167204</v>
      </c>
      <c r="S96" s="20">
        <f>SUM(AM96:AN96)/2 + (AQ96/$X$1)</f>
        <v>6.6527206266904919</v>
      </c>
      <c r="T96" s="20">
        <f>VLOOKUP(AP96,ggg,3,0)</f>
        <v>9.23</v>
      </c>
      <c r="U96" s="20">
        <f t="shared" si="3"/>
        <v>13.318446115113883</v>
      </c>
      <c r="V96" s="20">
        <f>VLOOKUP(AP96,ggg,12,0)</f>
        <v>8.5</v>
      </c>
      <c r="W96" s="20">
        <f>VLOOKUP(AP96,ggg,20,0)</f>
        <v>25.75</v>
      </c>
      <c r="X96" s="20">
        <f>VLOOKUP(AP96,ggg,32,0)</f>
        <v>3.58</v>
      </c>
      <c r="Y96" s="20">
        <f>VLOOKUP(AP96,ggg,28,0)</f>
        <v>4.29</v>
      </c>
      <c r="Z96" s="33"/>
      <c r="AA96" s="33"/>
      <c r="AC96">
        <f>C$3*(C$1-C96)/C$2</f>
        <v>-0.12400000000000021</v>
      </c>
      <c r="AD96">
        <f>D$3*(D$1-D96)/D$2</f>
        <v>0</v>
      </c>
      <c r="AE96">
        <f>E$3*(E$1-E96)/E$2</f>
        <v>-0.93611111111110645</v>
      </c>
      <c r="AF96">
        <f>F$3*(F$1-F96)/F$2</f>
        <v>-2.4137931034482736</v>
      </c>
      <c r="AG96">
        <f>G$3*(G$1-G96)/G$2</f>
        <v>-1.4399999999999997</v>
      </c>
      <c r="AH96">
        <f>H$3*(H$1-H96)/H$2</f>
        <v>1.466666666666665</v>
      </c>
      <c r="AI96">
        <f>I$3*(I$1-I96)/I$2</f>
        <v>0</v>
      </c>
      <c r="AJ96">
        <f>(Q96-$M$1)/$M$2</f>
        <v>0.11621500000000015</v>
      </c>
      <c r="AK96">
        <f>(J96-$Q$1)/$Q$2</f>
        <v>-2.359427138717539</v>
      </c>
      <c r="AM96" s="3">
        <f>SUM(AC96:AK96)+M96+$T$1</f>
        <v>4.6438248249663552</v>
      </c>
      <c r="AN96" s="3">
        <f>SUM(AC96:AK96)+M96+$T$1-AF96-AI96</f>
        <v>7.0576179284146292</v>
      </c>
      <c r="AP96" t="str">
        <f>A96&amp;B96</f>
        <v>45530C</v>
      </c>
      <c r="AQ96">
        <f>VLOOKUP(AP96,kut,4,0)</f>
        <v>6415.9939999999988</v>
      </c>
      <c r="AS96" s="3">
        <f t="shared" si="4"/>
        <v>11.309550313389746</v>
      </c>
      <c r="AT96" s="3">
        <f t="shared" si="5"/>
        <v>13.72334341683802</v>
      </c>
    </row>
    <row r="97" spans="1:46" x14ac:dyDescent="0.3">
      <c r="A97" s="17">
        <v>45531</v>
      </c>
      <c r="B97" s="18" t="s">
        <v>19</v>
      </c>
      <c r="C97" s="19">
        <v>8.5</v>
      </c>
      <c r="D97" s="19">
        <v>38.333333333333343</v>
      </c>
      <c r="E97" s="19">
        <v>25.75333333333333</v>
      </c>
      <c r="F97" s="19">
        <v>56.46</v>
      </c>
      <c r="G97" s="19">
        <v>4.29</v>
      </c>
      <c r="H97" s="19">
        <v>3.583333333333333</v>
      </c>
      <c r="I97" s="19">
        <v>144.83333333333329</v>
      </c>
      <c r="J97" s="19">
        <v>8.6528920092482942</v>
      </c>
      <c r="K97" s="19">
        <v>9.2048380774260134E-3</v>
      </c>
      <c r="L97" s="19">
        <v>7.9648469846583983E-2</v>
      </c>
      <c r="M97" s="19">
        <v>13.317352959262269</v>
      </c>
      <c r="N97" s="19">
        <v>0.21336274711676609</v>
      </c>
      <c r="O97" s="19">
        <v>5225</v>
      </c>
      <c r="P97" s="19">
        <v>120.2748951735079</v>
      </c>
      <c r="Q97" s="19">
        <v>26835.72</v>
      </c>
      <c r="R97" s="19">
        <v>13.31681539450449</v>
      </c>
      <c r="S97" s="35">
        <f>SUM(AM97:AN97)/2 + (AQ97/$X$1)</f>
        <v>12.672636550918941</v>
      </c>
      <c r="T97" s="35">
        <f>VLOOKUP(AP97,ggg,3,0)</f>
        <v>16.239999999999998</v>
      </c>
      <c r="U97" s="20">
        <f t="shared" si="3"/>
        <v>19.355283591656672</v>
      </c>
      <c r="V97" s="20">
        <f>VLOOKUP(AP97,ggg,12,0)</f>
        <v>8.5</v>
      </c>
      <c r="W97" s="20">
        <f>VLOOKUP(AP97,ggg,20,0)</f>
        <v>26.43</v>
      </c>
      <c r="X97" s="20">
        <f>VLOOKUP(AP97,ggg,32,0)</f>
        <v>3.29</v>
      </c>
      <c r="Y97" s="20">
        <f>VLOOKUP(AP97,ggg,28,0)</f>
        <v>4.29</v>
      </c>
      <c r="Z97" s="33">
        <f>VLOOKUP(AP97,fff,2,0)</f>
        <v>15.34</v>
      </c>
      <c r="AA97" s="33">
        <f>VLOOKUP(AP97,fff,3,0)</f>
        <v>16.5</v>
      </c>
      <c r="AC97">
        <f>C$3*(C$1-C97)/C$2</f>
        <v>-6.9999999999999937E-2</v>
      </c>
      <c r="AD97">
        <f>D$3*(D$1-D97)/D$2</f>
        <v>0</v>
      </c>
      <c r="AE97">
        <f>E$3*(E$1-E97)/E$2</f>
        <v>0.38055555555555881</v>
      </c>
      <c r="AF97">
        <f>F$3*(F$1-F97)/F$2</f>
        <v>-2.3965517241379319</v>
      </c>
      <c r="AG97">
        <f>G$3*(G$1-G97)/G$2</f>
        <v>-1.4399999999999997</v>
      </c>
      <c r="AH97">
        <f>H$3*(H$1-H97)/H$2</f>
        <v>0.91666666666666563</v>
      </c>
      <c r="AI97">
        <f>I$3*(I$1-I97)/I$2</f>
        <v>0</v>
      </c>
      <c r="AJ97">
        <f>(Q97-$M$1)/$M$2</f>
        <v>1.2893800000000002</v>
      </c>
      <c r="AK97">
        <f>(J97-$Q$1)/$Q$2</f>
        <v>1.1542159815034125</v>
      </c>
      <c r="AM97" s="3">
        <f>SUM(AC97:AK97)+M97+$T$1</f>
        <v>10.151619438849975</v>
      </c>
      <c r="AN97" s="3">
        <f>SUM(AC97:AK97)+M97+$T$1-AF97-AI97</f>
        <v>12.548171162987908</v>
      </c>
      <c r="AP97" t="str">
        <f>A97&amp;B97</f>
        <v>45531A</v>
      </c>
      <c r="AQ97">
        <f>VLOOKUP(AP97,kut,4,0)</f>
        <v>10581.929999999998</v>
      </c>
      <c r="AS97" s="3">
        <f t="shared" si="4"/>
        <v>16.834266479587704</v>
      </c>
      <c r="AT97" s="3">
        <f t="shared" si="5"/>
        <v>19.230818203725637</v>
      </c>
    </row>
    <row r="98" spans="1:46" x14ac:dyDescent="0.3">
      <c r="A98" s="17">
        <v>45531</v>
      </c>
      <c r="B98" s="18" t="s">
        <v>20</v>
      </c>
      <c r="C98" s="19">
        <v>8.4160000000000004</v>
      </c>
      <c r="D98" s="19">
        <v>37.333333333333343</v>
      </c>
      <c r="E98" s="19">
        <v>25.51</v>
      </c>
      <c r="F98" s="19">
        <v>57.09</v>
      </c>
      <c r="G98" s="19">
        <v>4.29</v>
      </c>
      <c r="H98" s="19">
        <v>3.3666666666666671</v>
      </c>
      <c r="I98" s="19">
        <v>136.33333333333329</v>
      </c>
      <c r="J98" s="19">
        <v>10.109163054529541</v>
      </c>
      <c r="K98" s="19">
        <v>5.145335148023393E-3</v>
      </c>
      <c r="L98" s="19">
        <v>5.2015031981570377E-2</v>
      </c>
      <c r="M98" s="19">
        <v>15.42157179000294</v>
      </c>
      <c r="N98" s="19">
        <v>7.0401184423675716</v>
      </c>
      <c r="O98" s="19">
        <v>5225</v>
      </c>
      <c r="P98" s="19">
        <v>120.47990851709871</v>
      </c>
      <c r="Q98" s="19">
        <v>16166.48</v>
      </c>
      <c r="R98" s="19">
        <v>13.316842538836131</v>
      </c>
      <c r="S98" s="20">
        <f>SUM(AM98:AN98)/2 + (AQ98/$X$1)</f>
        <v>9.1968341622656986</v>
      </c>
      <c r="T98" s="20">
        <f>VLOOKUP(AP98,ggg,3,0)</f>
        <v>14.24</v>
      </c>
      <c r="U98" s="20">
        <f t="shared" si="3"/>
        <v>13.775262372262757</v>
      </c>
      <c r="V98" s="20">
        <f>VLOOKUP(AP98,ggg,12,0)</f>
        <v>8.4600000000000009</v>
      </c>
      <c r="W98" s="20">
        <f>VLOOKUP(AP98,ggg,20,0)</f>
        <v>27.3</v>
      </c>
      <c r="X98" s="20">
        <f>VLOOKUP(AP98,ggg,32,0)</f>
        <v>3.4</v>
      </c>
      <c r="Y98" s="20">
        <f>VLOOKUP(AP98,ggg,28,0)</f>
        <v>4.29</v>
      </c>
      <c r="Z98" s="33"/>
      <c r="AA98" s="33"/>
      <c r="AC98">
        <f>C$3*(C$1-C98)/C$2</f>
        <v>-5.3200000000000004E-2</v>
      </c>
      <c r="AD98">
        <f>D$3*(D$1-D98)/D$2</f>
        <v>0</v>
      </c>
      <c r="AE98">
        <f>E$3*(E$1-E98)/E$2</f>
        <v>0.58333333333333282</v>
      </c>
      <c r="AF98">
        <f>F$3*(F$1-F98)/F$2</f>
        <v>-3.4827586206896606</v>
      </c>
      <c r="AG98">
        <f>G$3*(G$1-G98)/G$2</f>
        <v>-1.4399999999999997</v>
      </c>
      <c r="AH98">
        <f>H$3*(H$1-H98)/H$2</f>
        <v>-0.16666666666666385</v>
      </c>
      <c r="AI98">
        <f>I$3*(I$1-I98)/I$2</f>
        <v>0</v>
      </c>
      <c r="AJ98">
        <f>(Q98-$M$1)/$M$2</f>
        <v>-4.4275000000000092E-2</v>
      </c>
      <c r="AK98">
        <f>(J98-$Q$1)/$Q$2</f>
        <v>-1.7583261090590803</v>
      </c>
      <c r="AM98" s="3">
        <f>SUM(AC98:AK98)+M98+$T$1</f>
        <v>6.0596787269208683</v>
      </c>
      <c r="AN98" s="3">
        <f>SUM(AC98:AK98)+M98+$T$1-AF98-AI98</f>
        <v>9.5424373476105284</v>
      </c>
      <c r="AP98" t="str">
        <f>A98&amp;B98</f>
        <v>45531B</v>
      </c>
      <c r="AQ98">
        <f>VLOOKUP(AP98,kut,4,0)</f>
        <v>11166.208999999999</v>
      </c>
      <c r="AS98" s="3">
        <f t="shared" si="4"/>
        <v>10.638106936917929</v>
      </c>
      <c r="AT98" s="3">
        <f t="shared" si="5"/>
        <v>14.120865557607589</v>
      </c>
    </row>
    <row r="99" spans="1:46" x14ac:dyDescent="0.3">
      <c r="A99" s="17">
        <v>45531</v>
      </c>
      <c r="B99" s="18" t="s">
        <v>18</v>
      </c>
      <c r="C99" s="19">
        <v>8.41</v>
      </c>
      <c r="D99" s="19">
        <v>38.428571428571431</v>
      </c>
      <c r="E99" s="19">
        <v>26.957142857142859</v>
      </c>
      <c r="F99" s="19">
        <v>57.78</v>
      </c>
      <c r="G99" s="19">
        <v>4.29</v>
      </c>
      <c r="H99" s="19">
        <v>3.4</v>
      </c>
      <c r="I99" s="19">
        <v>146.57142857142861</v>
      </c>
      <c r="J99" s="19">
        <v>10.371704447417031</v>
      </c>
      <c r="K99" s="19">
        <v>8.9702515560100473E-3</v>
      </c>
      <c r="L99" s="19">
        <v>9.3036797957918901E-2</v>
      </c>
      <c r="M99" s="19">
        <v>20.81861450902738</v>
      </c>
      <c r="N99" s="19">
        <v>3.1281568570700302</v>
      </c>
      <c r="O99" s="19">
        <v>5225</v>
      </c>
      <c r="P99" s="19">
        <v>118.9948257793952</v>
      </c>
      <c r="Q99" s="19">
        <v>30324.6</v>
      </c>
      <c r="R99" s="19">
        <v>13.449348177881021</v>
      </c>
      <c r="S99" s="20">
        <f>SUM(AM99:AN99)/2 + (AQ99/$X$1)</f>
        <v>13.745757045022547</v>
      </c>
      <c r="T99" s="20">
        <f>VLOOKUP(AP99,ggg,3,0)</f>
        <v>13.62</v>
      </c>
      <c r="U99" s="20">
        <f t="shared" si="3"/>
        <v>12.927142535995166</v>
      </c>
      <c r="V99" s="20">
        <f>VLOOKUP(AP99,ggg,12,0)</f>
        <v>8.23</v>
      </c>
      <c r="W99" s="20">
        <f>VLOOKUP(AP99,ggg,20,0)</f>
        <v>26.3</v>
      </c>
      <c r="X99" s="20">
        <f>VLOOKUP(AP99,ggg,32,0)</f>
        <v>3.4</v>
      </c>
      <c r="Y99" s="20">
        <f>VLOOKUP(AP99,ggg,28,0)</f>
        <v>4.29</v>
      </c>
      <c r="Z99" s="33"/>
      <c r="AA99" s="33"/>
      <c r="AC99">
        <f>C$3*(C$1-C99)/C$2</f>
        <v>-5.1999999999999963E-2</v>
      </c>
      <c r="AD99">
        <f>D$3*(D$1-D99)/D$2</f>
        <v>0</v>
      </c>
      <c r="AE99">
        <f>E$3*(E$1-E99)/E$2</f>
        <v>-0.62261904761904852</v>
      </c>
      <c r="AF99">
        <f>F$3*(F$1-F99)/F$2</f>
        <v>-4.6724137931034493</v>
      </c>
      <c r="AG99">
        <f>G$3*(G$1-G99)/G$2</f>
        <v>-1.4399999999999997</v>
      </c>
      <c r="AH99">
        <f>H$3*(H$1-H99)/H$2</f>
        <v>0</v>
      </c>
      <c r="AI99">
        <f>I$3*(I$1-I99)/I$2</f>
        <v>0</v>
      </c>
      <c r="AJ99">
        <f>(Q99-$M$1)/$M$2</f>
        <v>1.7254899999999997</v>
      </c>
      <c r="AK99">
        <f>(J99-$Q$1)/$Q$2</f>
        <v>-2.2834088948340607</v>
      </c>
      <c r="AM99" s="3">
        <f>SUM(AC99:AK99)+M99+$T$1</f>
        <v>10.473662773470823</v>
      </c>
      <c r="AN99" s="3">
        <f>SUM(AC99:AK99)+M99+$T$1-AF99-AI99</f>
        <v>15.146076566574273</v>
      </c>
      <c r="AP99" t="str">
        <f>A99&amp;B99</f>
        <v>45531C</v>
      </c>
      <c r="AQ99">
        <f>VLOOKUP(AP99,kut,4,0)</f>
        <v>7487.0989999999993</v>
      </c>
      <c r="AS99" s="3">
        <f t="shared" si="4"/>
        <v>9.6550482644434421</v>
      </c>
      <c r="AT99" s="3">
        <f t="shared" si="5"/>
        <v>14.327462057546892</v>
      </c>
    </row>
    <row r="100" spans="1:46" x14ac:dyDescent="0.3">
      <c r="A100" s="17">
        <v>45532</v>
      </c>
      <c r="B100" s="18" t="s">
        <v>19</v>
      </c>
      <c r="C100" s="19">
        <v>8.2333333333333325</v>
      </c>
      <c r="D100" s="19">
        <v>38.333333333333343</v>
      </c>
      <c r="E100" s="19">
        <v>26.298333333333328</v>
      </c>
      <c r="F100" s="19">
        <v>57.78</v>
      </c>
      <c r="G100" s="19">
        <v>4.29</v>
      </c>
      <c r="H100" s="19">
        <v>3.3966666666666669</v>
      </c>
      <c r="I100" s="19">
        <v>143.66666666666671</v>
      </c>
      <c r="J100" s="19">
        <v>6.9350617452476513</v>
      </c>
      <c r="K100" s="19">
        <v>3.7339164481322721E-3</v>
      </c>
      <c r="L100" s="19">
        <v>2.5894941119393111E-2</v>
      </c>
      <c r="M100" s="19">
        <v>22.50453110406913</v>
      </c>
      <c r="N100" s="19">
        <v>1.5060594176702271</v>
      </c>
      <c r="O100" s="19">
        <v>5225</v>
      </c>
      <c r="P100" s="19">
        <v>109.2445777182848</v>
      </c>
      <c r="Q100" s="19">
        <v>11742.32</v>
      </c>
      <c r="R100" s="19">
        <v>15.62254294089961</v>
      </c>
      <c r="S100" s="36">
        <f>SUM(AM100:AN100)/2 + (AQ100/$X$1)</f>
        <v>21.014080522577668</v>
      </c>
      <c r="T100" s="36">
        <f>VLOOKUP(AP100,ggg,3,0)</f>
        <v>19.86</v>
      </c>
      <c r="U100" s="20">
        <f t="shared" si="3"/>
        <v>18.509549418508538</v>
      </c>
      <c r="V100" s="20">
        <f>VLOOKUP(AP100,ggg,12,0)</f>
        <v>8.33</v>
      </c>
      <c r="W100" s="20">
        <f>VLOOKUP(AP100,ggg,20,0)</f>
        <v>25.6</v>
      </c>
      <c r="X100" s="20">
        <f>VLOOKUP(AP100,ggg,32,0)</f>
        <v>3.41</v>
      </c>
      <c r="Y100" s="20">
        <f>VLOOKUP(AP100,ggg,28,0)</f>
        <v>4.0199999999999996</v>
      </c>
      <c r="Z100" s="33">
        <f>VLOOKUP(AP100,fff,2,0)</f>
        <v>20.399999999999999</v>
      </c>
      <c r="AA100" s="33">
        <f>VLOOKUP(AP100,fff,3,0)</f>
        <v>20.02</v>
      </c>
      <c r="AC100">
        <f>C$3*(C$1-C100)/C$2</f>
        <v>-1.6666666666666431E-2</v>
      </c>
      <c r="AD100">
        <f>D$3*(D$1-D100)/D$2</f>
        <v>0</v>
      </c>
      <c r="AE100">
        <f>E$3*(E$1-E100)/E$2</f>
        <v>-7.3611111111106339E-2</v>
      </c>
      <c r="AF100">
        <f>F$3*(F$1-F100)/F$2</f>
        <v>-4.6724137931034493</v>
      </c>
      <c r="AG100">
        <f>G$3*(G$1-G100)/G$2</f>
        <v>-1.4399999999999997</v>
      </c>
      <c r="AH100">
        <f>H$3*(H$1-H100)/H$2</f>
        <v>-1.6666666666664831E-2</v>
      </c>
      <c r="AI100">
        <f>I$3*(I$1-I100)/I$2</f>
        <v>0</v>
      </c>
      <c r="AJ100">
        <f>(Q100-$M$1)/$M$2</f>
        <v>-0.59729500000000002</v>
      </c>
      <c r="AK100">
        <f>(J100-$Q$1)/$Q$2</f>
        <v>4.5898765095046983</v>
      </c>
      <c r="AM100" s="3">
        <f>SUM(AC100:AK100)+M100+$T$1</f>
        <v>17.277754376025943</v>
      </c>
      <c r="AN100" s="3">
        <f>SUM(AC100:AK100)+M100+$T$1-AF100-AI100</f>
        <v>21.950168169129391</v>
      </c>
      <c r="AP100" t="str">
        <f>A100&amp;B100</f>
        <v>45532A</v>
      </c>
      <c r="AQ100">
        <f>VLOOKUP(AP100,kut,4,0)</f>
        <v>11200.954</v>
      </c>
      <c r="AS100" s="3">
        <f t="shared" si="4"/>
        <v>14.773223271956812</v>
      </c>
      <c r="AT100" s="3">
        <f t="shared" si="5"/>
        <v>19.445637065060261</v>
      </c>
    </row>
    <row r="101" spans="1:46" x14ac:dyDescent="0.3">
      <c r="A101" s="17">
        <v>45532</v>
      </c>
      <c r="B101" s="18" t="s">
        <v>20</v>
      </c>
      <c r="C101" s="19">
        <v>8.3140000000000001</v>
      </c>
      <c r="D101" s="19">
        <v>37.571428571428569</v>
      </c>
      <c r="E101" s="19">
        <v>25.48714285714286</v>
      </c>
      <c r="F101" s="19">
        <v>56.04</v>
      </c>
      <c r="G101" s="19">
        <v>4.0199999999999996</v>
      </c>
      <c r="H101" s="19">
        <v>3.4085714285714279</v>
      </c>
      <c r="I101" s="19">
        <v>139</v>
      </c>
      <c r="J101" s="19">
        <v>10.72862830764825</v>
      </c>
      <c r="K101" s="19">
        <v>8.5313788432172834E-3</v>
      </c>
      <c r="L101" s="19">
        <v>9.1529992560612339E-2</v>
      </c>
      <c r="M101" s="19">
        <v>15.01415627707356</v>
      </c>
      <c r="N101" s="19">
        <v>3.5695478136860439</v>
      </c>
      <c r="O101" s="19">
        <v>5225</v>
      </c>
      <c r="P101" s="19">
        <v>120.39089808747519</v>
      </c>
      <c r="Q101" s="19">
        <v>29405.200000000001</v>
      </c>
      <c r="R101" s="19">
        <v>14.39640855060104</v>
      </c>
      <c r="S101" s="20">
        <f>SUM(AM101:AN101)/2 + (AQ101/$X$1)</f>
        <v>11.02556098546343</v>
      </c>
      <c r="T101" s="20">
        <f>VLOOKUP(AP101,ggg,3,0)</f>
        <v>20.45</v>
      </c>
      <c r="U101" s="20">
        <f t="shared" si="3"/>
        <v>16.011404708389868</v>
      </c>
      <c r="V101" s="20">
        <f>VLOOKUP(AP101,ggg,12,0)</f>
        <v>8.6</v>
      </c>
      <c r="W101" s="20">
        <f>VLOOKUP(AP101,ggg,20,0)</f>
        <v>26.6</v>
      </c>
      <c r="X101" s="20">
        <f>VLOOKUP(AP101,ggg,32,0)</f>
        <v>3.52</v>
      </c>
      <c r="Y101" s="20">
        <f>VLOOKUP(AP101,ggg,28,0)</f>
        <v>4.0199999999999996</v>
      </c>
      <c r="Z101" s="33"/>
      <c r="AA101" s="33"/>
      <c r="AC101">
        <f>C$3*(C$1-C101)/C$2</f>
        <v>-3.279999999999994E-2</v>
      </c>
      <c r="AD101">
        <f>D$3*(D$1-D101)/D$2</f>
        <v>0</v>
      </c>
      <c r="AE101">
        <f>E$3*(E$1-E101)/E$2</f>
        <v>0.60238095238095057</v>
      </c>
      <c r="AF101">
        <f>F$3*(F$1-F101)/F$2</f>
        <v>-1.6724137931034464</v>
      </c>
      <c r="AG101">
        <f>G$3*(G$1-G101)/G$2</f>
        <v>-0.62999999999999845</v>
      </c>
      <c r="AH101">
        <f>H$3*(H$1-H101)/H$2</f>
        <v>4.285714285714004E-2</v>
      </c>
      <c r="AI101">
        <f>I$3*(I$1-I101)/I$2</f>
        <v>0</v>
      </c>
      <c r="AJ101">
        <f>(Q101-$M$1)/$M$2</f>
        <v>1.610565</v>
      </c>
      <c r="AK101">
        <f>(J101-$Q$1)/$Q$2</f>
        <v>-2.9972566152965001</v>
      </c>
      <c r="AM101" s="3">
        <f>SUM(AC101:AK101)+M101+$T$1</f>
        <v>8.9374889639117061</v>
      </c>
      <c r="AN101" s="3">
        <f>SUM(AC101:AK101)+M101+$T$1-AF101-AI101</f>
        <v>10.609902757015153</v>
      </c>
      <c r="AP101" t="str">
        <f>A101&amp;B101</f>
        <v>45532B</v>
      </c>
      <c r="AQ101">
        <f>VLOOKUP(AP101,kut,4,0)</f>
        <v>10014.921000000002</v>
      </c>
      <c r="AS101" s="3">
        <f t="shared" si="4"/>
        <v>13.923332686838144</v>
      </c>
      <c r="AT101" s="3">
        <f t="shared" si="5"/>
        <v>15.595746479941591</v>
      </c>
    </row>
    <row r="102" spans="1:46" x14ac:dyDescent="0.3">
      <c r="A102" s="17">
        <v>45532</v>
      </c>
      <c r="B102" s="18" t="s">
        <v>18</v>
      </c>
      <c r="C102" s="19">
        <v>8.6033333333333335</v>
      </c>
      <c r="D102" s="19">
        <v>37.6</v>
      </c>
      <c r="E102" s="19">
        <v>27.22</v>
      </c>
      <c r="F102" s="19">
        <v>56.57</v>
      </c>
      <c r="G102" s="19">
        <v>4.0199999999999996</v>
      </c>
      <c r="H102" s="19">
        <v>3.52</v>
      </c>
      <c r="I102" s="19">
        <v>144.6</v>
      </c>
      <c r="J102" s="19">
        <v>12.05256465078554</v>
      </c>
      <c r="K102" s="19">
        <v>9.2013701007024641E-4</v>
      </c>
      <c r="L102" s="19">
        <v>1.109001080145215E-2</v>
      </c>
      <c r="M102" s="19">
        <v>13.33970439398685</v>
      </c>
      <c r="N102" s="19">
        <v>8.9834114520138204</v>
      </c>
      <c r="O102" s="19">
        <v>5225</v>
      </c>
      <c r="P102" s="19">
        <v>120.4767656299199</v>
      </c>
      <c r="Q102" s="19">
        <v>2844</v>
      </c>
      <c r="R102" s="19">
        <v>13.336107153572041</v>
      </c>
      <c r="S102" s="20">
        <f>SUM(AM102:AN102)/2 + (AQ102/$X$1)</f>
        <v>1.1961101858065806</v>
      </c>
      <c r="T102" s="20">
        <f>VLOOKUP(AP102,ggg,3,0)</f>
        <v>14.23</v>
      </c>
      <c r="U102" s="20">
        <f t="shared" si="3"/>
        <v>7.8564057918197312</v>
      </c>
      <c r="V102" s="20">
        <f>VLOOKUP(AP102,ggg,12,0)</f>
        <v>9</v>
      </c>
      <c r="W102" s="20">
        <f>VLOOKUP(AP102,ggg,20,0)</f>
        <v>25.85</v>
      </c>
      <c r="X102" s="20">
        <f>VLOOKUP(AP102,ggg,32,0)</f>
        <v>3.78</v>
      </c>
      <c r="Y102" s="20">
        <f>VLOOKUP(AP102,ggg,28,0)</f>
        <v>4.0199999999999996</v>
      </c>
      <c r="Z102" s="33"/>
      <c r="AA102" s="33"/>
      <c r="AC102">
        <f>C$3*(C$1-C102)/C$2</f>
        <v>-9.0666666666666632E-2</v>
      </c>
      <c r="AD102">
        <f>D$3*(D$1-D102)/D$2</f>
        <v>0</v>
      </c>
      <c r="AE102">
        <f>E$3*(E$1-E102)/E$2</f>
        <v>-0.84166666666666501</v>
      </c>
      <c r="AF102">
        <f>F$3*(F$1-F102)/F$2</f>
        <v>-2.5862068965517242</v>
      </c>
      <c r="AG102">
        <f>G$3*(G$1-G102)/G$2</f>
        <v>-0.62999999999999845</v>
      </c>
      <c r="AH102">
        <f>H$3*(H$1-H102)/H$2</f>
        <v>0.60000000000000053</v>
      </c>
      <c r="AI102">
        <f>I$3*(I$1-I102)/I$2</f>
        <v>0</v>
      </c>
      <c r="AJ102">
        <f>(Q102-$M$1)/$M$2</f>
        <v>-1.7095850000000001</v>
      </c>
      <c r="AK102">
        <f>(J102-$Q$1)/$Q$2</f>
        <v>-5.6451293015710782</v>
      </c>
      <c r="AM102" s="3">
        <f>SUM(AC102:AK102)+M102+$T$1</f>
        <v>-0.56355013746928151</v>
      </c>
      <c r="AN102" s="3">
        <f>SUM(AC102:AK102)+M102+$T$1-AF102-AI102</f>
        <v>2.0226567590824427</v>
      </c>
      <c r="AP102" t="str">
        <f>A102&amp;B102</f>
        <v>45532C</v>
      </c>
      <c r="AQ102">
        <f>VLOOKUP(AP102,kut,4,0)</f>
        <v>3732.4549999999999</v>
      </c>
      <c r="AS102" s="3">
        <f t="shared" si="4"/>
        <v>6.0967454685438689</v>
      </c>
      <c r="AT102" s="3">
        <f t="shared" si="5"/>
        <v>8.6829523650955931</v>
      </c>
    </row>
    <row r="103" spans="1:46" x14ac:dyDescent="0.3">
      <c r="A103" s="17">
        <v>45533</v>
      </c>
      <c r="B103" s="18" t="s">
        <v>19</v>
      </c>
      <c r="C103" s="19">
        <v>9</v>
      </c>
      <c r="D103" s="19">
        <v>39</v>
      </c>
      <c r="E103" s="19">
        <v>25.85</v>
      </c>
      <c r="F103" s="19">
        <v>56.57</v>
      </c>
      <c r="G103" s="19">
        <v>4.0199999999999996</v>
      </c>
      <c r="H103" s="19">
        <v>3.78</v>
      </c>
      <c r="I103" s="19">
        <v>152</v>
      </c>
      <c r="J103" s="19">
        <v>6.8978723665005948</v>
      </c>
      <c r="K103" s="19">
        <v>2.1497235202657949E-3</v>
      </c>
      <c r="L103" s="19">
        <v>1.4828518466057801E-2</v>
      </c>
      <c r="M103" s="19">
        <v>13.3397082029469</v>
      </c>
      <c r="N103" s="19">
        <v>8.9834071303846361</v>
      </c>
      <c r="O103" s="19">
        <v>5225</v>
      </c>
      <c r="P103" s="19">
        <v>120.476752592629</v>
      </c>
      <c r="Q103" s="19">
        <v>2407.84</v>
      </c>
      <c r="R103" s="19">
        <v>13.334550412282709</v>
      </c>
      <c r="S103" s="25">
        <f>SUM(AM103:AN103)/2 + (AQ103/$X$1)</f>
        <v>14.68941939666985</v>
      </c>
      <c r="T103" s="25">
        <f>VLOOKUP(AP103,ggg,3,0)</f>
        <v>10.5</v>
      </c>
      <c r="U103" s="25">
        <f t="shared" si="3"/>
        <v>21.349711193722946</v>
      </c>
      <c r="V103" s="20">
        <f>VLOOKUP(AP103,ggg,12,0)</f>
        <v>8.6</v>
      </c>
      <c r="W103" s="20">
        <f>VLOOKUP(AP103,ggg,20,0)</f>
        <v>25.4</v>
      </c>
      <c r="X103" s="20">
        <f>VLOOKUP(AP103,ggg,32,0)</f>
        <v>3.36</v>
      </c>
      <c r="Y103" s="20">
        <f>VLOOKUP(AP103,ggg,28,0)</f>
        <v>4.0199999999999996</v>
      </c>
      <c r="Z103" s="33">
        <f>VLOOKUP(AP103,fff,2,0)</f>
        <v>9.4600000000000009</v>
      </c>
      <c r="AA103" s="33">
        <f>VLOOKUP(AP103,fff,3,0)</f>
        <v>10.19</v>
      </c>
      <c r="AC103">
        <f>C$3*(C$1-C103)/C$2</f>
        <v>-0.16999999999999993</v>
      </c>
      <c r="AD103">
        <f>D$3*(D$1-D103)/D$2</f>
        <v>0</v>
      </c>
      <c r="AE103">
        <f>E$3*(E$1-E103)/E$2</f>
        <v>0.29999999999999954</v>
      </c>
      <c r="AF103">
        <f>F$3*(F$1-F103)/F$2</f>
        <v>-2.5862068965517242</v>
      </c>
      <c r="AG103">
        <f>G$3*(G$1-G103)/G$2</f>
        <v>-0.62999999999999845</v>
      </c>
      <c r="AH103">
        <f>H$3*(H$1-H103)/H$2</f>
        <v>1.8999999999999995</v>
      </c>
      <c r="AI103">
        <f>I$3*(I$1-I103)/I$2</f>
        <v>0</v>
      </c>
      <c r="AJ103">
        <f>(Q103-$M$1)/$M$2</f>
        <v>-1.764105</v>
      </c>
      <c r="AK103">
        <f>(J103-$Q$1)/$Q$2</f>
        <v>4.6642552669988113</v>
      </c>
      <c r="AM103" s="3">
        <f>SUM(AC103:AK103)+M103+$T$1</f>
        <v>12.053651573393989</v>
      </c>
      <c r="AN103" s="3">
        <f>SUM(AC103:AK103)+M103+$T$1-AF103-AI103</f>
        <v>14.639858469945713</v>
      </c>
      <c r="AP103" t="str">
        <f>A103&amp;B103</f>
        <v>45533A</v>
      </c>
      <c r="AQ103">
        <f>VLOOKUP(AP103,kut,4,0)</f>
        <v>10741.315000000001</v>
      </c>
      <c r="AS103" s="3">
        <f t="shared" si="4"/>
        <v>18.713943370447087</v>
      </c>
      <c r="AT103" s="3">
        <f t="shared" si="5"/>
        <v>21.300150266998813</v>
      </c>
    </row>
    <row r="104" spans="1:46" x14ac:dyDescent="0.3">
      <c r="A104" s="17">
        <v>45533</v>
      </c>
      <c r="B104" s="18" t="s">
        <v>20</v>
      </c>
      <c r="C104" s="19">
        <v>8.6</v>
      </c>
      <c r="D104" s="19">
        <v>38.5</v>
      </c>
      <c r="E104" s="19">
        <v>26.563333333333329</v>
      </c>
      <c r="F104" s="19">
        <v>53.19</v>
      </c>
      <c r="G104" s="19">
        <v>4.0199999999999996</v>
      </c>
      <c r="H104" s="19">
        <v>3.4816666666666669</v>
      </c>
      <c r="I104" s="19">
        <v>139.83333333333329</v>
      </c>
      <c r="J104" s="19">
        <v>9.1985811274123446</v>
      </c>
      <c r="K104" s="19">
        <v>3.057679062202643E-3</v>
      </c>
      <c r="L104" s="19">
        <v>2.8126308915261109E-2</v>
      </c>
      <c r="M104" s="19">
        <v>13.31681503638039</v>
      </c>
      <c r="N104" s="19">
        <v>2.5992346672786448E-3</v>
      </c>
      <c r="O104" s="19">
        <v>5225</v>
      </c>
      <c r="P104" s="19">
        <v>120.2700437383734</v>
      </c>
      <c r="Q104" s="19">
        <v>9992.0400000000009</v>
      </c>
      <c r="R104" s="19">
        <v>13.319845275286671</v>
      </c>
      <c r="S104" s="20">
        <f>SUM(AM104:AN104)/2 + (AQ104/$X$1)</f>
        <v>11.959979200617015</v>
      </c>
      <c r="T104" s="20">
        <f>VLOOKUP(AP104,ggg,3,0)</f>
        <v>12.01</v>
      </c>
      <c r="U104" s="20">
        <f t="shared" si="3"/>
        <v>18.643164164236623</v>
      </c>
      <c r="V104" s="20">
        <f>VLOOKUP(AP104,ggg,12,0)</f>
        <v>8.1</v>
      </c>
      <c r="W104" s="20">
        <f>VLOOKUP(AP104,ggg,20,0)</f>
        <v>26.96</v>
      </c>
      <c r="X104" s="20">
        <f>VLOOKUP(AP104,ggg,32,0)</f>
        <v>3.29</v>
      </c>
      <c r="Y104" s="20">
        <f>VLOOKUP(AP104,ggg,28,0)</f>
        <v>4.0199999999999996</v>
      </c>
      <c r="Z104" s="33"/>
      <c r="AA104" s="33"/>
      <c r="AC104">
        <f>C$3*(C$1-C104)/C$2</f>
        <v>-8.9999999999999858E-2</v>
      </c>
      <c r="AD104">
        <f>D$3*(D$1-D104)/D$2</f>
        <v>0</v>
      </c>
      <c r="AE104">
        <f>E$3*(E$1-E104)/E$2</f>
        <v>-0.29444444444444018</v>
      </c>
      <c r="AF104">
        <f>F$3*(F$1-F104)/F$2</f>
        <v>3.2413793103448323</v>
      </c>
      <c r="AG104">
        <f>G$3*(G$1-G104)/G$2</f>
        <v>-0.62999999999999845</v>
      </c>
      <c r="AH104">
        <f>H$3*(H$1-H104)/H$2</f>
        <v>0.40833333333333499</v>
      </c>
      <c r="AI104">
        <f>I$3*(I$1-I104)/I$2</f>
        <v>0</v>
      </c>
      <c r="AJ104">
        <f>(Q104-$M$1)/$M$2</f>
        <v>-0.81607999999999992</v>
      </c>
      <c r="AK104">
        <f>(J104-$Q$1)/$Q$2</f>
        <v>6.283774517531171E-2</v>
      </c>
      <c r="AM104" s="3">
        <f>SUM(AC104:AK104)+M104+$T$1</f>
        <v>12.198840980789431</v>
      </c>
      <c r="AN104" s="3">
        <f>SUM(AC104:AK104)+M104+$T$1-AF104-AI104</f>
        <v>8.957461670444598</v>
      </c>
      <c r="AP104" t="str">
        <f>A104&amp;B104</f>
        <v>45533B</v>
      </c>
      <c r="AQ104">
        <f>VLOOKUP(AP104,kut,4,0)</f>
        <v>11054.623000000001</v>
      </c>
      <c r="AS104" s="3">
        <f t="shared" si="4"/>
        <v>18.88202594440904</v>
      </c>
      <c r="AT104" s="3">
        <f t="shared" si="5"/>
        <v>15.640646634064208</v>
      </c>
    </row>
    <row r="105" spans="1:46" x14ac:dyDescent="0.3">
      <c r="A105" s="17">
        <v>45533</v>
      </c>
      <c r="B105" s="18" t="s">
        <v>18</v>
      </c>
      <c r="C105" s="19">
        <v>8.1</v>
      </c>
      <c r="D105" s="19">
        <v>36.833333333333343</v>
      </c>
      <c r="E105" s="19">
        <v>26.75</v>
      </c>
      <c r="F105" s="19">
        <v>53.19</v>
      </c>
      <c r="G105" s="19">
        <v>4.0199999999999996</v>
      </c>
      <c r="H105" s="19">
        <v>3.273333333333333</v>
      </c>
      <c r="I105" s="19">
        <v>143.83333333333329</v>
      </c>
      <c r="J105" s="19">
        <v>8.983901567392989</v>
      </c>
      <c r="K105" s="19">
        <v>5.1112774529737531E-3</v>
      </c>
      <c r="L105" s="19">
        <v>4.5919213521151338E-2</v>
      </c>
      <c r="M105" s="19">
        <v>13.282738567093061</v>
      </c>
      <c r="N105" s="19">
        <v>2.5924676342209811E-3</v>
      </c>
      <c r="O105" s="19">
        <v>5225</v>
      </c>
      <c r="P105" s="19">
        <v>106.5919037306</v>
      </c>
      <c r="Q105" s="19">
        <v>16833.8</v>
      </c>
      <c r="R105" s="19">
        <v>16.966880293450551</v>
      </c>
      <c r="S105" s="20">
        <f>SUM(AM105:AN105)/2 + (AQ105/$X$1)</f>
        <v>11.512294754146168</v>
      </c>
      <c r="T105" s="20">
        <f>VLOOKUP(AP105,ggg,3,0)</f>
        <v>14.83</v>
      </c>
      <c r="U105" s="20">
        <f t="shared" si="3"/>
        <v>18.229556187053106</v>
      </c>
      <c r="V105" s="20">
        <f>VLOOKUP(AP105,ggg,12,0)</f>
        <v>7.8</v>
      </c>
      <c r="W105" s="20">
        <f>VLOOKUP(AP105,ggg,20,0)</f>
        <v>26.77</v>
      </c>
      <c r="X105" s="20">
        <f>VLOOKUP(AP105,ggg,32,0)</f>
        <v>3.34</v>
      </c>
      <c r="Y105" s="20">
        <f>VLOOKUP(AP105,ggg,28,0)</f>
        <v>4.0199999999999996</v>
      </c>
      <c r="Z105" s="33"/>
      <c r="AA105" s="33"/>
      <c r="AC105">
        <f>C$3*(C$1-C105)/C$2</f>
        <v>1.0000000000000142E-2</v>
      </c>
      <c r="AD105">
        <f>D$3*(D$1-D105)/D$2</f>
        <v>0</v>
      </c>
      <c r="AE105">
        <f>E$3*(E$1-E105)/E$2</f>
        <v>-0.44999999999999929</v>
      </c>
      <c r="AF105">
        <f>F$3*(F$1-F105)/F$2</f>
        <v>3.2413793103448323</v>
      </c>
      <c r="AG105">
        <f>G$3*(G$1-G105)/G$2</f>
        <v>-0.62999999999999845</v>
      </c>
      <c r="AH105">
        <f>H$3*(H$1-H105)/H$2</f>
        <v>-0.63333333333333475</v>
      </c>
      <c r="AI105">
        <f>I$3*(I$1-I105)/I$2</f>
        <v>0</v>
      </c>
      <c r="AJ105">
        <f>(Q105-$M$1)/$M$2</f>
        <v>3.9139999999999869E-2</v>
      </c>
      <c r="AK105">
        <f>(J105-$Q$1)/$Q$2</f>
        <v>0.49219686521402295</v>
      </c>
      <c r="AM105" s="3">
        <f>SUM(AC105:AK105)+M105+$T$1</f>
        <v>12.352121409318585</v>
      </c>
      <c r="AN105" s="3">
        <f>SUM(AC105:AK105)+M105+$T$1-AF105-AI105</f>
        <v>9.110742098973752</v>
      </c>
      <c r="AP105" t="str">
        <f>A105&amp;B105</f>
        <v>45533C</v>
      </c>
      <c r="AQ105">
        <f>VLOOKUP(AP105,kut,4,0)</f>
        <v>6246.9040000000005</v>
      </c>
      <c r="AS105" s="3">
        <f t="shared" si="4"/>
        <v>19.069382842225522</v>
      </c>
      <c r="AT105" s="3">
        <f t="shared" si="5"/>
        <v>15.82800353188069</v>
      </c>
    </row>
    <row r="106" spans="1:46" x14ac:dyDescent="0.3">
      <c r="A106" s="17">
        <v>45534</v>
      </c>
      <c r="B106" s="18" t="s">
        <v>19</v>
      </c>
      <c r="C106" s="19">
        <v>7.8</v>
      </c>
      <c r="D106" s="19">
        <v>37.75</v>
      </c>
      <c r="E106" s="19">
        <v>26.135000000000002</v>
      </c>
      <c r="F106" s="19">
        <v>53.19</v>
      </c>
      <c r="G106" s="19">
        <v>4.0199999999999996</v>
      </c>
      <c r="H106" s="19">
        <v>3.3</v>
      </c>
      <c r="I106" s="19">
        <v>143.75</v>
      </c>
      <c r="J106" s="19">
        <v>9.6136977584661825</v>
      </c>
      <c r="K106" s="19">
        <v>1.086045542035332E-2</v>
      </c>
      <c r="L106" s="19">
        <v>0.10440913593057261</v>
      </c>
      <c r="M106" s="19">
        <v>14.134626598343431</v>
      </c>
      <c r="N106" s="19">
        <v>2.588707171301028E-3</v>
      </c>
      <c r="O106" s="19">
        <v>5225</v>
      </c>
      <c r="P106" s="19">
        <v>97.954415837189714</v>
      </c>
      <c r="Q106" s="19">
        <v>35418.920000000013</v>
      </c>
      <c r="R106" s="19">
        <v>21.620903112029399</v>
      </c>
      <c r="S106" s="20">
        <f>SUM(AM106:AN106)/2 + (AQ106/$X$1)</f>
        <v>13.352700736583483</v>
      </c>
      <c r="T106" s="20"/>
      <c r="U106" s="20">
        <f t="shared" si="3"/>
        <v>19.218074138240052</v>
      </c>
      <c r="V106" s="20"/>
      <c r="W106" s="20"/>
      <c r="X106" s="20"/>
      <c r="Y106" s="20"/>
      <c r="Z106" s="33"/>
      <c r="AA106" s="33"/>
      <c r="AC106">
        <f>C$3*(C$1-C106)/C$2</f>
        <v>7.0000000000000104E-2</v>
      </c>
      <c r="AD106">
        <f>D$3*(D$1-D106)/D$2</f>
        <v>0</v>
      </c>
      <c r="AE106">
        <f>E$3*(E$1-E106)/E$2</f>
        <v>6.249999999999941E-2</v>
      </c>
      <c r="AF106">
        <f>F$3*(F$1-F106)/F$2</f>
        <v>3.2413793103448323</v>
      </c>
      <c r="AG106">
        <f>G$3*(G$1-G106)/G$2</f>
        <v>-0.62999999999999845</v>
      </c>
      <c r="AH106">
        <f>H$3*(H$1-H106)/H$2</f>
        <v>-0.50000000000000044</v>
      </c>
      <c r="AI106">
        <f>I$3*(I$1-I106)/I$2</f>
        <v>0</v>
      </c>
      <c r="AJ106">
        <f>(Q106-$M$1)/$M$2</f>
        <v>2.3622800000000015</v>
      </c>
      <c r="AK106">
        <f>(J106-$Q$1)/$Q$2</f>
        <v>-0.76739551693236407</v>
      </c>
      <c r="AM106" s="3">
        <f>SUM(AC106:AK106)+M106+$T$1</f>
        <v>14.973390391755899</v>
      </c>
      <c r="AN106" s="3">
        <f>SUM(AC106:AK106)+M106+$T$1-AF106-AI106</f>
        <v>11.732011081411066</v>
      </c>
      <c r="AP106" t="str">
        <f>A106&amp;B106</f>
        <v>45534A</v>
      </c>
      <c r="AQ106">
        <v>0</v>
      </c>
      <c r="AS106" s="3">
        <f t="shared" si="4"/>
        <v>20.838763793412468</v>
      </c>
      <c r="AT106" s="3">
        <f t="shared" si="5"/>
        <v>17.597384483067636</v>
      </c>
    </row>
  </sheetData>
  <mergeCells count="3">
    <mergeCell ref="C5:I5"/>
    <mergeCell ref="J5:L5"/>
    <mergeCell ref="M5:R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F67E8-AF5B-46AB-A7AB-E6FA85A0BABC}">
  <sheetPr filterMode="1"/>
  <dimension ref="A1:AT106"/>
  <sheetViews>
    <sheetView tabSelected="1" topLeftCell="O1" workbookViewId="0">
      <pane ySplit="6" topLeftCell="A53" activePane="bottomLeft" state="frozen"/>
      <selection pane="bottomLeft" activeCell="R56" sqref="R56"/>
    </sheetView>
  </sheetViews>
  <sheetFormatPr defaultRowHeight="14.4" x14ac:dyDescent="0.3"/>
  <cols>
    <col min="1" max="1" width="10.33203125" style="1" bestFit="1" customWidth="1"/>
    <col min="2" max="2" width="12.77734375" bestFit="1" customWidth="1"/>
    <col min="3" max="3" width="9.6640625" bestFit="1" customWidth="1"/>
    <col min="4" max="4" width="13.33203125" bestFit="1" customWidth="1"/>
    <col min="5" max="5" width="6" bestFit="1" customWidth="1"/>
    <col min="6" max="6" width="6.5546875" bestFit="1" customWidth="1"/>
    <col min="7" max="7" width="5" bestFit="1" customWidth="1"/>
    <col min="8" max="8" width="8.77734375" bestFit="1" customWidth="1"/>
    <col min="9" max="9" width="12.109375" bestFit="1" customWidth="1"/>
    <col min="10" max="10" width="16.109375" bestFit="1" customWidth="1"/>
    <col min="11" max="11" width="14.88671875" bestFit="1" customWidth="1"/>
    <col min="12" max="12" width="15.77734375" bestFit="1" customWidth="1"/>
    <col min="13" max="13" width="22.21875" bestFit="1" customWidth="1"/>
    <col min="14" max="14" width="27.33203125" bestFit="1" customWidth="1"/>
    <col min="15" max="15" width="23.44140625" bestFit="1" customWidth="1"/>
    <col min="16" max="16" width="18.44140625" bestFit="1" customWidth="1"/>
    <col min="17" max="17" width="10" bestFit="1" customWidth="1"/>
    <col min="18" max="18" width="23.21875" bestFit="1" customWidth="1"/>
    <col min="19" max="19" width="14.5546875" bestFit="1" customWidth="1"/>
    <col min="20" max="21" width="19.44140625" customWidth="1"/>
    <col min="22" max="22" width="15" bestFit="1" customWidth="1"/>
    <col min="23" max="23" width="10.21875" bestFit="1" customWidth="1"/>
    <col min="24" max="24" width="17.6640625" bestFit="1" customWidth="1"/>
    <col min="25" max="25" width="11" bestFit="1" customWidth="1"/>
    <col min="26" max="26" width="17.33203125" customWidth="1"/>
    <col min="27" max="27" width="20.5546875" customWidth="1"/>
    <col min="29" max="29" width="12.6640625" bestFit="1" customWidth="1"/>
    <col min="30" max="30" width="13.33203125" bestFit="1" customWidth="1"/>
    <col min="31" max="32" width="12.6640625" bestFit="1" customWidth="1"/>
    <col min="33" max="33" width="6.6640625" bestFit="1" customWidth="1"/>
    <col min="34" max="34" width="12.6640625" bestFit="1" customWidth="1"/>
    <col min="35" max="35" width="12.109375" bestFit="1" customWidth="1"/>
    <col min="36" max="36" width="12.6640625" bestFit="1" customWidth="1"/>
    <col min="37" max="37" width="16.109375" bestFit="1" customWidth="1"/>
    <col min="39" max="40" width="5.5546875" bestFit="1" customWidth="1"/>
  </cols>
  <sheetData>
    <row r="1" spans="1:46" x14ac:dyDescent="0.3">
      <c r="B1" s="2" t="s">
        <v>644</v>
      </c>
      <c r="C1" s="2">
        <v>8.15</v>
      </c>
      <c r="D1" s="2">
        <v>38.78</v>
      </c>
      <c r="E1" s="2">
        <v>26.21</v>
      </c>
      <c r="F1" s="2">
        <v>55.07</v>
      </c>
      <c r="G1" s="2">
        <v>3.81</v>
      </c>
      <c r="H1" s="2">
        <v>3.4</v>
      </c>
      <c r="I1" s="2">
        <v>152.22999999999999</v>
      </c>
      <c r="K1" t="s">
        <v>647</v>
      </c>
      <c r="L1" t="s">
        <v>648</v>
      </c>
      <c r="M1">
        <v>16520.68</v>
      </c>
      <c r="O1" t="s">
        <v>649</v>
      </c>
      <c r="P1" t="s">
        <v>648</v>
      </c>
      <c r="Q1">
        <v>9.23</v>
      </c>
      <c r="S1" t="s">
        <v>650</v>
      </c>
      <c r="T1">
        <v>-3</v>
      </c>
      <c r="W1" t="s">
        <v>663</v>
      </c>
      <c r="X1">
        <v>8000</v>
      </c>
      <c r="Z1" t="s">
        <v>648</v>
      </c>
      <c r="AA1">
        <v>20</v>
      </c>
    </row>
    <row r="2" spans="1:46" x14ac:dyDescent="0.3">
      <c r="B2" s="2" t="s">
        <v>645</v>
      </c>
      <c r="C2">
        <v>0.1</v>
      </c>
      <c r="D2">
        <v>9999</v>
      </c>
      <c r="E2">
        <v>0.2</v>
      </c>
      <c r="F2">
        <v>-0.05</v>
      </c>
      <c r="G2">
        <v>7.0000000000000007E-2</v>
      </c>
      <c r="H2">
        <v>0.02</v>
      </c>
      <c r="I2">
        <v>9999</v>
      </c>
      <c r="L2" t="s">
        <v>651</v>
      </c>
      <c r="M2">
        <v>8000</v>
      </c>
      <c r="P2" t="s">
        <v>652</v>
      </c>
      <c r="Q2">
        <v>-0.75</v>
      </c>
    </row>
    <row r="3" spans="1:46" x14ac:dyDescent="0.3">
      <c r="B3" s="2" t="s">
        <v>646</v>
      </c>
      <c r="C3">
        <v>0.4</v>
      </c>
      <c r="D3">
        <v>0</v>
      </c>
      <c r="E3">
        <v>0.2</v>
      </c>
      <c r="F3">
        <v>0.1</v>
      </c>
      <c r="G3">
        <v>0.2</v>
      </c>
      <c r="H3">
        <v>0.1</v>
      </c>
      <c r="I3">
        <v>0</v>
      </c>
    </row>
    <row r="5" spans="1:46" x14ac:dyDescent="0.3">
      <c r="C5" s="21" t="s">
        <v>659</v>
      </c>
      <c r="D5" s="21"/>
      <c r="E5" s="21"/>
      <c r="F5" s="21"/>
      <c r="G5" s="21"/>
      <c r="H5" s="21"/>
      <c r="I5" s="21"/>
      <c r="J5" s="21" t="s">
        <v>660</v>
      </c>
      <c r="K5" s="21"/>
      <c r="L5" s="21"/>
      <c r="M5" s="21" t="s">
        <v>661</v>
      </c>
      <c r="N5" s="21"/>
      <c r="O5" s="21"/>
      <c r="P5" s="21"/>
      <c r="Q5" s="21"/>
      <c r="R5" s="21"/>
    </row>
    <row r="6" spans="1:46" x14ac:dyDescent="0.3">
      <c r="A6" s="14" t="s">
        <v>0</v>
      </c>
      <c r="B6" s="15" t="s">
        <v>1</v>
      </c>
      <c r="C6" s="15" t="s">
        <v>2</v>
      </c>
      <c r="D6" s="15" t="s">
        <v>3</v>
      </c>
      <c r="E6" s="15" t="s">
        <v>4</v>
      </c>
      <c r="F6" s="15" t="s">
        <v>5</v>
      </c>
      <c r="G6" s="15" t="s">
        <v>6</v>
      </c>
      <c r="H6" s="15" t="s">
        <v>7</v>
      </c>
      <c r="I6" s="15" t="s">
        <v>8</v>
      </c>
      <c r="J6" s="15" t="s">
        <v>9</v>
      </c>
      <c r="K6" s="15" t="s">
        <v>10</v>
      </c>
      <c r="L6" s="15" t="s">
        <v>11</v>
      </c>
      <c r="M6" s="15" t="s">
        <v>12</v>
      </c>
      <c r="N6" s="15" t="s">
        <v>13</v>
      </c>
      <c r="O6" s="15" t="s">
        <v>14</v>
      </c>
      <c r="P6" s="15" t="s">
        <v>15</v>
      </c>
      <c r="Q6" s="15" t="s">
        <v>685</v>
      </c>
      <c r="R6" s="15" t="s">
        <v>17</v>
      </c>
      <c r="S6" s="16" t="s">
        <v>653</v>
      </c>
      <c r="T6" s="16" t="s">
        <v>654</v>
      </c>
      <c r="U6" s="16" t="s">
        <v>684</v>
      </c>
      <c r="V6" s="16" t="s">
        <v>655</v>
      </c>
      <c r="W6" s="16" t="s">
        <v>656</v>
      </c>
      <c r="X6" s="16" t="s">
        <v>657</v>
      </c>
      <c r="Y6" s="16" t="s">
        <v>658</v>
      </c>
      <c r="Z6" s="32" t="s">
        <v>682</v>
      </c>
      <c r="AA6" s="32" t="s">
        <v>683</v>
      </c>
      <c r="AC6" s="15" t="s">
        <v>2</v>
      </c>
      <c r="AD6" s="15" t="s">
        <v>3</v>
      </c>
      <c r="AE6" s="15" t="s">
        <v>4</v>
      </c>
      <c r="AF6" s="15" t="s">
        <v>5</v>
      </c>
      <c r="AG6" s="15" t="s">
        <v>6</v>
      </c>
      <c r="AH6" s="15" t="s">
        <v>7</v>
      </c>
      <c r="AI6" s="15" t="s">
        <v>8</v>
      </c>
      <c r="AJ6" s="15" t="s">
        <v>16</v>
      </c>
      <c r="AK6" s="15" t="s">
        <v>9</v>
      </c>
    </row>
    <row r="7" spans="1:46" hidden="1" x14ac:dyDescent="0.3">
      <c r="A7" s="17">
        <v>45482</v>
      </c>
      <c r="B7" s="18" t="s">
        <v>18</v>
      </c>
      <c r="C7" s="19">
        <v>8.3249999999999993</v>
      </c>
      <c r="D7" s="19">
        <v>39.25</v>
      </c>
      <c r="E7" s="19">
        <v>28.024999999999999</v>
      </c>
      <c r="F7" s="19">
        <v>53.43</v>
      </c>
      <c r="G7" s="19">
        <v>3.39</v>
      </c>
      <c r="H7" s="19">
        <v>3.2574999999999998</v>
      </c>
      <c r="I7" s="19">
        <v>159.5</v>
      </c>
      <c r="J7" s="19">
        <v>9.5057959973738289</v>
      </c>
      <c r="K7" s="19">
        <v>3.4359706063204539E-3</v>
      </c>
      <c r="L7" s="19">
        <v>3.2661635636655098E-2</v>
      </c>
      <c r="M7" s="19">
        <v>14.526165180549221</v>
      </c>
      <c r="N7" s="19">
        <v>2.580747374307516E-3</v>
      </c>
      <c r="O7" s="19">
        <v>5225</v>
      </c>
      <c r="P7" s="19">
        <v>81.182942716588485</v>
      </c>
      <c r="Q7" s="19">
        <v>7080.32</v>
      </c>
      <c r="R7" s="19">
        <v>18.187665809254462</v>
      </c>
      <c r="S7" s="20">
        <f>SUM(AM7:AN7)/2+(AQ7/$X$1)</f>
        <v>7.7358921840507886</v>
      </c>
      <c r="T7" s="20">
        <f>VLOOKUP(AP7,ggg,3,0)</f>
        <v>9.36</v>
      </c>
      <c r="U7" s="20">
        <f>AVERAGE(AS7:AT7)+(AQ7/$X$1)</f>
        <v>13.209727003501568</v>
      </c>
      <c r="V7" s="20">
        <f>VLOOKUP(AP7,ggg,12,0)</f>
        <v>8.01</v>
      </c>
      <c r="W7" s="20">
        <f>VLOOKUP(AP7,ggg,20,0)</f>
        <v>27.06</v>
      </c>
      <c r="X7" s="20">
        <f>VLOOKUP(AP7,ggg,32,0)</f>
        <v>3.19</v>
      </c>
      <c r="Y7" s="20">
        <f>VLOOKUP(AP7,ggg,28,0)</f>
        <v>3.39</v>
      </c>
      <c r="Z7" s="33"/>
      <c r="AA7" s="33"/>
      <c r="AC7">
        <f>C$3*(C$1-C7)/C$2</f>
        <v>-0.69999999999999574</v>
      </c>
      <c r="AD7">
        <f>D$3*(D$1-D7)/D$2</f>
        <v>0</v>
      </c>
      <c r="AE7">
        <f>E$3*(E$1-E7)/E$2</f>
        <v>-1.8149999999999977</v>
      </c>
      <c r="AF7">
        <f>F$3*(F$1-F7)/F$2</f>
        <v>-3.2800000000000011</v>
      </c>
      <c r="AG7">
        <f>G$3*(G$1-G7)/G$2</f>
        <v>1.1999999999999997</v>
      </c>
      <c r="AH7">
        <f>H$3*(H$1-H7)/H$2</f>
        <v>0.71250000000000036</v>
      </c>
      <c r="AI7">
        <f>I$3*(I$1-I7)/I$2</f>
        <v>0</v>
      </c>
      <c r="AJ7">
        <f>(Q7-$M$1)/$M$2</f>
        <v>-1.180045</v>
      </c>
      <c r="AK7">
        <f>(J7-$Q$1)/$Q$2</f>
        <v>-0.3677279964984379</v>
      </c>
      <c r="AM7" s="3">
        <f>SUM(AC7:AK7)+M7+$T$1</f>
        <v>6.095892184050788</v>
      </c>
      <c r="AN7" s="3">
        <f>SUM(AC7:AK7)+M7+$T$1-AF7-AI7</f>
        <v>9.3758921840507892</v>
      </c>
      <c r="AP7" t="str">
        <f>A7&amp;B7</f>
        <v>45482C</v>
      </c>
      <c r="AQ7">
        <f>VLOOKUP(AP7,kut,4,0)</f>
        <v>0</v>
      </c>
      <c r="AS7" s="3">
        <f>SUM(AC7:AK7)+$AA$1+$T$1</f>
        <v>11.569727003501567</v>
      </c>
      <c r="AT7" s="3">
        <f>SUM(AC7:AK7)+$AA$1+$T$1-AF7-AI7</f>
        <v>14.849727003501568</v>
      </c>
    </row>
    <row r="8" spans="1:46" x14ac:dyDescent="0.3">
      <c r="A8" s="17">
        <v>45483</v>
      </c>
      <c r="B8" s="18" t="s">
        <v>19</v>
      </c>
      <c r="C8" s="19">
        <v>8.0124999999999993</v>
      </c>
      <c r="D8" s="19">
        <v>39.142857142857153</v>
      </c>
      <c r="E8" s="19">
        <v>27.055714285714281</v>
      </c>
      <c r="F8" s="19">
        <v>53.43</v>
      </c>
      <c r="G8" s="19">
        <v>3.39</v>
      </c>
      <c r="H8" s="19">
        <v>3.1857142857142859</v>
      </c>
      <c r="I8" s="19">
        <v>162</v>
      </c>
      <c r="J8" s="19">
        <v>9.1392026566565576</v>
      </c>
      <c r="K8" s="19">
        <v>1.064085855552236E-2</v>
      </c>
      <c r="L8" s="19">
        <v>9.7248962779736631E-2</v>
      </c>
      <c r="M8" s="19">
        <v>22.034216698896451</v>
      </c>
      <c r="N8" s="19">
        <v>2.5844764792093398E-3</v>
      </c>
      <c r="O8" s="19">
        <v>5225</v>
      </c>
      <c r="P8" s="19">
        <v>81.299275008337332</v>
      </c>
      <c r="Q8" s="19">
        <v>31557.572</v>
      </c>
      <c r="R8" s="19">
        <v>25.09731308533247</v>
      </c>
      <c r="S8" s="20">
        <f>SUM(AM8:AN8)/2 + (AQ8/$X$1)</f>
        <v>21.370605609068669</v>
      </c>
      <c r="T8" s="20">
        <f>VLOOKUP(AP8,ggg,3,0)</f>
        <v>18.86</v>
      </c>
      <c r="U8" s="20">
        <f t="shared" ref="U8:U71" si="0">AVERAGE(AS8:AT8)+(AQ8/$X$1)</f>
        <v>19.336388910172218</v>
      </c>
      <c r="V8" s="20">
        <f>VLOOKUP(AP8,ggg,12,0)</f>
        <v>7.7</v>
      </c>
      <c r="W8" s="20">
        <f>VLOOKUP(AP8,ggg,20,0)</f>
        <v>27.87</v>
      </c>
      <c r="X8" s="20">
        <f>VLOOKUP(AP8,ggg,32,0)</f>
        <v>3.09</v>
      </c>
      <c r="Y8" s="20">
        <f>VLOOKUP(AP8,ggg,28,0)</f>
        <v>3.46</v>
      </c>
      <c r="Z8" s="33"/>
      <c r="AA8" s="33"/>
      <c r="AC8">
        <f>C$3*(C$1-C8)/C$2</f>
        <v>0.55000000000000426</v>
      </c>
      <c r="AD8">
        <f>D$3*(D$1-D8)/D$2</f>
        <v>0</v>
      </c>
      <c r="AE8">
        <f>E$3*(E$1-E8)/E$2</f>
        <v>-0.84571428571427987</v>
      </c>
      <c r="AF8">
        <f>F$3*(F$1-F8)/F$2</f>
        <v>-3.2800000000000011</v>
      </c>
      <c r="AG8">
        <f>G$3*(G$1-G8)/G$2</f>
        <v>1.1999999999999997</v>
      </c>
      <c r="AH8">
        <f>H$3*(H$1-H8)/H$2</f>
        <v>1.0714285714285698</v>
      </c>
      <c r="AI8">
        <f>I$3*(I$1-I8)/I$2</f>
        <v>0</v>
      </c>
      <c r="AJ8">
        <f>(Q8-$M$1)/$M$2</f>
        <v>1.8796115</v>
      </c>
      <c r="AK8">
        <f>(J8-$Q$1)/$Q$2</f>
        <v>0.12106312445792373</v>
      </c>
      <c r="AM8" s="3">
        <f>SUM(AC8:AK8)+M8+$T$1</f>
        <v>19.730605609068668</v>
      </c>
      <c r="AN8" s="3">
        <f>SUM(AC8:AK8)+M8+$T$1-AF8-AI8</f>
        <v>23.010605609068669</v>
      </c>
      <c r="AP8" t="str">
        <f>A8&amp;B8</f>
        <v>45483A</v>
      </c>
      <c r="AQ8">
        <f>VLOOKUP(AP8,kut,4,0)</f>
        <v>0</v>
      </c>
      <c r="AS8" s="3">
        <f t="shared" ref="AS8:AS71" si="1">SUM(AC8:AK8)+$AA$1+$T$1</f>
        <v>17.696388910172217</v>
      </c>
      <c r="AT8" s="3">
        <f t="shared" ref="AT8:AT71" si="2">SUM(AC8:AK8)+$AA$1+$T$1-AF8-AI8</f>
        <v>20.976388910172219</v>
      </c>
    </row>
    <row r="9" spans="1:46" hidden="1" x14ac:dyDescent="0.3">
      <c r="A9" s="17">
        <v>45483</v>
      </c>
      <c r="B9" s="18" t="s">
        <v>20</v>
      </c>
      <c r="C9" s="19">
        <v>7.8840000000000003</v>
      </c>
      <c r="D9" s="19">
        <v>37</v>
      </c>
      <c r="E9" s="19">
        <v>27.354285714285709</v>
      </c>
      <c r="F9" s="19">
        <v>52.86</v>
      </c>
      <c r="G9" s="19">
        <v>3.46</v>
      </c>
      <c r="H9" s="19">
        <v>3.12</v>
      </c>
      <c r="I9" s="19">
        <v>156.85714285714289</v>
      </c>
      <c r="J9" s="19">
        <v>10.320365921681191</v>
      </c>
      <c r="K9" s="19">
        <v>2.0592134810471568E-3</v>
      </c>
      <c r="L9" s="19">
        <v>2.1251836635265569E-2</v>
      </c>
      <c r="M9" s="19">
        <v>16.870876016591112</v>
      </c>
      <c r="N9" s="19">
        <v>2.5819919904163909E-3</v>
      </c>
      <c r="O9" s="19">
        <v>5225</v>
      </c>
      <c r="P9" s="19">
        <v>81.219274615221437</v>
      </c>
      <c r="Q9" s="19">
        <v>7208.8928000000014</v>
      </c>
      <c r="R9" s="19">
        <v>23.06830027462232</v>
      </c>
      <c r="S9" s="20">
        <f>SUM(AM9:AN9)/2 + (AQ9/$X$1)</f>
        <v>11.362795673397148</v>
      </c>
      <c r="T9" s="20">
        <f>VLOOKUP(AP9,ggg,3,0)</f>
        <v>14.89</v>
      </c>
      <c r="U9" s="20">
        <f t="shared" si="0"/>
        <v>14.491919656806036</v>
      </c>
      <c r="V9" s="20">
        <f>VLOOKUP(AP9,ggg,12,0)</f>
        <v>8.15</v>
      </c>
      <c r="W9" s="20">
        <f>VLOOKUP(AP9,ggg,20,0)</f>
        <v>28.77</v>
      </c>
      <c r="X9" s="20">
        <f>VLOOKUP(AP9,ggg,32,0)</f>
        <v>3.09</v>
      </c>
      <c r="Y9" s="20">
        <f>VLOOKUP(AP9,ggg,28,0)</f>
        <v>3.46</v>
      </c>
      <c r="Z9" s="33"/>
      <c r="AA9" s="33"/>
      <c r="AC9">
        <f>C$3*(C$1-C9)/C$2</f>
        <v>1.0640000000000001</v>
      </c>
      <c r="AD9">
        <f>D$3*(D$1-D9)/D$2</f>
        <v>0</v>
      </c>
      <c r="AE9">
        <f>E$3*(E$1-E9)/E$2</f>
        <v>-1.1442857142857079</v>
      </c>
      <c r="AF9">
        <f>F$3*(F$1-F9)/F$2</f>
        <v>-4.4200000000000017</v>
      </c>
      <c r="AG9">
        <f>G$3*(G$1-G9)/G$2</f>
        <v>1.0000000000000002</v>
      </c>
      <c r="AH9">
        <f>H$3*(H$1-H9)/H$2</f>
        <v>1.399999999999999</v>
      </c>
      <c r="AI9">
        <f>I$3*(I$1-I9)/I$2</f>
        <v>0</v>
      </c>
      <c r="AJ9">
        <f>(Q9-$M$1)/$M$2</f>
        <v>-1.1639733999999999</v>
      </c>
      <c r="AK9">
        <f>(J9-$Q$1)/$Q$2</f>
        <v>-1.4538212289082537</v>
      </c>
      <c r="AM9" s="3">
        <f>SUM(AC9:AK9)+M9+$T$1</f>
        <v>9.1527956733971472</v>
      </c>
      <c r="AN9" s="3">
        <f>SUM(AC9:AK9)+M9+$T$1-AF9-AI9</f>
        <v>13.572795673397149</v>
      </c>
      <c r="AP9" t="str">
        <f>A9&amp;B9</f>
        <v>45483B</v>
      </c>
      <c r="AQ9">
        <f>VLOOKUP(AP9,kut,4,0)</f>
        <v>0</v>
      </c>
      <c r="AS9" s="3">
        <f t="shared" si="1"/>
        <v>12.281919656806036</v>
      </c>
      <c r="AT9" s="3">
        <f t="shared" si="2"/>
        <v>16.701919656806037</v>
      </c>
    </row>
    <row r="10" spans="1:46" hidden="1" x14ac:dyDescent="0.3">
      <c r="A10" s="17">
        <v>45483</v>
      </c>
      <c r="B10" s="18" t="s">
        <v>18</v>
      </c>
      <c r="C10" s="19">
        <v>8.1</v>
      </c>
      <c r="D10" s="19">
        <v>37.799999999999997</v>
      </c>
      <c r="E10" s="19">
        <v>28.24</v>
      </c>
      <c r="F10" s="19">
        <v>52.86</v>
      </c>
      <c r="G10" s="19">
        <v>3.46</v>
      </c>
      <c r="H10" s="19">
        <v>3.14</v>
      </c>
      <c r="I10" s="19">
        <v>161</v>
      </c>
      <c r="J10" s="19">
        <v>8.960527790515382</v>
      </c>
      <c r="K10" s="19">
        <v>7.0080871723806459E-3</v>
      </c>
      <c r="L10" s="19">
        <v>6.2796159866471149E-2</v>
      </c>
      <c r="M10" s="19">
        <v>17.720283664734321</v>
      </c>
      <c r="N10" s="19">
        <v>2.582367365817558E-3</v>
      </c>
      <c r="O10" s="19">
        <v>5225</v>
      </c>
      <c r="P10" s="19">
        <v>81.232434681998512</v>
      </c>
      <c r="Q10" s="19">
        <v>18022.0936</v>
      </c>
      <c r="R10" s="19">
        <v>22.911433097549281</v>
      </c>
      <c r="S10" s="20">
        <f>SUM(AM10:AN10)/2 + (AQ10/$X$1)</f>
        <v>13.527256644047149</v>
      </c>
      <c r="T10" s="20">
        <f>VLOOKUP(AP10,ggg,3,0)</f>
        <v>25.15</v>
      </c>
      <c r="U10" s="20">
        <f t="shared" si="0"/>
        <v>15.806972979312828</v>
      </c>
      <c r="V10" s="20">
        <f>VLOOKUP(AP10,ggg,12,0)</f>
        <v>8.1</v>
      </c>
      <c r="W10" s="20">
        <f>VLOOKUP(AP10,ggg,20,0)</f>
        <v>27.5</v>
      </c>
      <c r="X10" s="20">
        <f>VLOOKUP(AP10,ggg,32,0)</f>
        <v>3.1</v>
      </c>
      <c r="Y10" s="20">
        <f>VLOOKUP(AP10,ggg,28,0)</f>
        <v>3.46</v>
      </c>
      <c r="Z10" s="33"/>
      <c r="AA10" s="33"/>
      <c r="AC10">
        <f>C$3*(C$1-C10)/C$2</f>
        <v>0.20000000000000284</v>
      </c>
      <c r="AD10">
        <f>D$3*(D$1-D10)/D$2</f>
        <v>0</v>
      </c>
      <c r="AE10">
        <f>E$3*(E$1-E10)/E$2</f>
        <v>-2.0299999999999976</v>
      </c>
      <c r="AF10">
        <f>F$3*(F$1-F10)/F$2</f>
        <v>-4.4200000000000017</v>
      </c>
      <c r="AG10">
        <f>G$3*(G$1-G10)/G$2</f>
        <v>1.0000000000000002</v>
      </c>
      <c r="AH10">
        <f>H$3*(H$1-H10)/H$2</f>
        <v>1.2999999999999992</v>
      </c>
      <c r="AI10">
        <f>I$3*(I$1-I10)/I$2</f>
        <v>0</v>
      </c>
      <c r="AJ10">
        <f>(Q10-$M$1)/$M$2</f>
        <v>0.18767669999999997</v>
      </c>
      <c r="AK10">
        <f>(J10-$Q$1)/$Q$2</f>
        <v>0.35929627931282465</v>
      </c>
      <c r="AM10" s="3">
        <f>SUM(AC10:AK10)+M10+$T$1</f>
        <v>11.317256644047148</v>
      </c>
      <c r="AN10" s="3">
        <f>SUM(AC10:AK10)+M10+$T$1-AF10-AI10</f>
        <v>15.73725664404715</v>
      </c>
      <c r="AP10" t="str">
        <f>A10&amp;B10</f>
        <v>45483C</v>
      </c>
      <c r="AQ10">
        <f>VLOOKUP(AP10,kut,4,0)</f>
        <v>0</v>
      </c>
      <c r="AS10" s="3">
        <f t="shared" si="1"/>
        <v>13.596972979312827</v>
      </c>
      <c r="AT10" s="3">
        <f t="shared" si="2"/>
        <v>18.016972979312829</v>
      </c>
    </row>
    <row r="11" spans="1:46" x14ac:dyDescent="0.3">
      <c r="A11" s="17">
        <v>45484</v>
      </c>
      <c r="B11" s="18" t="s">
        <v>19</v>
      </c>
      <c r="C11" s="19">
        <v>8.1</v>
      </c>
      <c r="D11" s="19">
        <v>37.799999999999997</v>
      </c>
      <c r="E11" s="19">
        <v>27.501999999999999</v>
      </c>
      <c r="F11" s="19">
        <v>52.86</v>
      </c>
      <c r="G11" s="19">
        <v>3.46</v>
      </c>
      <c r="H11" s="19">
        <v>3.0960000000000001</v>
      </c>
      <c r="I11" s="19">
        <v>159.19999999999999</v>
      </c>
      <c r="J11" s="19">
        <v>6.7853767553115869</v>
      </c>
      <c r="K11" s="19">
        <v>7.8541630090998207E-3</v>
      </c>
      <c r="L11" s="19">
        <v>5.3293455114374028E-2</v>
      </c>
      <c r="M11" s="19">
        <v>19.585711823137199</v>
      </c>
      <c r="N11" s="19">
        <v>2.5832692855588292E-3</v>
      </c>
      <c r="O11" s="19">
        <v>5225</v>
      </c>
      <c r="P11" s="19">
        <v>81.261337163156</v>
      </c>
      <c r="Q11" s="19">
        <v>21866.438399999999</v>
      </c>
      <c r="R11" s="19">
        <v>25.218904492423881</v>
      </c>
      <c r="S11" s="20">
        <f>SUM(AM11:AN11)/2 + (AQ11/$X$1)</f>
        <v>19.731429282721752</v>
      </c>
      <c r="T11" s="20">
        <f>VLOOKUP(AP11,ggg,3,0)</f>
        <v>19.14</v>
      </c>
      <c r="U11" s="20">
        <f t="shared" si="0"/>
        <v>20.145717459584553</v>
      </c>
      <c r="V11" s="20">
        <f>VLOOKUP(AP11,ggg,12,0)</f>
        <v>7.9</v>
      </c>
      <c r="W11" s="20">
        <f>VLOOKUP(AP11,ggg,20,0)</f>
        <v>27.42</v>
      </c>
      <c r="X11" s="20">
        <f>VLOOKUP(AP11,ggg,32,0)</f>
        <v>3.19</v>
      </c>
      <c r="Y11" s="20">
        <f>VLOOKUP(AP11,ggg,28,0)</f>
        <v>3.55</v>
      </c>
      <c r="Z11" s="33"/>
      <c r="AA11" s="33"/>
      <c r="AC11">
        <f>C$3*(C$1-C11)/C$2</f>
        <v>0.20000000000000284</v>
      </c>
      <c r="AD11">
        <f>D$3*(D$1-D11)/D$2</f>
        <v>0</v>
      </c>
      <c r="AE11">
        <f>E$3*(E$1-E11)/E$2</f>
        <v>-1.291999999999998</v>
      </c>
      <c r="AF11">
        <f>F$3*(F$1-F11)/F$2</f>
        <v>-4.4200000000000017</v>
      </c>
      <c r="AG11">
        <f>G$3*(G$1-G11)/G$2</f>
        <v>1.0000000000000002</v>
      </c>
      <c r="AH11">
        <f>H$3*(H$1-H11)/H$2</f>
        <v>1.5199999999999991</v>
      </c>
      <c r="AI11">
        <f>I$3*(I$1-I11)/I$2</f>
        <v>0</v>
      </c>
      <c r="AJ11">
        <f>(Q11-$M$1)/$M$2</f>
        <v>0.66821979999999981</v>
      </c>
      <c r="AK11">
        <f>(J11-$Q$1)/$Q$2</f>
        <v>3.2594976595845515</v>
      </c>
      <c r="AM11" s="3">
        <f>SUM(AC11:AK11)+M11+$T$1</f>
        <v>17.521429282721751</v>
      </c>
      <c r="AN11" s="3">
        <f>SUM(AC11:AK11)+M11+$T$1-AF11-AI11</f>
        <v>21.941429282721753</v>
      </c>
      <c r="AP11" t="str">
        <f>A11&amp;B11</f>
        <v>45484A</v>
      </c>
      <c r="AQ11">
        <f>VLOOKUP(AP11,kut,4,0)</f>
        <v>0</v>
      </c>
      <c r="AS11" s="3">
        <f t="shared" si="1"/>
        <v>17.935717459584552</v>
      </c>
      <c r="AT11" s="3">
        <f t="shared" si="2"/>
        <v>22.355717459584554</v>
      </c>
    </row>
    <row r="12" spans="1:46" hidden="1" x14ac:dyDescent="0.3">
      <c r="A12" s="17">
        <v>45484</v>
      </c>
      <c r="B12" s="18" t="s">
        <v>20</v>
      </c>
      <c r="C12" s="19">
        <v>7.9060000000000006</v>
      </c>
      <c r="D12" s="19">
        <v>37.571428571428569</v>
      </c>
      <c r="E12" s="19">
        <v>26.97428571428571</v>
      </c>
      <c r="F12" s="19">
        <v>53.72</v>
      </c>
      <c r="G12" s="19">
        <v>3.55</v>
      </c>
      <c r="H12" s="19">
        <v>3.1742857142857139</v>
      </c>
      <c r="I12" s="19">
        <v>159.57142857142861</v>
      </c>
      <c r="J12" s="19">
        <v>9.9460168771347597</v>
      </c>
      <c r="K12" s="19">
        <v>3.2073731084661908E-3</v>
      </c>
      <c r="L12" s="19">
        <v>3.1900587068072923E-2</v>
      </c>
      <c r="M12" s="19">
        <v>19.611418320725871</v>
      </c>
      <c r="N12" s="19">
        <v>2.5833098446853748E-3</v>
      </c>
      <c r="O12" s="19">
        <v>5225</v>
      </c>
      <c r="P12" s="19">
        <v>81.261736026029297</v>
      </c>
      <c r="Q12" s="19">
        <v>11044.2024</v>
      </c>
      <c r="R12" s="19">
        <v>22.300800176206138</v>
      </c>
      <c r="S12" s="20">
        <f>SUM(AM12:AN12)/2 + (AQ12/$X$1)</f>
        <v>15.705312308355722</v>
      </c>
      <c r="T12" s="20">
        <f>VLOOKUP(AP12,ggg,3,0)</f>
        <v>25.01</v>
      </c>
      <c r="U12" s="20">
        <f t="shared" si="0"/>
        <v>16.093893987629851</v>
      </c>
      <c r="V12" s="20">
        <f>VLOOKUP(AP12,ggg,12,0)</f>
        <v>8.0399999999999991</v>
      </c>
      <c r="W12" s="20">
        <f>VLOOKUP(AP12,ggg,20,0)</f>
        <v>28.07</v>
      </c>
      <c r="X12" s="20">
        <f>VLOOKUP(AP12,ggg,32,0)</f>
        <v>3.2</v>
      </c>
      <c r="Y12" s="20">
        <f>VLOOKUP(AP12,ggg,28,0)</f>
        <v>3.79</v>
      </c>
      <c r="Z12" s="33"/>
      <c r="AA12" s="33"/>
      <c r="AC12">
        <f>C$3*(C$1-C12)/C$2</f>
        <v>0.97599999999999909</v>
      </c>
      <c r="AD12">
        <f>D$3*(D$1-D12)/D$2</f>
        <v>0</v>
      </c>
      <c r="AE12">
        <f>E$3*(E$1-E12)/E$2</f>
        <v>-0.76428571428570902</v>
      </c>
      <c r="AF12">
        <f>F$3*(F$1-F12)/F$2</f>
        <v>-2.7000000000000028</v>
      </c>
      <c r="AG12">
        <f>G$3*(G$1-G12)/G$2</f>
        <v>0.74285714285714344</v>
      </c>
      <c r="AH12">
        <f>H$3*(H$1-H12)/H$2</f>
        <v>1.1285714285714299</v>
      </c>
      <c r="AI12">
        <f>I$3*(I$1-I12)/I$2</f>
        <v>0</v>
      </c>
      <c r="AJ12">
        <f>(Q12-$M$1)/$M$2</f>
        <v>-0.68455969999999999</v>
      </c>
      <c r="AK12">
        <f>(J12-$Q$1)/$Q$2</f>
        <v>-0.9546891695130123</v>
      </c>
      <c r="AM12" s="3">
        <f>SUM(AC12:AK12)+M12+$T$1</f>
        <v>14.355312308355721</v>
      </c>
      <c r="AN12" s="3">
        <f>SUM(AC12:AK12)+M12+$T$1-AF12-AI12</f>
        <v>17.055312308355724</v>
      </c>
      <c r="AP12" t="str">
        <f>A12&amp;B12</f>
        <v>45484B</v>
      </c>
      <c r="AQ12">
        <f>VLOOKUP(AP12,kut,4,0)</f>
        <v>0</v>
      </c>
      <c r="AS12" s="3">
        <f t="shared" si="1"/>
        <v>14.74389398762985</v>
      </c>
      <c r="AT12" s="3">
        <f t="shared" si="2"/>
        <v>17.443893987629853</v>
      </c>
    </row>
    <row r="13" spans="1:46" x14ac:dyDescent="0.3">
      <c r="A13" s="17">
        <v>45485</v>
      </c>
      <c r="B13" s="18" t="s">
        <v>19</v>
      </c>
      <c r="C13" s="19">
        <v>7.8925000000000001</v>
      </c>
      <c r="D13" s="19">
        <v>36.714285714285722</v>
      </c>
      <c r="E13" s="19">
        <v>27.657142857142851</v>
      </c>
      <c r="F13" s="19">
        <v>53.72</v>
      </c>
      <c r="G13" s="19">
        <v>3.79</v>
      </c>
      <c r="H13" s="19">
        <v>3.1542857142857139</v>
      </c>
      <c r="I13" s="19">
        <v>160.57142857142861</v>
      </c>
      <c r="J13" s="19">
        <v>9.9827546635485174</v>
      </c>
      <c r="K13" s="19">
        <v>9.8590096329269194E-3</v>
      </c>
      <c r="L13" s="19">
        <v>9.8420074391070964E-2</v>
      </c>
      <c r="M13" s="19">
        <v>20.422821780614431</v>
      </c>
      <c r="N13" s="19">
        <v>2.5836768576897391E-3</v>
      </c>
      <c r="O13" s="19">
        <v>5225</v>
      </c>
      <c r="P13" s="19">
        <v>81.274309318580833</v>
      </c>
      <c r="Q13" s="19">
        <v>32739.054400000001</v>
      </c>
      <c r="R13" s="19">
        <v>22.869696237841069</v>
      </c>
      <c r="S13" s="20">
        <f>SUM(AM13:AN13)/2 + (AQ13/$X$1)</f>
        <v>17.965017124454512</v>
      </c>
      <c r="T13" s="20"/>
      <c r="U13" s="20">
        <f t="shared" si="0"/>
        <v>17.542195343840081</v>
      </c>
      <c r="V13" s="20"/>
      <c r="W13" s="20"/>
      <c r="X13" s="20"/>
      <c r="Y13" s="20"/>
      <c r="Z13" s="33"/>
      <c r="AA13" s="33"/>
      <c r="AC13">
        <f>C$3*(C$1-C13)/C$2</f>
        <v>1.0300000000000011</v>
      </c>
      <c r="AD13">
        <f>D$3*(D$1-D13)/D$2</f>
        <v>0</v>
      </c>
      <c r="AE13">
        <f>E$3*(E$1-E13)/E$2</f>
        <v>-1.4471428571428504</v>
      </c>
      <c r="AF13">
        <f>F$3*(F$1-F13)/F$2</f>
        <v>-2.7000000000000028</v>
      </c>
      <c r="AG13">
        <f>G$3*(G$1-G13)/G$2</f>
        <v>5.714285714285719E-2</v>
      </c>
      <c r="AH13">
        <f>H$3*(H$1-H13)/H$2</f>
        <v>1.22857142857143</v>
      </c>
      <c r="AI13">
        <f>I$3*(I$1-I13)/I$2</f>
        <v>0</v>
      </c>
      <c r="AJ13">
        <f>(Q13-$M$1)/$M$2</f>
        <v>2.0272968000000002</v>
      </c>
      <c r="AK13">
        <f>(J13-$Q$1)/$Q$2</f>
        <v>-1.0036728847313559</v>
      </c>
      <c r="AM13" s="3">
        <f>SUM(AC13:AK13)+M13+$T$1</f>
        <v>16.615017124454511</v>
      </c>
      <c r="AN13" s="3">
        <f>SUM(AC13:AK13)+M13+$T$1-AF13-AI13</f>
        <v>19.315017124454513</v>
      </c>
      <c r="AP13" t="str">
        <f>A13&amp;B13</f>
        <v>45485A</v>
      </c>
      <c r="AQ13">
        <f>VLOOKUP(AP13,kut,4,0)</f>
        <v>0</v>
      </c>
      <c r="AS13" s="3">
        <f t="shared" si="1"/>
        <v>16.19219534384008</v>
      </c>
      <c r="AT13" s="3">
        <f t="shared" si="2"/>
        <v>18.892195343840083</v>
      </c>
    </row>
    <row r="14" spans="1:46" hidden="1" x14ac:dyDescent="0.3">
      <c r="A14" s="17">
        <v>45485</v>
      </c>
      <c r="B14" s="18" t="s">
        <v>20</v>
      </c>
      <c r="C14" s="19">
        <v>7.793333333333333</v>
      </c>
      <c r="D14" s="19">
        <v>38.375</v>
      </c>
      <c r="E14" s="19">
        <v>26.5975</v>
      </c>
      <c r="F14" s="19">
        <v>54.92</v>
      </c>
      <c r="G14" s="19">
        <v>3.74</v>
      </c>
      <c r="H14" s="19">
        <v>3.24</v>
      </c>
      <c r="I14" s="19">
        <v>153.42857142857139</v>
      </c>
      <c r="J14" s="19">
        <v>8.3235450673399551</v>
      </c>
      <c r="K14" s="19">
        <v>3.9509594894873712E-3</v>
      </c>
      <c r="L14" s="19">
        <v>3.2885989369982598E-2</v>
      </c>
      <c r="M14" s="19">
        <v>23.014759107448679</v>
      </c>
      <c r="N14" s="19">
        <v>2.584960857389127E-3</v>
      </c>
      <c r="O14" s="19">
        <v>5225</v>
      </c>
      <c r="P14" s="19">
        <v>81.314467998376443</v>
      </c>
      <c r="Q14" s="19">
        <v>14247.888800000001</v>
      </c>
      <c r="R14" s="19">
        <v>23.220656765705101</v>
      </c>
      <c r="S14" s="20">
        <f>SUM(AM14:AN14)/2 + (AQ14/$X$1)</f>
        <v>22.828433450995409</v>
      </c>
      <c r="T14" s="20">
        <f>VLOOKUP(AP14,ggg,3,0)</f>
        <v>23.78</v>
      </c>
      <c r="U14" s="20">
        <f t="shared" si="0"/>
        <v>19.81367434354673</v>
      </c>
      <c r="V14" s="20">
        <f>VLOOKUP(AP14,ggg,12,0)</f>
        <v>7.82</v>
      </c>
      <c r="W14" s="20">
        <f>VLOOKUP(AP14,ggg,20,0)</f>
        <v>27.24</v>
      </c>
      <c r="X14" s="20">
        <f>VLOOKUP(AP14,ggg,32,0)</f>
        <v>3.08</v>
      </c>
      <c r="Y14" s="20">
        <f>VLOOKUP(AP14,ggg,28,0)</f>
        <v>3.51</v>
      </c>
      <c r="Z14" s="33"/>
      <c r="AA14" s="33"/>
      <c r="AC14">
        <f>C$3*(C$1-C14)/C$2</f>
        <v>1.4266666666666694</v>
      </c>
      <c r="AD14">
        <f>D$3*(D$1-D14)/D$2</f>
        <v>0</v>
      </c>
      <c r="AE14">
        <f>E$3*(E$1-E14)/E$2</f>
        <v>-0.38749999999999929</v>
      </c>
      <c r="AF14">
        <f>F$3*(F$1-F14)/F$2</f>
        <v>-0.29999999999999716</v>
      </c>
      <c r="AG14">
        <f>G$3*(G$1-G14)/G$2</f>
        <v>0.19999999999999954</v>
      </c>
      <c r="AH14">
        <f>H$3*(H$1-H14)/H$2</f>
        <v>0.79999999999999849</v>
      </c>
      <c r="AI14">
        <f>I$3*(I$1-I14)/I$2</f>
        <v>0</v>
      </c>
      <c r="AJ14">
        <f>(Q14-$M$1)/$M$2</f>
        <v>-0.28409889999999993</v>
      </c>
      <c r="AK14">
        <f>(J14-$Q$1)/$Q$2</f>
        <v>1.2086065768800605</v>
      </c>
      <c r="AM14" s="3">
        <f>SUM(AC14:AK14)+M14+$T$1</f>
        <v>22.67843345099541</v>
      </c>
      <c r="AN14" s="3">
        <f>SUM(AC14:AK14)+M14+$T$1-AF14-AI14</f>
        <v>22.978433450995407</v>
      </c>
      <c r="AP14" t="str">
        <f>A14&amp;B14</f>
        <v>45485B</v>
      </c>
      <c r="AQ14">
        <f>VLOOKUP(AP14,kut,4,0)</f>
        <v>0</v>
      </c>
      <c r="AS14" s="3">
        <f t="shared" si="1"/>
        <v>19.663674343546731</v>
      </c>
      <c r="AT14" s="3">
        <f t="shared" si="2"/>
        <v>19.963674343546728</v>
      </c>
    </row>
    <row r="15" spans="1:46" hidden="1" x14ac:dyDescent="0.3">
      <c r="A15" s="17">
        <v>45485</v>
      </c>
      <c r="B15" s="18" t="s">
        <v>18</v>
      </c>
      <c r="C15" s="19">
        <v>7.8174999999999999</v>
      </c>
      <c r="D15" s="19">
        <v>35.799999999999997</v>
      </c>
      <c r="E15" s="19">
        <v>27.24</v>
      </c>
      <c r="F15" s="19">
        <v>54.92</v>
      </c>
      <c r="G15" s="19">
        <v>3.51</v>
      </c>
      <c r="H15" s="19">
        <v>3.08</v>
      </c>
      <c r="I15" s="19">
        <v>149.6</v>
      </c>
      <c r="J15" s="19">
        <v>6.7899912731851151</v>
      </c>
      <c r="K15" s="19">
        <v>6.5829021151556401E-3</v>
      </c>
      <c r="L15" s="19">
        <v>4.4697847914138632E-2</v>
      </c>
      <c r="M15" s="19">
        <v>25.66639268414168</v>
      </c>
      <c r="N15" s="19">
        <v>2.5862446336847081E-3</v>
      </c>
      <c r="O15" s="19">
        <v>5225</v>
      </c>
      <c r="P15" s="19">
        <v>81.355553156717306</v>
      </c>
      <c r="Q15" s="19">
        <v>15957.168</v>
      </c>
      <c r="R15" s="19">
        <v>26.80529981728677</v>
      </c>
      <c r="S15" s="20">
        <f>SUM(AM15:AN15)/2 + (AQ15/$X$1)</f>
        <v>28.456441510371057</v>
      </c>
      <c r="T15" s="20">
        <f>VLOOKUP(AP15,ggg,3,0)</f>
        <v>27.41</v>
      </c>
      <c r="U15" s="20">
        <f t="shared" si="0"/>
        <v>22.790048826229377</v>
      </c>
      <c r="V15" s="20">
        <f>VLOOKUP(AP15,ggg,12,0)</f>
        <v>7.7</v>
      </c>
      <c r="W15" s="20">
        <f>VLOOKUP(AP15,ggg,20,0)</f>
        <v>25.68</v>
      </c>
      <c r="X15" s="20">
        <f>VLOOKUP(AP15,ggg,32,0)</f>
        <v>3.11</v>
      </c>
      <c r="Y15" s="20">
        <f>VLOOKUP(AP15,ggg,28,0)</f>
        <v>3.51</v>
      </c>
      <c r="Z15" s="33"/>
      <c r="AA15" s="33"/>
      <c r="AC15">
        <f>C$3*(C$1-C15)/C$2</f>
        <v>1.3300000000000018</v>
      </c>
      <c r="AD15">
        <f>D$3*(D$1-D15)/D$2</f>
        <v>0</v>
      </c>
      <c r="AE15">
        <f>E$3*(E$1-E15)/E$2</f>
        <v>-1.0299999999999976</v>
      </c>
      <c r="AF15">
        <f>F$3*(F$1-F15)/F$2</f>
        <v>-0.29999999999999716</v>
      </c>
      <c r="AG15">
        <f>G$3*(G$1-G15)/G$2</f>
        <v>0.85714285714285787</v>
      </c>
      <c r="AH15">
        <f>H$3*(H$1-H15)/H$2</f>
        <v>1.5999999999999992</v>
      </c>
      <c r="AI15">
        <f>I$3*(I$1-I15)/I$2</f>
        <v>0</v>
      </c>
      <c r="AJ15">
        <f>(Q15-$M$1)/$M$2</f>
        <v>-7.0439000000000085E-2</v>
      </c>
      <c r="AK15">
        <f>(J15-$Q$1)/$Q$2</f>
        <v>3.2533449690865139</v>
      </c>
      <c r="AM15" s="3">
        <f>SUM(AC15:AK15)+M15+$T$1</f>
        <v>28.306441510371059</v>
      </c>
      <c r="AN15" s="3">
        <f>SUM(AC15:AK15)+M15+$T$1-AF15-AI15</f>
        <v>28.606441510371056</v>
      </c>
      <c r="AP15" t="str">
        <f>A15&amp;B15</f>
        <v>45485C</v>
      </c>
      <c r="AQ15">
        <f>VLOOKUP(AP15,kut,4,0)</f>
        <v>0</v>
      </c>
      <c r="AS15" s="3">
        <f t="shared" si="1"/>
        <v>22.640048826229378</v>
      </c>
      <c r="AT15" s="3">
        <f t="shared" si="2"/>
        <v>22.940048826229376</v>
      </c>
    </row>
    <row r="16" spans="1:46" x14ac:dyDescent="0.3">
      <c r="A16" s="17">
        <v>45488</v>
      </c>
      <c r="B16" s="18" t="s">
        <v>19</v>
      </c>
      <c r="C16" s="19">
        <v>7.7333333333333334</v>
      </c>
      <c r="D16" s="19">
        <v>37.5</v>
      </c>
      <c r="E16" s="19">
        <v>25.664999999999999</v>
      </c>
      <c r="F16" s="19">
        <v>54.92</v>
      </c>
      <c r="G16" s="19">
        <v>3.51</v>
      </c>
      <c r="H16" s="19">
        <v>3.13</v>
      </c>
      <c r="I16" s="19">
        <v>154</v>
      </c>
      <c r="J16" s="19">
        <v>8.5774003121361915</v>
      </c>
      <c r="K16" s="19">
        <v>1.08701053948278E-2</v>
      </c>
      <c r="L16" s="19">
        <v>9.3237245406549249E-2</v>
      </c>
      <c r="M16" s="19">
        <v>27.047629147300899</v>
      </c>
      <c r="N16" s="19">
        <v>2.5869454925276638E-3</v>
      </c>
      <c r="O16" s="19">
        <v>5225</v>
      </c>
      <c r="P16" s="19">
        <v>81.376954551503317</v>
      </c>
      <c r="Q16" s="19">
        <v>33204.263200000001</v>
      </c>
      <c r="R16" s="19">
        <v>27.047635989597971</v>
      </c>
      <c r="S16" s="20">
        <f>SUM(AM16:AN16)/2 + (AQ16/$X$1)</f>
        <v>31.272019488262174</v>
      </c>
      <c r="T16" s="20">
        <f>VLOOKUP(AP16,ggg,3,0)</f>
        <v>27.15</v>
      </c>
      <c r="U16" s="20">
        <f t="shared" si="0"/>
        <v>24.224390340961275</v>
      </c>
      <c r="V16" s="20">
        <f>VLOOKUP(AP16,ggg,12,0)</f>
        <v>7.85</v>
      </c>
      <c r="W16" s="20">
        <f>VLOOKUP(AP16,ggg,20,0)</f>
        <v>28.02</v>
      </c>
      <c r="X16" s="20">
        <f>VLOOKUP(AP16,ggg,32,0)</f>
        <v>3.2</v>
      </c>
      <c r="Y16" s="20">
        <f>VLOOKUP(AP16,ggg,28,0)</f>
        <v>3.72</v>
      </c>
      <c r="Z16" s="33"/>
      <c r="AA16" s="33"/>
      <c r="AC16">
        <f>C$3*(C$1-C16)/C$2</f>
        <v>1.6666666666666679</v>
      </c>
      <c r="AD16">
        <f>D$3*(D$1-D16)/D$2</f>
        <v>0</v>
      </c>
      <c r="AE16">
        <f>E$3*(E$1-E16)/E$2</f>
        <v>0.54500000000000171</v>
      </c>
      <c r="AF16">
        <f>F$3*(F$1-F16)/F$2</f>
        <v>-0.29999999999999716</v>
      </c>
      <c r="AG16">
        <f>G$3*(G$1-G16)/G$2</f>
        <v>0.85714285714285787</v>
      </c>
      <c r="AH16">
        <f>H$3*(H$1-H16)/H$2</f>
        <v>1.35</v>
      </c>
      <c r="AI16">
        <f>I$3*(I$1-I16)/I$2</f>
        <v>0</v>
      </c>
      <c r="AJ16">
        <f>(Q16-$M$1)/$M$2</f>
        <v>2.0854479000000001</v>
      </c>
      <c r="AK16">
        <f>(J16-$Q$1)/$Q$2</f>
        <v>0.87013291715174523</v>
      </c>
      <c r="AM16" s="3">
        <f>SUM(AC16:AK16)+M16+$T$1</f>
        <v>31.122019488262175</v>
      </c>
      <c r="AN16" s="3">
        <f>SUM(AC16:AK16)+M16+$T$1-AF16-AI16</f>
        <v>31.422019488262173</v>
      </c>
      <c r="AP16" t="str">
        <f>A16&amp;B16</f>
        <v>45488A</v>
      </c>
      <c r="AQ16">
        <f>VLOOKUP(AP16,kut,4,0)</f>
        <v>0</v>
      </c>
      <c r="AS16" s="3">
        <f t="shared" si="1"/>
        <v>24.074390340961276</v>
      </c>
      <c r="AT16" s="3">
        <f t="shared" si="2"/>
        <v>24.374390340961273</v>
      </c>
    </row>
    <row r="17" spans="1:46" hidden="1" x14ac:dyDescent="0.3">
      <c r="A17" s="17">
        <v>45488</v>
      </c>
      <c r="B17" s="18" t="s">
        <v>20</v>
      </c>
      <c r="C17" s="19">
        <v>7.9019999999999992</v>
      </c>
      <c r="D17" s="19">
        <v>37.666666666666657</v>
      </c>
      <c r="E17" s="19">
        <v>27.594999999999999</v>
      </c>
      <c r="F17" s="19">
        <v>54.99</v>
      </c>
      <c r="G17" s="19">
        <v>3.72</v>
      </c>
      <c r="H17" s="19">
        <v>3.2333333333333329</v>
      </c>
      <c r="I17" s="19">
        <v>143.5</v>
      </c>
      <c r="J17" s="19">
        <v>8.1046090310968513</v>
      </c>
      <c r="K17" s="19">
        <v>3.6990004578598112E-4</v>
      </c>
      <c r="L17" s="19">
        <v>2.997895251680201E-3</v>
      </c>
      <c r="M17" s="19">
        <v>18.596426733033919</v>
      </c>
      <c r="N17" s="19">
        <v>2.5828320303703648E-3</v>
      </c>
      <c r="O17" s="19">
        <v>5225</v>
      </c>
      <c r="P17" s="19">
        <v>81.246010485912905</v>
      </c>
      <c r="Q17" s="19">
        <v>1077.6079999999999</v>
      </c>
      <c r="R17" s="19">
        <v>20.983227237490279</v>
      </c>
      <c r="S17" s="20">
        <f>SUM(AM17:AN17)/2 + (AQ17/$X$1)</f>
        <v>15.784040215380983</v>
      </c>
      <c r="T17" s="20">
        <f>VLOOKUP(AP17,ggg,3,0)</f>
        <v>25.48</v>
      </c>
      <c r="U17" s="20">
        <f t="shared" si="0"/>
        <v>17.187613482347064</v>
      </c>
      <c r="V17" s="20">
        <f>VLOOKUP(AP17,ggg,12,0)</f>
        <v>7.84</v>
      </c>
      <c r="W17" s="20">
        <f>VLOOKUP(AP17,ggg,20,0)</f>
        <v>27.3</v>
      </c>
      <c r="X17" s="20">
        <f>VLOOKUP(AP17,ggg,32,0)</f>
        <v>3.2</v>
      </c>
      <c r="Y17" s="20">
        <f>VLOOKUP(AP17,ggg,28,0)</f>
        <v>3.56</v>
      </c>
      <c r="Z17" s="33"/>
      <c r="AA17" s="33"/>
      <c r="AC17">
        <f>C$3*(C$1-C17)/C$2</f>
        <v>0.99200000000000454</v>
      </c>
      <c r="AD17">
        <f>D$3*(D$1-D17)/D$2</f>
        <v>0</v>
      </c>
      <c r="AE17">
        <f>E$3*(E$1-E17)/E$2</f>
        <v>-1.384999999999998</v>
      </c>
      <c r="AF17">
        <f>F$3*(F$1-F17)/F$2</f>
        <v>-0.15999999999999659</v>
      </c>
      <c r="AG17">
        <f>G$3*(G$1-G17)/G$2</f>
        <v>0.25714285714285673</v>
      </c>
      <c r="AH17">
        <f>H$3*(H$1-H17)/H$2</f>
        <v>0.83333333333333481</v>
      </c>
      <c r="AI17">
        <f>I$3*(I$1-I17)/I$2</f>
        <v>0</v>
      </c>
      <c r="AJ17">
        <f>(Q17-$M$1)/$M$2</f>
        <v>-1.9303840000000001</v>
      </c>
      <c r="AK17">
        <f>(J17-$Q$1)/$Q$2</f>
        <v>1.5005212918708655</v>
      </c>
      <c r="AM17" s="3">
        <f>SUM(AC17:AK17)+M17+$T$1</f>
        <v>15.704040215380985</v>
      </c>
      <c r="AN17" s="3">
        <f>SUM(AC17:AK17)+M17+$T$1-AF17-AI17</f>
        <v>15.864040215380982</v>
      </c>
      <c r="AP17" t="str">
        <f>A17&amp;B17</f>
        <v>45488B</v>
      </c>
      <c r="AQ17">
        <f>VLOOKUP(AP17,kut,4,0)</f>
        <v>0</v>
      </c>
      <c r="AS17" s="3">
        <f t="shared" si="1"/>
        <v>17.107613482347066</v>
      </c>
      <c r="AT17" s="3">
        <f t="shared" si="2"/>
        <v>17.267613482347063</v>
      </c>
    </row>
    <row r="18" spans="1:46" hidden="1" x14ac:dyDescent="0.3">
      <c r="A18" s="17">
        <v>45488</v>
      </c>
      <c r="B18" s="18" t="s">
        <v>18</v>
      </c>
      <c r="C18" s="19">
        <v>7.67</v>
      </c>
      <c r="D18" s="19">
        <v>37</v>
      </c>
      <c r="E18" s="19">
        <v>27.024999999999999</v>
      </c>
      <c r="F18" s="19">
        <v>54.99</v>
      </c>
      <c r="G18" s="19">
        <v>3.56</v>
      </c>
      <c r="H18" s="19">
        <v>3.17</v>
      </c>
      <c r="I18" s="19">
        <v>148.5</v>
      </c>
      <c r="J18" s="19">
        <v>9.333760622738998</v>
      </c>
      <c r="K18" s="19">
        <v>3.0845198740180528E-3</v>
      </c>
      <c r="L18" s="19">
        <v>2.879017014016555E-2</v>
      </c>
      <c r="M18" s="19">
        <v>23.80441751918011</v>
      </c>
      <c r="N18" s="19">
        <v>2.5853617057254689E-3</v>
      </c>
      <c r="O18" s="19">
        <v>5225</v>
      </c>
      <c r="P18" s="19">
        <v>81.326703058197907</v>
      </c>
      <c r="Q18" s="19">
        <v>10342.7528</v>
      </c>
      <c r="R18" s="19">
        <v>24.978058504144769</v>
      </c>
      <c r="S18" s="20">
        <f>SUM(AM18:AN18)/2 + (AQ18/$X$1)</f>
        <v>22.7831148364805</v>
      </c>
      <c r="T18" s="20">
        <f>VLOOKUP(AP18,ggg,3,0)</f>
        <v>23</v>
      </c>
      <c r="U18" s="20">
        <f t="shared" si="0"/>
        <v>18.978697317300391</v>
      </c>
      <c r="V18" s="20">
        <f>VLOOKUP(AP18,ggg,12,0)</f>
        <v>8.0299999999999994</v>
      </c>
      <c r="W18" s="20">
        <f>VLOOKUP(AP18,ggg,20,0)</f>
        <v>26.16</v>
      </c>
      <c r="X18" s="20">
        <f>VLOOKUP(AP18,ggg,32,0)</f>
        <v>3.16</v>
      </c>
      <c r="Y18" s="20">
        <f>VLOOKUP(AP18,ggg,28,0)</f>
        <v>3.56</v>
      </c>
      <c r="Z18" s="33"/>
      <c r="AA18" s="33"/>
      <c r="AC18">
        <f>C$3*(C$1-C18)/C$2</f>
        <v>1.9200000000000017</v>
      </c>
      <c r="AD18">
        <f>D$3*(D$1-D18)/D$2</f>
        <v>0</v>
      </c>
      <c r="AE18">
        <f>E$3*(E$1-E18)/E$2</f>
        <v>-0.81499999999999773</v>
      </c>
      <c r="AF18">
        <f>F$3*(F$1-F18)/F$2</f>
        <v>-0.15999999999999659</v>
      </c>
      <c r="AG18">
        <f>G$3*(G$1-G18)/G$2</f>
        <v>0.7142857142857143</v>
      </c>
      <c r="AH18">
        <f>H$3*(H$1-H18)/H$2</f>
        <v>1.1499999999999999</v>
      </c>
      <c r="AI18">
        <f>I$3*(I$1-I18)/I$2</f>
        <v>0</v>
      </c>
      <c r="AJ18">
        <f>(Q18-$M$1)/$M$2</f>
        <v>-0.77224090000000001</v>
      </c>
      <c r="AK18">
        <f>(J18-$Q$1)/$Q$2</f>
        <v>-0.13834749698533008</v>
      </c>
      <c r="AM18" s="3">
        <f>SUM(AC18:AK18)+M18+$T$1</f>
        <v>22.703114836480502</v>
      </c>
      <c r="AN18" s="3">
        <f>SUM(AC18:AK18)+M18+$T$1-AF18-AI18</f>
        <v>22.863114836480499</v>
      </c>
      <c r="AP18" t="str">
        <f>A18&amp;B18</f>
        <v>45488C</v>
      </c>
      <c r="AQ18">
        <f>VLOOKUP(AP18,kut,4,0)</f>
        <v>0</v>
      </c>
      <c r="AS18" s="3">
        <f t="shared" si="1"/>
        <v>18.898697317300392</v>
      </c>
      <c r="AT18" s="3">
        <f t="shared" si="2"/>
        <v>19.058697317300389</v>
      </c>
    </row>
    <row r="19" spans="1:46" x14ac:dyDescent="0.3">
      <c r="A19" s="17">
        <v>45489</v>
      </c>
      <c r="B19" s="18" t="s">
        <v>19</v>
      </c>
      <c r="C19" s="19">
        <v>8.0333333333333332</v>
      </c>
      <c r="D19" s="19">
        <v>36.833333333333343</v>
      </c>
      <c r="E19" s="19">
        <v>26.161666666666669</v>
      </c>
      <c r="F19" s="19">
        <v>54.99</v>
      </c>
      <c r="G19" s="19">
        <v>3.56</v>
      </c>
      <c r="H19" s="19">
        <v>3.1566666666666672</v>
      </c>
      <c r="I19" s="19">
        <v>151.16666666666671</v>
      </c>
      <c r="J19" s="19">
        <v>7.1200321546739529</v>
      </c>
      <c r="K19" s="19">
        <v>5.3534619623004792E-3</v>
      </c>
      <c r="L19" s="19">
        <v>3.811682131040333E-2</v>
      </c>
      <c r="M19" s="19">
        <v>22.34962378157385</v>
      </c>
      <c r="N19" s="19">
        <v>2.585679148841264E-3</v>
      </c>
      <c r="O19" s="19">
        <v>5225</v>
      </c>
      <c r="P19" s="19">
        <v>81.304163623867737</v>
      </c>
      <c r="Q19" s="19">
        <v>17660.400000000001</v>
      </c>
      <c r="R19" s="19">
        <v>22.8736565256124</v>
      </c>
      <c r="S19" s="20">
        <f>SUM(AM19:AN19)/2 + (AQ19/$X$1)</f>
        <v>24.671331622960963</v>
      </c>
      <c r="T19" s="20">
        <f>VLOOKUP(AP19,ggg,3,0)</f>
        <v>25.98</v>
      </c>
      <c r="U19" s="20">
        <f t="shared" si="0"/>
        <v>22.321707841387109</v>
      </c>
      <c r="V19" s="20">
        <f>VLOOKUP(AP19,ggg,12,0)</f>
        <v>7.6</v>
      </c>
      <c r="W19" s="20">
        <f>VLOOKUP(AP19,ggg,20,0)</f>
        <v>29.2</v>
      </c>
      <c r="X19" s="20">
        <f>VLOOKUP(AP19,ggg,32,0)</f>
        <v>2.95</v>
      </c>
      <c r="Y19" s="20">
        <f>VLOOKUP(AP19,ggg,28,0)</f>
        <v>3.56</v>
      </c>
      <c r="Z19" s="33"/>
      <c r="AA19" s="33"/>
      <c r="AC19">
        <f>C$3*(C$1-C19)/C$2</f>
        <v>0.46666666666666856</v>
      </c>
      <c r="AD19">
        <f>D$3*(D$1-D19)/D$2</f>
        <v>0</v>
      </c>
      <c r="AE19">
        <f>E$3*(E$1-E19)/E$2</f>
        <v>4.8333333333332007E-2</v>
      </c>
      <c r="AF19">
        <f>F$3*(F$1-F19)/F$2</f>
        <v>-0.15999999999999659</v>
      </c>
      <c r="AG19">
        <f>G$3*(G$1-G19)/G$2</f>
        <v>0.7142857142857143</v>
      </c>
      <c r="AH19">
        <f>H$3*(H$1-H19)/H$2</f>
        <v>1.2166666666666639</v>
      </c>
      <c r="AI19">
        <f>I$3*(I$1-I19)/I$2</f>
        <v>0</v>
      </c>
      <c r="AJ19">
        <f>(Q19-$M$1)/$M$2</f>
        <v>0.14246500000000015</v>
      </c>
      <c r="AK19">
        <f>(J19-$Q$1)/$Q$2</f>
        <v>2.8132904604347302</v>
      </c>
      <c r="AM19" s="3">
        <f>SUM(AC19:AK19)+M19+$T$1</f>
        <v>24.591331622960965</v>
      </c>
      <c r="AN19" s="3">
        <f>SUM(AC19:AK19)+M19+$T$1-AF19-AI19</f>
        <v>24.751331622960961</v>
      </c>
      <c r="AP19" t="str">
        <f>A19&amp;B19</f>
        <v>45489A</v>
      </c>
      <c r="AQ19">
        <f>VLOOKUP(AP19,kut,4,0)</f>
        <v>0</v>
      </c>
      <c r="AS19" s="3">
        <f t="shared" si="1"/>
        <v>22.241707841387111</v>
      </c>
      <c r="AT19" s="3">
        <f t="shared" si="2"/>
        <v>22.401707841387108</v>
      </c>
    </row>
    <row r="20" spans="1:46" hidden="1" x14ac:dyDescent="0.3">
      <c r="A20" s="17">
        <v>45489</v>
      </c>
      <c r="B20" s="18" t="s">
        <v>20</v>
      </c>
      <c r="C20" s="19">
        <v>7.8599999999999994</v>
      </c>
      <c r="D20" s="19">
        <v>36.666666666666657</v>
      </c>
      <c r="E20" s="19">
        <v>26.45</v>
      </c>
      <c r="F20" s="19">
        <v>54.23</v>
      </c>
      <c r="G20" s="19">
        <v>3.56</v>
      </c>
      <c r="H20" s="19">
        <v>3.0366666666666671</v>
      </c>
      <c r="I20" s="19">
        <v>154</v>
      </c>
      <c r="J20" s="19">
        <v>10.553963409824471</v>
      </c>
      <c r="K20" s="19">
        <v>2.938373472320129E-3</v>
      </c>
      <c r="L20" s="19">
        <v>3.1011486111265519E-2</v>
      </c>
      <c r="M20" s="19">
        <v>21.981697896712241</v>
      </c>
      <c r="N20" s="19">
        <v>2.5844728764096571E-3</v>
      </c>
      <c r="O20" s="19">
        <v>5225</v>
      </c>
      <c r="P20" s="19">
        <v>81.298461240943666</v>
      </c>
      <c r="Q20" s="19">
        <v>5857.9984000000004</v>
      </c>
      <c r="R20" s="19">
        <v>24.337405336533831</v>
      </c>
      <c r="S20" s="20">
        <f>SUM(AM20:AN20)/2 + (AQ20/$X$1)</f>
        <v>18.494530531231995</v>
      </c>
      <c r="T20" s="20">
        <f>VLOOKUP(AP20,ggg,3,0)</f>
        <v>28.36</v>
      </c>
      <c r="U20" s="20">
        <f t="shared" si="0"/>
        <v>16.512832634519754</v>
      </c>
      <c r="V20" s="20">
        <f>VLOOKUP(AP20,ggg,12,0)</f>
        <v>7.62</v>
      </c>
      <c r="W20" s="20">
        <f>VLOOKUP(AP20,ggg,20,0)</f>
        <v>26.34</v>
      </c>
      <c r="X20" s="20">
        <f>VLOOKUP(AP20,ggg,32,0)</f>
        <v>3.01</v>
      </c>
      <c r="Y20" s="20">
        <f>VLOOKUP(AP20,ggg,28,0)</f>
        <v>3.3</v>
      </c>
      <c r="Z20" s="33"/>
      <c r="AA20" s="33"/>
      <c r="AC20">
        <f>C$3*(C$1-C20)/C$2</f>
        <v>1.1600000000000037</v>
      </c>
      <c r="AD20">
        <f>D$3*(D$1-D20)/D$2</f>
        <v>0</v>
      </c>
      <c r="AE20">
        <f>E$3*(E$1-E20)/E$2</f>
        <v>-0.23999999999999844</v>
      </c>
      <c r="AF20">
        <f>F$3*(F$1-F20)/F$2</f>
        <v>-1.680000000000007</v>
      </c>
      <c r="AG20">
        <f>G$3*(G$1-G20)/G$2</f>
        <v>0.7142857142857143</v>
      </c>
      <c r="AH20">
        <f>H$3*(H$1-H20)/H$2</f>
        <v>1.8166666666666642</v>
      </c>
      <c r="AI20">
        <f>I$3*(I$1-I20)/I$2</f>
        <v>0</v>
      </c>
      <c r="AJ20">
        <f>(Q20-$M$1)/$M$2</f>
        <v>-1.3328351999999999</v>
      </c>
      <c r="AK20">
        <f>(J20-$Q$1)/$Q$2</f>
        <v>-1.7652845464326272</v>
      </c>
      <c r="AM20" s="3">
        <f>SUM(AC20:AK20)+M20+$T$1</f>
        <v>17.654530531231991</v>
      </c>
      <c r="AN20" s="3">
        <f>SUM(AC20:AK20)+M20+$T$1-AF20-AI20</f>
        <v>19.334530531231998</v>
      </c>
      <c r="AP20" t="str">
        <f>A20&amp;B20</f>
        <v>45489B</v>
      </c>
      <c r="AQ20">
        <f>VLOOKUP(AP20,kut,4,0)</f>
        <v>0</v>
      </c>
      <c r="AS20" s="3">
        <f t="shared" si="1"/>
        <v>15.67283263451975</v>
      </c>
      <c r="AT20" s="3">
        <f t="shared" si="2"/>
        <v>17.352832634519757</v>
      </c>
    </row>
    <row r="21" spans="1:46" hidden="1" x14ac:dyDescent="0.3">
      <c r="A21" s="17">
        <v>45489</v>
      </c>
      <c r="B21" s="18" t="s">
        <v>18</v>
      </c>
      <c r="C21" s="19">
        <v>7.6033333333333326</v>
      </c>
      <c r="D21" s="19">
        <v>37.555555555555557</v>
      </c>
      <c r="E21" s="19">
        <v>26.466666666666669</v>
      </c>
      <c r="F21" s="19">
        <v>54.23</v>
      </c>
      <c r="G21" s="19">
        <v>3.3033333333333328</v>
      </c>
      <c r="H21" s="19">
        <v>3</v>
      </c>
      <c r="I21" s="19">
        <v>156.55555555555549</v>
      </c>
      <c r="J21" s="19">
        <v>7.8003733591450644</v>
      </c>
      <c r="K21" s="19">
        <v>8.6044133517894691E-3</v>
      </c>
      <c r="L21" s="19">
        <v>6.7117636680370657E-2</v>
      </c>
      <c r="M21" s="19">
        <v>27.04768365546531</v>
      </c>
      <c r="N21" s="19">
        <v>2.586920323303204E-3</v>
      </c>
      <c r="O21" s="19">
        <v>5225</v>
      </c>
      <c r="P21" s="19">
        <v>81.376955277036103</v>
      </c>
      <c r="Q21" s="19">
        <v>28516.504000000001</v>
      </c>
      <c r="R21" s="19">
        <v>27.047683848257641</v>
      </c>
      <c r="S21" s="20">
        <f>SUM(AM21:AN21)/2 + (AQ21/$X$1)</f>
        <v>31.990949557557606</v>
      </c>
      <c r="T21" s="20">
        <f>VLOOKUP(AP21,ggg,3,0)</f>
        <v>27.67</v>
      </c>
      <c r="U21" s="20">
        <f t="shared" si="0"/>
        <v>24.943265902092296</v>
      </c>
      <c r="V21" s="20">
        <f>VLOOKUP(AP21,ggg,12,0)</f>
        <v>7.6</v>
      </c>
      <c r="W21" s="20">
        <f>VLOOKUP(AP21,ggg,20,0)</f>
        <v>26.26</v>
      </c>
      <c r="X21" s="20">
        <f>VLOOKUP(AP21,ggg,32,0)</f>
        <v>3.01</v>
      </c>
      <c r="Y21" s="20">
        <f>VLOOKUP(AP21,ggg,28,0)</f>
        <v>3.3</v>
      </c>
      <c r="Z21" s="33"/>
      <c r="AA21" s="33"/>
      <c r="AC21">
        <f>C$3*(C$1-C21)/C$2</f>
        <v>2.186666666666671</v>
      </c>
      <c r="AD21">
        <f>D$3*(D$1-D21)/D$2</f>
        <v>0</v>
      </c>
      <c r="AE21">
        <f>E$3*(E$1-E21)/E$2</f>
        <v>-0.25666666666666771</v>
      </c>
      <c r="AF21">
        <f>F$3*(F$1-F21)/F$2</f>
        <v>-1.680000000000007</v>
      </c>
      <c r="AG21">
        <f>G$3*(G$1-G21)/G$2</f>
        <v>1.4476190476190491</v>
      </c>
      <c r="AH21">
        <f>H$3*(H$1-H21)/H$2</f>
        <v>1.9999999999999996</v>
      </c>
      <c r="AI21">
        <f>I$3*(I$1-I21)/I$2</f>
        <v>0</v>
      </c>
      <c r="AJ21">
        <f>(Q21-$M$1)/$M$2</f>
        <v>1.4994780000000001</v>
      </c>
      <c r="AK21">
        <f>(J21-$Q$1)/$Q$2</f>
        <v>1.906168854473248</v>
      </c>
      <c r="AM21" s="3">
        <f>SUM(AC21:AK21)+M21+$T$1</f>
        <v>31.150949557557603</v>
      </c>
      <c r="AN21" s="3">
        <f>SUM(AC21:AK21)+M21+$T$1-AF21-AI21</f>
        <v>32.830949557557609</v>
      </c>
      <c r="AP21" t="str">
        <f>A21&amp;B21</f>
        <v>45489C</v>
      </c>
      <c r="AQ21">
        <f>VLOOKUP(AP21,kut,4,0)</f>
        <v>0</v>
      </c>
      <c r="AS21" s="3">
        <f t="shared" si="1"/>
        <v>24.103265902092293</v>
      </c>
      <c r="AT21" s="3">
        <f t="shared" si="2"/>
        <v>25.7832659020923</v>
      </c>
    </row>
    <row r="22" spans="1:46" x14ac:dyDescent="0.3">
      <c r="A22" s="17">
        <v>45490</v>
      </c>
      <c r="B22" s="18" t="s">
        <v>19</v>
      </c>
      <c r="C22" s="19">
        <v>7.55</v>
      </c>
      <c r="D22" s="19">
        <v>34.75</v>
      </c>
      <c r="E22" s="19">
        <v>26.254999999999999</v>
      </c>
      <c r="F22" s="19">
        <v>54.23</v>
      </c>
      <c r="G22" s="19">
        <v>3.3</v>
      </c>
      <c r="H22" s="19">
        <v>2.95</v>
      </c>
      <c r="I22" s="19">
        <v>144.75</v>
      </c>
      <c r="J22" s="19">
        <v>9.4718035520782227</v>
      </c>
      <c r="K22" s="19">
        <v>3.4492076919714521E-3</v>
      </c>
      <c r="L22" s="19">
        <v>3.2670217668670731E-2</v>
      </c>
      <c r="M22" s="19">
        <v>25.569407447659191</v>
      </c>
      <c r="N22" s="19">
        <v>2.5862056785979199E-3</v>
      </c>
      <c r="O22" s="19">
        <v>5225</v>
      </c>
      <c r="P22" s="19">
        <v>81.354050371532892</v>
      </c>
      <c r="Q22" s="19">
        <v>8091.0095999999994</v>
      </c>
      <c r="R22" s="19">
        <v>27.047682913698189</v>
      </c>
      <c r="S22" s="20">
        <f>SUM(AM22:AN22)/2 + (AQ22/$X$1)</f>
        <v>26.415436768697752</v>
      </c>
      <c r="T22" s="20">
        <f>VLOOKUP(AP22,ggg,3,0)</f>
        <v>28.5</v>
      </c>
      <c r="U22" s="20">
        <f t="shared" si="0"/>
        <v>20.846029321038561</v>
      </c>
      <c r="V22" s="20">
        <f>VLOOKUP(AP22,ggg,12,0)</f>
        <v>8.1999999999999993</v>
      </c>
      <c r="W22" s="20">
        <f>VLOOKUP(AP22,ggg,20,0)</f>
        <v>29.6</v>
      </c>
      <c r="X22" s="20">
        <f>VLOOKUP(AP22,ggg,32,0)</f>
        <v>3.26</v>
      </c>
      <c r="Y22" s="20">
        <f>VLOOKUP(AP22,ggg,28,0)</f>
        <v>3.47</v>
      </c>
      <c r="Z22" s="33"/>
      <c r="AA22" s="33"/>
      <c r="AC22">
        <f>C$3*(C$1-C22)/C$2</f>
        <v>2.4000000000000021</v>
      </c>
      <c r="AD22">
        <f>D$3*(D$1-D22)/D$2</f>
        <v>0</v>
      </c>
      <c r="AE22">
        <f>E$3*(E$1-E22)/E$2</f>
        <v>-4.4999999999998153E-2</v>
      </c>
      <c r="AF22">
        <f>F$3*(F$1-F22)/F$2</f>
        <v>-1.680000000000007</v>
      </c>
      <c r="AG22">
        <f>G$3*(G$1-G22)/G$2</f>
        <v>1.4571428571428577</v>
      </c>
      <c r="AH22">
        <f>H$3*(H$1-H22)/H$2</f>
        <v>2.2499999999999987</v>
      </c>
      <c r="AI22">
        <f>I$3*(I$1-I22)/I$2</f>
        <v>0</v>
      </c>
      <c r="AJ22">
        <f>(Q22-$M$1)/$M$2</f>
        <v>-1.0537088000000001</v>
      </c>
      <c r="AK22">
        <f>(J22-$Q$1)/$Q$2</f>
        <v>-0.32240473610429632</v>
      </c>
      <c r="AM22" s="3">
        <f>SUM(AC22:AK22)+M22+$T$1</f>
        <v>25.575436768697749</v>
      </c>
      <c r="AN22" s="3">
        <f>SUM(AC22:AK22)+M22+$T$1-AF22-AI22</f>
        <v>27.255436768697756</v>
      </c>
      <c r="AP22" t="str">
        <f>A22&amp;B22</f>
        <v>45490A</v>
      </c>
      <c r="AQ22">
        <f>VLOOKUP(AP22,kut,4,0)</f>
        <v>0</v>
      </c>
      <c r="AS22" s="3">
        <f t="shared" si="1"/>
        <v>20.006029321038557</v>
      </c>
      <c r="AT22" s="3">
        <f t="shared" si="2"/>
        <v>21.686029321038564</v>
      </c>
    </row>
    <row r="23" spans="1:46" hidden="1" x14ac:dyDescent="0.3">
      <c r="A23" s="17">
        <v>45490</v>
      </c>
      <c r="B23" s="18" t="s">
        <v>20</v>
      </c>
      <c r="C23" s="19">
        <v>7.9924999999999997</v>
      </c>
      <c r="D23" s="19">
        <v>38</v>
      </c>
      <c r="E23" s="19">
        <v>28.353999999999999</v>
      </c>
      <c r="F23" s="19">
        <v>54.724999999999987</v>
      </c>
      <c r="G23" s="19">
        <v>3.47</v>
      </c>
      <c r="H23" s="19">
        <v>3.18</v>
      </c>
      <c r="I23" s="19">
        <v>152.19999999999999</v>
      </c>
      <c r="J23" s="19">
        <v>11.099797918605629</v>
      </c>
      <c r="K23" s="19">
        <v>2.7451062262070819E-3</v>
      </c>
      <c r="L23" s="19">
        <v>3.0470124376004739E-2</v>
      </c>
      <c r="M23" s="19">
        <v>19.890121428333231</v>
      </c>
      <c r="N23" s="19">
        <v>2.583482165067348E-3</v>
      </c>
      <c r="O23" s="19">
        <v>5225</v>
      </c>
      <c r="P23" s="19">
        <v>81.266053971420348</v>
      </c>
      <c r="Q23" s="19">
        <v>9003.1600000000017</v>
      </c>
      <c r="R23" s="19">
        <v>21.040673411928559</v>
      </c>
      <c r="S23" s="20">
        <f>SUM(AM23:AN23)/2 + (AQ23/$X$1)</f>
        <v>13.66979610828762</v>
      </c>
      <c r="T23" s="20">
        <f>VLOOKUP(AP23,ggg,3,0)</f>
        <v>24.23</v>
      </c>
      <c r="U23" s="20">
        <f t="shared" si="0"/>
        <v>13.77967467995439</v>
      </c>
      <c r="V23" s="20">
        <f>VLOOKUP(AP23,ggg,12,0)</f>
        <v>8.1</v>
      </c>
      <c r="W23" s="20">
        <f>VLOOKUP(AP23,ggg,20,0)</f>
        <v>28.7</v>
      </c>
      <c r="X23" s="20">
        <f>VLOOKUP(AP23,ggg,32,0)</f>
        <v>3.18</v>
      </c>
      <c r="Y23" s="20">
        <f>VLOOKUP(AP23,ggg,28,0)</f>
        <v>3.37</v>
      </c>
      <c r="Z23" s="33"/>
      <c r="AA23" s="33"/>
      <c r="AC23">
        <f>C$3*(C$1-C23)/C$2</f>
        <v>0.63000000000000256</v>
      </c>
      <c r="AD23">
        <f>D$3*(D$1-D23)/D$2</f>
        <v>0</v>
      </c>
      <c r="AE23">
        <f>E$3*(E$1-E23)/E$2</f>
        <v>-2.1439999999999984</v>
      </c>
      <c r="AF23">
        <f>F$3*(F$1-F23)/F$2</f>
        <v>-0.69000000000002615</v>
      </c>
      <c r="AG23">
        <f>G$3*(G$1-G23)/G$2</f>
        <v>0.97142857142857097</v>
      </c>
      <c r="AH23">
        <f>H$3*(H$1-H23)/H$2</f>
        <v>1.099999999999999</v>
      </c>
      <c r="AI23">
        <f>I$3*(I$1-I23)/I$2</f>
        <v>0</v>
      </c>
      <c r="AJ23">
        <f>(Q23-$M$1)/$M$2</f>
        <v>-0.9396899999999998</v>
      </c>
      <c r="AK23">
        <f>(J23-$Q$1)/$Q$2</f>
        <v>-2.4930638914741721</v>
      </c>
      <c r="AM23" s="3">
        <f>SUM(AC23:AK23)+M23+$T$1</f>
        <v>13.324796108287607</v>
      </c>
      <c r="AN23" s="3">
        <f>SUM(AC23:AK23)+M23+$T$1-AF23-AI23</f>
        <v>14.014796108287634</v>
      </c>
      <c r="AP23" t="str">
        <f>A23&amp;B23</f>
        <v>45490B</v>
      </c>
      <c r="AQ23">
        <f>VLOOKUP(AP23,kut,4,0)</f>
        <v>0</v>
      </c>
      <c r="AS23" s="3">
        <f t="shared" si="1"/>
        <v>13.434674679954377</v>
      </c>
      <c r="AT23" s="3">
        <f t="shared" si="2"/>
        <v>14.124674679954403</v>
      </c>
    </row>
    <row r="24" spans="1:46" hidden="1" x14ac:dyDescent="0.3">
      <c r="A24" s="17">
        <v>45490</v>
      </c>
      <c r="B24" s="18" t="s">
        <v>18</v>
      </c>
      <c r="C24" s="19">
        <v>8.0075000000000003</v>
      </c>
      <c r="D24" s="19">
        <v>36.571428571428569</v>
      </c>
      <c r="E24" s="19">
        <v>28.514285714285709</v>
      </c>
      <c r="F24" s="19">
        <v>55.22</v>
      </c>
      <c r="G24" s="19">
        <v>3.37</v>
      </c>
      <c r="H24" s="19">
        <v>3.128571428571429</v>
      </c>
      <c r="I24" s="19">
        <v>146.28571428571431</v>
      </c>
      <c r="J24" s="19">
        <v>10.471883474380631</v>
      </c>
      <c r="K24" s="19">
        <v>3.6831928434428139E-3</v>
      </c>
      <c r="L24" s="19">
        <v>3.8569966270205813E-2</v>
      </c>
      <c r="M24" s="19">
        <v>21.00091546195711</v>
      </c>
      <c r="N24" s="19">
        <v>2.5854754814067789E-3</v>
      </c>
      <c r="O24" s="19">
        <v>5225</v>
      </c>
      <c r="P24" s="19">
        <v>81.283265937801161</v>
      </c>
      <c r="Q24" s="19">
        <v>13002.228800000001</v>
      </c>
      <c r="R24" s="19">
        <v>21.94930031189881</v>
      </c>
      <c r="S24" s="20">
        <f>SUM(AM24:AN24)/2 + (AQ24/$X$1)</f>
        <v>16.935264429449607</v>
      </c>
      <c r="T24" s="20">
        <f>VLOOKUP(AP24,ggg,3,0)</f>
        <v>15.96</v>
      </c>
      <c r="U24" s="20">
        <f t="shared" si="0"/>
        <v>15.934348967492497</v>
      </c>
      <c r="V24" s="20">
        <f>VLOOKUP(AP24,ggg,12,0)</f>
        <v>8.4</v>
      </c>
      <c r="W24" s="20">
        <f>VLOOKUP(AP24,ggg,20,0)</f>
        <v>27.05</v>
      </c>
      <c r="X24" s="20">
        <f>VLOOKUP(AP24,ggg,32,0)</f>
        <v>3.32</v>
      </c>
      <c r="Y24" s="20">
        <f>VLOOKUP(AP24,ggg,28,0)</f>
        <v>3.37</v>
      </c>
      <c r="Z24" s="33"/>
      <c r="AA24" s="33"/>
      <c r="AC24">
        <f>C$3*(C$1-C24)/C$2</f>
        <v>0.57000000000000028</v>
      </c>
      <c r="AD24">
        <f>D$3*(D$1-D24)/D$2</f>
        <v>0</v>
      </c>
      <c r="AE24">
        <f>E$3*(E$1-E24)/E$2</f>
        <v>-2.3042857142857081</v>
      </c>
      <c r="AF24">
        <f>F$3*(F$1-F24)/F$2</f>
        <v>0.29999999999999716</v>
      </c>
      <c r="AG24">
        <f>G$3*(G$1-G24)/G$2</f>
        <v>1.2571428571428569</v>
      </c>
      <c r="AH24">
        <f>H$3*(H$1-H24)/H$2</f>
        <v>1.3571428571428545</v>
      </c>
      <c r="AI24">
        <f>I$3*(I$1-I24)/I$2</f>
        <v>0</v>
      </c>
      <c r="AJ24">
        <f>(Q24-$M$1)/$M$2</f>
        <v>-0.43980639999999993</v>
      </c>
      <c r="AK24">
        <f>(J24-$Q$1)/$Q$2</f>
        <v>-1.6558446325075071</v>
      </c>
      <c r="AM24" s="3">
        <f>SUM(AC24:AK24)+M24+$T$1</f>
        <v>17.085264429449605</v>
      </c>
      <c r="AN24" s="3">
        <f>SUM(AC24:AK24)+M24+$T$1-AF24-AI24</f>
        <v>16.785264429449608</v>
      </c>
      <c r="AP24" t="str">
        <f>A24&amp;B24</f>
        <v>45490C</v>
      </c>
      <c r="AQ24">
        <f>VLOOKUP(AP24,kut,4,0)</f>
        <v>0</v>
      </c>
      <c r="AS24" s="3">
        <f t="shared" si="1"/>
        <v>16.084348967492495</v>
      </c>
      <c r="AT24" s="3">
        <f t="shared" si="2"/>
        <v>15.784348967492498</v>
      </c>
    </row>
    <row r="25" spans="1:46" x14ac:dyDescent="0.3">
      <c r="A25" s="17">
        <v>45491</v>
      </c>
      <c r="B25" s="18" t="s">
        <v>19</v>
      </c>
      <c r="C25" s="19">
        <v>8.2375000000000007</v>
      </c>
      <c r="D25" s="19">
        <v>38.142857142857153</v>
      </c>
      <c r="E25" s="19">
        <v>27.207142857142859</v>
      </c>
      <c r="F25" s="19">
        <v>55.22</v>
      </c>
      <c r="G25" s="19">
        <v>3.37</v>
      </c>
      <c r="H25" s="19">
        <v>3.2514285714285709</v>
      </c>
      <c r="I25" s="19">
        <v>150.85714285714289</v>
      </c>
      <c r="J25" s="19">
        <v>8.9422531799260252</v>
      </c>
      <c r="K25" s="19">
        <v>7.3499429304095939E-3</v>
      </c>
      <c r="L25" s="19">
        <v>6.5725050541729987E-2</v>
      </c>
      <c r="M25" s="19">
        <v>20.084778416400919</v>
      </c>
      <c r="N25" s="19">
        <v>2.5864106400015768E-3</v>
      </c>
      <c r="O25" s="19">
        <v>5225</v>
      </c>
      <c r="P25" s="19">
        <v>81.269072162927586</v>
      </c>
      <c r="Q25" s="19">
        <v>22829.212800000001</v>
      </c>
      <c r="R25" s="19">
        <v>19.92148726501631</v>
      </c>
      <c r="S25" s="20">
        <f>SUM(AM25:AN25)/2 + (AQ25/$X$1)</f>
        <v>19.059864586023359</v>
      </c>
      <c r="T25" s="20">
        <f>VLOOKUP(AP25,ggg,3,0)</f>
        <v>22.27</v>
      </c>
      <c r="U25" s="20">
        <f t="shared" si="0"/>
        <v>18.97508616962244</v>
      </c>
      <c r="V25" s="20">
        <f>VLOOKUP(AP25,ggg,12,0)</f>
        <v>8.09</v>
      </c>
      <c r="W25" s="20">
        <f>VLOOKUP(AP25,ggg,20,0)</f>
        <v>26.4</v>
      </c>
      <c r="X25" s="20">
        <f>VLOOKUP(AP25,ggg,32,0)</f>
        <v>3.14</v>
      </c>
      <c r="Y25" s="20">
        <f>VLOOKUP(AP25,ggg,28,0)</f>
        <v>3.6</v>
      </c>
      <c r="Z25" s="33"/>
      <c r="AA25" s="33"/>
      <c r="AC25">
        <f>C$3*(C$1-C25)/C$2</f>
        <v>-0.35000000000000142</v>
      </c>
      <c r="AD25">
        <f>D$3*(D$1-D25)/D$2</f>
        <v>0</v>
      </c>
      <c r="AE25">
        <f>E$3*(E$1-E25)/E$2</f>
        <v>-0.99714285714285822</v>
      </c>
      <c r="AF25">
        <f>F$3*(F$1-F25)/F$2</f>
        <v>0.29999999999999716</v>
      </c>
      <c r="AG25">
        <f>G$3*(G$1-G25)/G$2</f>
        <v>1.2571428571428569</v>
      </c>
      <c r="AH25">
        <f>H$3*(H$1-H25)/H$2</f>
        <v>0.7428571428571451</v>
      </c>
      <c r="AI25">
        <f>I$3*(I$1-I25)/I$2</f>
        <v>0</v>
      </c>
      <c r="AJ25">
        <f>(Q25-$M$1)/$M$2</f>
        <v>0.78856660000000012</v>
      </c>
      <c r="AK25">
        <f>(J25-$Q$1)/$Q$2</f>
        <v>0.38366242676530032</v>
      </c>
      <c r="AM25" s="3">
        <f>SUM(AC25:AK25)+M25+$T$1</f>
        <v>19.209864586023357</v>
      </c>
      <c r="AN25" s="3">
        <f>SUM(AC25:AK25)+M25+$T$1-AF25-AI25</f>
        <v>18.90986458602336</v>
      </c>
      <c r="AP25" t="str">
        <f>A25&amp;B25</f>
        <v>45491A</v>
      </c>
      <c r="AQ25">
        <f>VLOOKUP(AP25,kut,4,0)</f>
        <v>0</v>
      </c>
      <c r="AS25" s="3">
        <f t="shared" si="1"/>
        <v>19.125086169622438</v>
      </c>
      <c r="AT25" s="3">
        <f t="shared" si="2"/>
        <v>18.825086169622441</v>
      </c>
    </row>
    <row r="26" spans="1:46" hidden="1" x14ac:dyDescent="0.3">
      <c r="A26" s="17">
        <v>45491</v>
      </c>
      <c r="B26" s="18" t="s">
        <v>20</v>
      </c>
      <c r="C26" s="19">
        <v>8.0933333333333337</v>
      </c>
      <c r="D26" s="19">
        <v>37.4</v>
      </c>
      <c r="E26" s="19">
        <v>27.515999999999998</v>
      </c>
      <c r="F26" s="19">
        <v>56.62</v>
      </c>
      <c r="G26" s="19">
        <v>3.6</v>
      </c>
      <c r="H26" s="19">
        <v>3.1440000000000001</v>
      </c>
      <c r="I26" s="19">
        <v>153</v>
      </c>
      <c r="J26" s="19">
        <v>9.8777233525026382</v>
      </c>
      <c r="K26" s="19">
        <v>3.5497970644343588E-3</v>
      </c>
      <c r="L26" s="19">
        <v>3.5063913360008581E-2</v>
      </c>
      <c r="M26" s="19">
        <v>26.104565019979901</v>
      </c>
      <c r="N26" s="19">
        <v>2.264966763060849</v>
      </c>
      <c r="O26" s="19">
        <v>5225</v>
      </c>
      <c r="P26" s="19">
        <v>81.397396560123241</v>
      </c>
      <c r="Q26" s="19">
        <v>12426.16</v>
      </c>
      <c r="R26" s="19">
        <v>20.54136938897588</v>
      </c>
      <c r="S26" s="20">
        <f>SUM(AM26:AN26)/2 + (AQ26/$X$1)</f>
        <v>24.079785549976382</v>
      </c>
      <c r="T26" s="20">
        <f>VLOOKUP(AP26,ggg,3,0)</f>
        <v>23.54</v>
      </c>
      <c r="U26" s="20">
        <f t="shared" si="0"/>
        <v>17.975220529996481</v>
      </c>
      <c r="V26" s="20">
        <f>VLOOKUP(AP26,ggg,12,0)</f>
        <v>8.0500000000000007</v>
      </c>
      <c r="W26" s="20">
        <f>VLOOKUP(AP26,ggg,20,0)</f>
        <v>27.96</v>
      </c>
      <c r="X26" s="20">
        <f>VLOOKUP(AP26,ggg,32,0)</f>
        <v>3.1</v>
      </c>
      <c r="Y26" s="20">
        <f>VLOOKUP(AP26,ggg,28,0)</f>
        <v>3.45</v>
      </c>
      <c r="Z26" s="33"/>
      <c r="AA26" s="33"/>
      <c r="AC26">
        <f>C$3*(C$1-C26)/C$2</f>
        <v>0.22666666666666657</v>
      </c>
      <c r="AD26">
        <f>D$3*(D$1-D26)/D$2</f>
        <v>0</v>
      </c>
      <c r="AE26">
        <f>E$3*(E$1-E26)/E$2</f>
        <v>-1.3059999999999974</v>
      </c>
      <c r="AF26">
        <f>F$3*(F$1-F26)/F$2</f>
        <v>3.0999999999999943</v>
      </c>
      <c r="AG26">
        <f>G$3*(G$1-G26)/G$2</f>
        <v>0.59999999999999987</v>
      </c>
      <c r="AH26">
        <f>H$3*(H$1-H26)/H$2</f>
        <v>1.2799999999999989</v>
      </c>
      <c r="AI26">
        <f>I$3*(I$1-I26)/I$2</f>
        <v>0</v>
      </c>
      <c r="AJ26">
        <f>(Q26-$M$1)/$M$2</f>
        <v>-0.51181500000000002</v>
      </c>
      <c r="AK26">
        <f>(J26-$Q$1)/$Q$2</f>
        <v>-0.86363113667018376</v>
      </c>
      <c r="AM26" s="3">
        <f>SUM(AC26:AK26)+M26+$T$1</f>
        <v>25.629785549976379</v>
      </c>
      <c r="AN26" s="3">
        <f>SUM(AC26:AK26)+M26+$T$1-AF26-AI26</f>
        <v>22.529785549976385</v>
      </c>
      <c r="AP26" t="str">
        <f>A26&amp;B26</f>
        <v>45491B</v>
      </c>
      <c r="AQ26">
        <f>VLOOKUP(AP26,kut,4,0)</f>
        <v>0</v>
      </c>
      <c r="AS26" s="3">
        <f t="shared" si="1"/>
        <v>19.525220529996478</v>
      </c>
      <c r="AT26" s="3">
        <f t="shared" si="2"/>
        <v>16.425220529996484</v>
      </c>
    </row>
    <row r="27" spans="1:46" hidden="1" x14ac:dyDescent="0.3">
      <c r="A27" s="17">
        <v>45491</v>
      </c>
      <c r="B27" s="18" t="s">
        <v>18</v>
      </c>
      <c r="C27" s="19">
        <v>8.0533333333333328</v>
      </c>
      <c r="D27" s="19">
        <v>37</v>
      </c>
      <c r="E27" s="19">
        <v>27.833333333333329</v>
      </c>
      <c r="F27" s="19">
        <v>56.62</v>
      </c>
      <c r="G27" s="19">
        <v>3.45</v>
      </c>
      <c r="H27" s="19">
        <v>3.097777777777778</v>
      </c>
      <c r="I27" s="19">
        <v>154.2222222222222</v>
      </c>
      <c r="J27" s="19">
        <v>9.6813285819536024</v>
      </c>
      <c r="K27" s="19">
        <v>8.7989257949549187E-3</v>
      </c>
      <c r="L27" s="19">
        <v>8.5185291789185866E-2</v>
      </c>
      <c r="M27" s="19">
        <v>27.0476804835147</v>
      </c>
      <c r="N27" s="19">
        <v>2.5895694627166032E-3</v>
      </c>
      <c r="O27" s="19">
        <v>5225</v>
      </c>
      <c r="P27" s="19">
        <v>81.376955297896757</v>
      </c>
      <c r="Q27" s="19">
        <v>30572.268800000009</v>
      </c>
      <c r="R27" s="19">
        <v>23.770614310109561</v>
      </c>
      <c r="S27" s="20">
        <f>SUM(AM27:AN27)/2 + (AQ27/$X$1)</f>
        <v>28.055373513925772</v>
      </c>
      <c r="T27" s="20">
        <f>VLOOKUP(AP27,ggg,3,0)</f>
        <v>25.99</v>
      </c>
      <c r="U27" s="20">
        <f t="shared" si="0"/>
        <v>21.007693030411076</v>
      </c>
      <c r="V27" s="20">
        <f>VLOOKUP(AP27,ggg,12,0)</f>
        <v>8.1999999999999993</v>
      </c>
      <c r="W27" s="20">
        <f>VLOOKUP(AP27,ggg,20,0)</f>
        <v>27.33</v>
      </c>
      <c r="X27" s="20">
        <f>VLOOKUP(AP27,ggg,32,0)</f>
        <v>3.18</v>
      </c>
      <c r="Y27" s="20">
        <f>VLOOKUP(AP27,ggg,28,0)</f>
        <v>3.45</v>
      </c>
      <c r="Z27" s="33"/>
      <c r="AA27" s="33"/>
      <c r="AC27">
        <f>C$3*(C$1-C27)/C$2</f>
        <v>0.38666666666667027</v>
      </c>
      <c r="AD27">
        <f>D$3*(D$1-D27)/D$2</f>
        <v>0</v>
      </c>
      <c r="AE27">
        <f>E$3*(E$1-E27)/E$2</f>
        <v>-1.6233333333333277</v>
      </c>
      <c r="AF27">
        <f>F$3*(F$1-F27)/F$2</f>
        <v>3.0999999999999943</v>
      </c>
      <c r="AG27">
        <f>G$3*(G$1-G27)/G$2</f>
        <v>1.0285714285714282</v>
      </c>
      <c r="AH27">
        <f>H$3*(H$1-H27)/H$2</f>
        <v>1.5111111111111097</v>
      </c>
      <c r="AI27">
        <f>I$3*(I$1-I27)/I$2</f>
        <v>0</v>
      </c>
      <c r="AJ27">
        <f>(Q27-$M$1)/$M$2</f>
        <v>1.756448600000001</v>
      </c>
      <c r="AK27">
        <f>(J27-$Q$1)/$Q$2</f>
        <v>-0.60177144260480253</v>
      </c>
      <c r="AM27" s="3">
        <f>SUM(AC27:AK27)+M27+$T$1</f>
        <v>29.60537351392577</v>
      </c>
      <c r="AN27" s="3">
        <f>SUM(AC27:AK27)+M27+$T$1-AF27-AI27</f>
        <v>26.505373513925775</v>
      </c>
      <c r="AP27" t="str">
        <f>A27&amp;B27</f>
        <v>45491C</v>
      </c>
      <c r="AQ27">
        <f>VLOOKUP(AP27,kut,4,0)</f>
        <v>0</v>
      </c>
      <c r="AS27" s="3">
        <f t="shared" si="1"/>
        <v>22.557693030411073</v>
      </c>
      <c r="AT27" s="3">
        <f t="shared" si="2"/>
        <v>19.457693030411079</v>
      </c>
    </row>
    <row r="28" spans="1:46" x14ac:dyDescent="0.3">
      <c r="A28" s="17">
        <v>45492</v>
      </c>
      <c r="B28" s="18" t="s">
        <v>19</v>
      </c>
      <c r="C28" s="19">
        <v>8.1999999999999993</v>
      </c>
      <c r="D28" s="19">
        <v>38.666666666666657</v>
      </c>
      <c r="E28" s="19">
        <v>27.333333333333329</v>
      </c>
      <c r="F28" s="19">
        <v>56.62</v>
      </c>
      <c r="G28" s="19">
        <v>3.45</v>
      </c>
      <c r="H28" s="19">
        <v>3.18</v>
      </c>
      <c r="I28" s="19">
        <v>147.66666666666671</v>
      </c>
      <c r="J28" s="19">
        <v>9.2913318599488068</v>
      </c>
      <c r="K28" s="19">
        <v>5.5965338948196991E-3</v>
      </c>
      <c r="L28" s="19">
        <v>5.1999253682221663E-2</v>
      </c>
      <c r="M28" s="19">
        <v>25.449827670808549</v>
      </c>
      <c r="N28" s="19">
        <v>3.132540082201265</v>
      </c>
      <c r="O28" s="19">
        <v>5225</v>
      </c>
      <c r="P28" s="19">
        <v>81.400694106625167</v>
      </c>
      <c r="Q28" s="19">
        <v>8022.3119999999999</v>
      </c>
      <c r="R28" s="19">
        <v>21.095387699771479</v>
      </c>
      <c r="S28" s="20">
        <f>SUM(AM28:AN28)/2 + (AQ28/$X$1)</f>
        <v>23.660993952781574</v>
      </c>
      <c r="T28" s="20">
        <f>VLOOKUP(AP28,ggg,3,0)</f>
        <v>26.11</v>
      </c>
      <c r="U28" s="20">
        <f t="shared" si="0"/>
        <v>18.211166281973025</v>
      </c>
      <c r="V28" s="20">
        <f>VLOOKUP(AP28,ggg,12,0)</f>
        <v>8.3000000000000007</v>
      </c>
      <c r="W28" s="20">
        <f>VLOOKUP(AP28,ggg,20,0)</f>
        <v>27.1</v>
      </c>
      <c r="X28" s="20">
        <f>VLOOKUP(AP28,ggg,32,0)</f>
        <v>3.22</v>
      </c>
      <c r="Y28" s="20">
        <f>VLOOKUP(AP28,ggg,28,0)</f>
        <v>3.45</v>
      </c>
      <c r="Z28" s="33"/>
      <c r="AA28" s="33"/>
      <c r="AC28">
        <f>C$3*(C$1-C28)/C$2</f>
        <v>-0.19999999999999574</v>
      </c>
      <c r="AD28">
        <f>D$3*(D$1-D28)/D$2</f>
        <v>0</v>
      </c>
      <c r="AE28">
        <f>E$3*(E$1-E28)/E$2</f>
        <v>-1.1233333333333277</v>
      </c>
      <c r="AF28">
        <f>F$3*(F$1-F28)/F$2</f>
        <v>3.0999999999999943</v>
      </c>
      <c r="AG28">
        <f>G$3*(G$1-G28)/G$2</f>
        <v>1.0285714285714282</v>
      </c>
      <c r="AH28">
        <f>H$3*(H$1-H28)/H$2</f>
        <v>1.099999999999999</v>
      </c>
      <c r="AI28">
        <f>I$3*(I$1-I28)/I$2</f>
        <v>0</v>
      </c>
      <c r="AJ28">
        <f>(Q28-$M$1)/$M$2</f>
        <v>-1.0622960000000001</v>
      </c>
      <c r="AK28">
        <f>(J28-$Q$1)/$Q$2</f>
        <v>-8.1775813265075215E-2</v>
      </c>
      <c r="AM28" s="3">
        <f>SUM(AC28:AK28)+M28+$T$1</f>
        <v>25.210993952781571</v>
      </c>
      <c r="AN28" s="3">
        <f>SUM(AC28:AK28)+M28+$T$1-AF28-AI28</f>
        <v>22.110993952781577</v>
      </c>
      <c r="AP28" t="str">
        <f>A28&amp;B28</f>
        <v>45492A</v>
      </c>
      <c r="AQ28">
        <f>VLOOKUP(AP28,kut,4,0)</f>
        <v>0</v>
      </c>
      <c r="AS28" s="3">
        <f t="shared" si="1"/>
        <v>19.761166281973022</v>
      </c>
      <c r="AT28" s="3">
        <f t="shared" si="2"/>
        <v>16.661166281973028</v>
      </c>
    </row>
    <row r="29" spans="1:46" hidden="1" x14ac:dyDescent="0.3">
      <c r="A29" s="17">
        <v>45492</v>
      </c>
      <c r="B29" s="18" t="s">
        <v>20</v>
      </c>
      <c r="C29" s="19">
        <v>8.2724999999999991</v>
      </c>
      <c r="D29" s="19">
        <v>38</v>
      </c>
      <c r="E29" s="19">
        <v>27.135000000000002</v>
      </c>
      <c r="F29" s="19">
        <v>57.18</v>
      </c>
      <c r="G29" s="19">
        <v>3.45</v>
      </c>
      <c r="H29" s="19">
        <v>3.2250000000000001</v>
      </c>
      <c r="I29" s="19">
        <v>148.5</v>
      </c>
      <c r="J29" s="19">
        <v>10.067463220041491</v>
      </c>
      <c r="K29" s="19">
        <v>0</v>
      </c>
      <c r="L29" s="19">
        <v>0</v>
      </c>
      <c r="M29" s="19">
        <v>23.989908003697639</v>
      </c>
      <c r="N29" s="19">
        <v>8.9358717352815873</v>
      </c>
      <c r="O29" s="19">
        <v>5225</v>
      </c>
      <c r="P29" s="19">
        <v>81.467992733729901</v>
      </c>
      <c r="Q29" s="19">
        <v>0</v>
      </c>
      <c r="R29" s="19">
        <v>17.32901193914579</v>
      </c>
      <c r="S29" s="20">
        <f>SUM(AM29:AN29)/2 + (AQ29/$X$1)</f>
        <v>20.406776805547082</v>
      </c>
      <c r="T29" s="20">
        <f>VLOOKUP(AP29,ggg,3,0)</f>
        <v>27.2</v>
      </c>
      <c r="U29" s="20">
        <f t="shared" si="0"/>
        <v>16.416868801849443</v>
      </c>
      <c r="V29" s="20">
        <f>VLOOKUP(AP29,ggg,12,0)</f>
        <v>8.33</v>
      </c>
      <c r="W29" s="20">
        <f>VLOOKUP(AP29,ggg,20,0)</f>
        <v>27.63</v>
      </c>
      <c r="X29" s="20">
        <f>VLOOKUP(AP29,ggg,32,0)</f>
        <v>3.32</v>
      </c>
      <c r="Y29" s="20">
        <f>VLOOKUP(AP29,ggg,28,0)</f>
        <v>3.65</v>
      </c>
      <c r="Z29" s="33"/>
      <c r="AA29" s="33"/>
      <c r="AC29">
        <f>C$3*(C$1-C29)/C$2</f>
        <v>-0.48999999999999488</v>
      </c>
      <c r="AD29">
        <f>D$3*(D$1-D29)/D$2</f>
        <v>0</v>
      </c>
      <c r="AE29">
        <f>E$3*(E$1-E29)/E$2</f>
        <v>-0.92500000000000082</v>
      </c>
      <c r="AF29">
        <f>F$3*(F$1-F29)/F$2</f>
        <v>4.2199999999999989</v>
      </c>
      <c r="AG29">
        <f>G$3*(G$1-G29)/G$2</f>
        <v>1.0285714285714282</v>
      </c>
      <c r="AH29">
        <f>H$3*(H$1-H29)/H$2</f>
        <v>0.87499999999999922</v>
      </c>
      <c r="AI29">
        <f>I$3*(I$1-I29)/I$2</f>
        <v>0</v>
      </c>
      <c r="AJ29">
        <f>(Q29-$M$1)/$M$2</f>
        <v>-2.0650849999999998</v>
      </c>
      <c r="AK29">
        <f>(J29-$Q$1)/$Q$2</f>
        <v>-1.1166176267219872</v>
      </c>
      <c r="AM29" s="3">
        <f>SUM(AC29:AK29)+M29+$T$1</f>
        <v>22.516776805547082</v>
      </c>
      <c r="AN29" s="3">
        <f>SUM(AC29:AK29)+M29+$T$1-AF29-AI29</f>
        <v>18.296776805547083</v>
      </c>
      <c r="AP29" t="str">
        <f>A29&amp;B29</f>
        <v>45492B</v>
      </c>
      <c r="AQ29">
        <f>VLOOKUP(AP29,kut,4,0)</f>
        <v>0</v>
      </c>
      <c r="AS29" s="3">
        <f t="shared" si="1"/>
        <v>18.526868801849442</v>
      </c>
      <c r="AT29" s="3">
        <f t="shared" si="2"/>
        <v>14.306868801849443</v>
      </c>
    </row>
    <row r="30" spans="1:46" hidden="1" x14ac:dyDescent="0.3">
      <c r="A30" s="17">
        <v>45492</v>
      </c>
      <c r="B30" s="18" t="s">
        <v>18</v>
      </c>
      <c r="C30" s="19">
        <v>8.3349999999999991</v>
      </c>
      <c r="D30" s="19">
        <v>36.444444444444443</v>
      </c>
      <c r="E30" s="19">
        <v>27.68888888888889</v>
      </c>
      <c r="F30" s="19">
        <v>57.18</v>
      </c>
      <c r="G30" s="19">
        <v>3.65</v>
      </c>
      <c r="H30" s="19">
        <v>3.3266666666666662</v>
      </c>
      <c r="I30" s="19">
        <v>156.33333333333329</v>
      </c>
      <c r="J30" s="19">
        <v>9.8173483338489138</v>
      </c>
      <c r="K30" s="19">
        <v>5.3748160989136864E-3</v>
      </c>
      <c r="L30" s="19">
        <v>5.2766441873414588E-2</v>
      </c>
      <c r="M30" s="19">
        <v>22.514807415383579</v>
      </c>
      <c r="N30" s="19">
        <v>6.4875384218121379</v>
      </c>
      <c r="O30" s="19">
        <v>5225</v>
      </c>
      <c r="P30" s="19">
        <v>81.407207229465627</v>
      </c>
      <c r="Q30" s="19">
        <v>21321.599999999999</v>
      </c>
      <c r="R30" s="19">
        <v>13.86760688883879</v>
      </c>
      <c r="S30" s="20">
        <f>SUM(AM30:AN30)/2 + (AQ30/$X$1)</f>
        <v>20.04671193850567</v>
      </c>
      <c r="T30" s="20">
        <f>VLOOKUP(AP30,ggg,3,0)</f>
        <v>18.059999999999999</v>
      </c>
      <c r="U30" s="20">
        <f t="shared" si="0"/>
        <v>17.53190452312209</v>
      </c>
      <c r="V30" s="20">
        <f>VLOOKUP(AP30,ggg,12,0)</f>
        <v>8.6999999999999993</v>
      </c>
      <c r="W30" s="20">
        <f>VLOOKUP(AP30,ggg,20,0)</f>
        <v>29.03</v>
      </c>
      <c r="X30" s="20">
        <f>VLOOKUP(AP30,ggg,32,0)</f>
        <v>3.34</v>
      </c>
      <c r="Y30" s="20">
        <f>VLOOKUP(AP30,ggg,28,0)</f>
        <v>3.65</v>
      </c>
      <c r="Z30" s="33"/>
      <c r="AA30" s="33"/>
      <c r="AC30">
        <f>C$3*(C$1-C30)/C$2</f>
        <v>-0.73999999999999488</v>
      </c>
      <c r="AD30">
        <f>D$3*(D$1-D30)/D$2</f>
        <v>0</v>
      </c>
      <c r="AE30">
        <f>E$3*(E$1-E30)/E$2</f>
        <v>-1.4788888888888891</v>
      </c>
      <c r="AF30">
        <f>F$3*(F$1-F30)/F$2</f>
        <v>4.2199999999999989</v>
      </c>
      <c r="AG30">
        <f>G$3*(G$1-G30)/G$2</f>
        <v>0.45714285714285752</v>
      </c>
      <c r="AH30">
        <f>H$3*(H$1-H30)/H$2</f>
        <v>0.36666666666666847</v>
      </c>
      <c r="AI30">
        <f>I$3*(I$1-I30)/I$2</f>
        <v>0</v>
      </c>
      <c r="AJ30">
        <f>(Q30-$M$1)/$M$2</f>
        <v>0.60011499999999973</v>
      </c>
      <c r="AK30">
        <f>(J30-$Q$1)/$Q$2</f>
        <v>-0.78313111179855122</v>
      </c>
      <c r="AM30" s="3">
        <f>SUM(AC30:AK30)+M30+$T$1</f>
        <v>22.156711938505669</v>
      </c>
      <c r="AN30" s="3">
        <f>SUM(AC30:AK30)+M30+$T$1-AF30-AI30</f>
        <v>17.93671193850567</v>
      </c>
      <c r="AP30" t="str">
        <f>A30&amp;B30</f>
        <v>45492C</v>
      </c>
      <c r="AQ30">
        <f>VLOOKUP(AP30,kut,4,0)</f>
        <v>0</v>
      </c>
      <c r="AS30" s="3">
        <f t="shared" si="1"/>
        <v>19.64190452312209</v>
      </c>
      <c r="AT30" s="3">
        <f t="shared" si="2"/>
        <v>15.421904523122091</v>
      </c>
    </row>
    <row r="31" spans="1:46" x14ac:dyDescent="0.3">
      <c r="A31" s="17">
        <v>45495</v>
      </c>
      <c r="B31" s="18" t="s">
        <v>19</v>
      </c>
      <c r="C31" s="19">
        <v>8.5</v>
      </c>
      <c r="D31" s="19">
        <v>35.25</v>
      </c>
      <c r="E31" s="19">
        <v>28.55</v>
      </c>
      <c r="F31" s="19">
        <v>57.18</v>
      </c>
      <c r="G31" s="19">
        <v>3.65</v>
      </c>
      <c r="H31" s="19">
        <v>3.33</v>
      </c>
      <c r="I31" s="19">
        <v>155.25</v>
      </c>
      <c r="J31" s="19">
        <v>8.8521805732000125</v>
      </c>
      <c r="K31" s="19">
        <v>7.1173540178426911E-3</v>
      </c>
      <c r="L31" s="19">
        <v>6.3004102969334119E-2</v>
      </c>
      <c r="M31" s="19">
        <v>20.154051346386961</v>
      </c>
      <c r="N31" s="19">
        <v>3.3028439083518761</v>
      </c>
      <c r="O31" s="19">
        <v>5225</v>
      </c>
      <c r="P31" s="19">
        <v>81.321278394310056</v>
      </c>
      <c r="Q31" s="19">
        <v>20730.240000000009</v>
      </c>
      <c r="R31" s="19">
        <v>13.220601242294981</v>
      </c>
      <c r="S31" s="20">
        <f>SUM(AM31:AN31)/2 + (AQ31/$X$1)</f>
        <v>19.149939314263136</v>
      </c>
      <c r="T31" s="20">
        <f>VLOOKUP(AP31,ggg,3,0)</f>
        <v>19.690000000000001</v>
      </c>
      <c r="U31" s="20">
        <f t="shared" si="0"/>
        <v>18.995887967876175</v>
      </c>
      <c r="V31" s="20">
        <f>VLOOKUP(AP31,ggg,12,0)</f>
        <v>8.33</v>
      </c>
      <c r="W31" s="20">
        <f>VLOOKUP(AP31,ggg,20,0)</f>
        <v>27.92</v>
      </c>
      <c r="X31" s="20">
        <f>VLOOKUP(AP31,ggg,32,0)</f>
        <v>3.5</v>
      </c>
      <c r="Y31" s="20">
        <f>VLOOKUP(AP31,ggg,28,0)</f>
        <v>3.65</v>
      </c>
      <c r="Z31" s="33"/>
      <c r="AA31" s="33"/>
      <c r="AC31">
        <f>C$3*(C$1-C31)/C$2</f>
        <v>-1.3999999999999986</v>
      </c>
      <c r="AD31">
        <f>D$3*(D$1-D31)/D$2</f>
        <v>0</v>
      </c>
      <c r="AE31">
        <f>E$3*(E$1-E31)/E$2</f>
        <v>-2.34</v>
      </c>
      <c r="AF31">
        <f>F$3*(F$1-F31)/F$2</f>
        <v>4.2199999999999989</v>
      </c>
      <c r="AG31">
        <f>G$3*(G$1-G31)/G$2</f>
        <v>0.45714285714285752</v>
      </c>
      <c r="AH31">
        <f>H$3*(H$1-H31)/H$2</f>
        <v>0.3499999999999992</v>
      </c>
      <c r="AI31">
        <f>I$3*(I$1-I31)/I$2</f>
        <v>0</v>
      </c>
      <c r="AJ31">
        <f>(Q31-$M$1)/$M$2</f>
        <v>0.52619500000000108</v>
      </c>
      <c r="AK31">
        <f>(J31-$Q$1)/$Q$2</f>
        <v>0.50375923573331727</v>
      </c>
      <c r="AM31" s="3">
        <f>SUM(AC31:AK31)+M31+$T$1</f>
        <v>19.471148439263136</v>
      </c>
      <c r="AN31" s="3">
        <f>SUM(AC31:AK31)+M31+$T$1-AF31-AI31</f>
        <v>15.251148439263137</v>
      </c>
      <c r="AP31" t="str">
        <f>A31&amp;B31</f>
        <v>45495A</v>
      </c>
      <c r="AQ31">
        <f>VLOOKUP(AP31,kut,4,0)</f>
        <v>14310.327000000001</v>
      </c>
      <c r="AS31" s="3">
        <f t="shared" si="1"/>
        <v>19.317097092876175</v>
      </c>
      <c r="AT31" s="3">
        <f t="shared" si="2"/>
        <v>15.097097092876176</v>
      </c>
    </row>
    <row r="32" spans="1:46" hidden="1" x14ac:dyDescent="0.3">
      <c r="A32" s="17">
        <v>45495</v>
      </c>
      <c r="B32" s="18" t="s">
        <v>20</v>
      </c>
      <c r="C32" s="19">
        <v>8.33</v>
      </c>
      <c r="D32" s="19">
        <v>39.166666666666657</v>
      </c>
      <c r="E32" s="19">
        <v>27.68333333333333</v>
      </c>
      <c r="F32" s="19">
        <v>56.784999999999997</v>
      </c>
      <c r="G32" s="19">
        <v>3.65</v>
      </c>
      <c r="H32" s="19">
        <v>3.53</v>
      </c>
      <c r="I32" s="19">
        <v>151.83333333333329</v>
      </c>
      <c r="J32" s="19">
        <v>10.064661102451559</v>
      </c>
      <c r="K32" s="19">
        <v>3.3799358589325809E-4</v>
      </c>
      <c r="L32" s="19">
        <v>3.4017908968179949E-3</v>
      </c>
      <c r="M32" s="19">
        <v>19.293635887365419</v>
      </c>
      <c r="N32" s="19">
        <v>8.983645027642698</v>
      </c>
      <c r="O32" s="19">
        <v>5225</v>
      </c>
      <c r="P32" s="19">
        <v>114.6621425088624</v>
      </c>
      <c r="Q32" s="19">
        <v>1043.2</v>
      </c>
      <c r="R32" s="19">
        <v>13.2956278258028</v>
      </c>
      <c r="S32" s="20">
        <f>SUM(AM32:AN32)/2 + (AQ32/$X$1)</f>
        <v>13.467559066239533</v>
      </c>
      <c r="T32" s="20">
        <f>VLOOKUP(AP32,ggg,3,0)</f>
        <v>20.71</v>
      </c>
      <c r="U32" s="20">
        <f t="shared" si="0"/>
        <v>14.173923178874114</v>
      </c>
      <c r="V32" s="20">
        <f>VLOOKUP(AP32,ggg,12,0)</f>
        <v>8.6</v>
      </c>
      <c r="W32" s="20">
        <f>VLOOKUP(AP32,ggg,20,0)</f>
        <v>27.9</v>
      </c>
      <c r="X32" s="20">
        <f>VLOOKUP(AP32,ggg,32,0)</f>
        <v>3.54</v>
      </c>
      <c r="Y32" s="20">
        <f>VLOOKUP(AP32,ggg,28,0)</f>
        <v>3.83</v>
      </c>
      <c r="Z32" s="33"/>
      <c r="AA32" s="33"/>
      <c r="AC32">
        <f>C$3*(C$1-C32)/C$2</f>
        <v>-0.71999999999999875</v>
      </c>
      <c r="AD32">
        <f>D$3*(D$1-D32)/D$2</f>
        <v>0</v>
      </c>
      <c r="AE32">
        <f>E$3*(E$1-E32)/E$2</f>
        <v>-1.4733333333333292</v>
      </c>
      <c r="AF32">
        <f>F$3*(F$1-F32)/F$2</f>
        <v>3.4299999999999931</v>
      </c>
      <c r="AG32">
        <f>G$3*(G$1-G32)/G$2</f>
        <v>0.45714285714285752</v>
      </c>
      <c r="AH32">
        <f>H$3*(H$1-H32)/H$2</f>
        <v>-0.64999999999999958</v>
      </c>
      <c r="AI32">
        <f>I$3*(I$1-I32)/I$2</f>
        <v>0</v>
      </c>
      <c r="AJ32">
        <f>(Q32-$M$1)/$M$2</f>
        <v>-1.934685</v>
      </c>
      <c r="AK32">
        <f>(J32-$Q$1)/$Q$2</f>
        <v>-1.1128814699354119</v>
      </c>
      <c r="AM32" s="3">
        <f>SUM(AC32:AK32)+M32+$T$1</f>
        <v>14.289878941239529</v>
      </c>
      <c r="AN32" s="3">
        <f>SUM(AC32:AK32)+M32+$T$1-AF32-AI32</f>
        <v>10.859878941239536</v>
      </c>
      <c r="AP32" t="str">
        <f>A32&amp;B32</f>
        <v>45495B</v>
      </c>
      <c r="AQ32">
        <f>VLOOKUP(AP32,kut,4,0)</f>
        <v>7141.4410000000007</v>
      </c>
      <c r="AS32" s="3">
        <f t="shared" si="1"/>
        <v>14.99624305387411</v>
      </c>
      <c r="AT32" s="3">
        <f t="shared" si="2"/>
        <v>11.566243053874118</v>
      </c>
    </row>
    <row r="33" spans="1:46" hidden="1" x14ac:dyDescent="0.3">
      <c r="A33" s="17">
        <v>45495</v>
      </c>
      <c r="B33" s="18" t="s">
        <v>18</v>
      </c>
      <c r="C33" s="19">
        <v>8.604000000000001</v>
      </c>
      <c r="D33" s="19">
        <v>38.125</v>
      </c>
      <c r="E33" s="19">
        <v>28.3</v>
      </c>
      <c r="F33" s="19">
        <v>56.39</v>
      </c>
      <c r="G33" s="19">
        <v>3.83</v>
      </c>
      <c r="H33" s="19">
        <v>3.54</v>
      </c>
      <c r="I33" s="19">
        <v>154.25</v>
      </c>
      <c r="J33" s="19">
        <v>10.67656125189991</v>
      </c>
      <c r="K33" s="19">
        <v>1.227328112623359E-3</v>
      </c>
      <c r="L33" s="19">
        <v>1.3103643770602001E-2</v>
      </c>
      <c r="M33" s="19">
        <v>13.478006319203271</v>
      </c>
      <c r="N33" s="19">
        <v>8.9836486448000787</v>
      </c>
      <c r="O33" s="19">
        <v>5225</v>
      </c>
      <c r="P33" s="19">
        <v>120.47994485726861</v>
      </c>
      <c r="Q33" s="19">
        <v>4853.76</v>
      </c>
      <c r="R33" s="19">
        <v>13.327646303744199</v>
      </c>
      <c r="S33" s="20">
        <f>SUM(AM33:AN33)/2 + (AQ33/$X$1)</f>
        <v>3.7477501261938642</v>
      </c>
      <c r="T33" s="20">
        <f>VLOOKUP(AP33,ggg,3,0)</f>
        <v>16.649999999999999</v>
      </c>
      <c r="U33" s="20">
        <f t="shared" si="0"/>
        <v>10.269743806990594</v>
      </c>
      <c r="V33" s="20">
        <f>VLOOKUP(AP33,ggg,12,0)</f>
        <v>8.6199999999999992</v>
      </c>
      <c r="W33" s="20">
        <f>VLOOKUP(AP33,ggg,20,0)</f>
        <v>26.94</v>
      </c>
      <c r="X33" s="20">
        <f>VLOOKUP(AP33,ggg,32,0)</f>
        <v>3.45</v>
      </c>
      <c r="Y33" s="20">
        <f>VLOOKUP(AP33,ggg,28,0)</f>
        <v>3.98</v>
      </c>
      <c r="Z33" s="33"/>
      <c r="AA33" s="33"/>
      <c r="AC33">
        <f>C$3*(C$1-C33)/C$2</f>
        <v>-1.8160000000000025</v>
      </c>
      <c r="AD33">
        <f>D$3*(D$1-D33)/D$2</f>
        <v>0</v>
      </c>
      <c r="AE33">
        <f>E$3*(E$1-E33)/E$2</f>
        <v>-2.09</v>
      </c>
      <c r="AF33">
        <f>F$3*(F$1-F33)/F$2</f>
        <v>2.6400000000000006</v>
      </c>
      <c r="AG33">
        <f>G$3*(G$1-G33)/G$2</f>
        <v>-5.714285714285719E-2</v>
      </c>
      <c r="AH33">
        <f>H$3*(H$1-H33)/H$2</f>
        <v>-0.70000000000000062</v>
      </c>
      <c r="AI33">
        <f>I$3*(I$1-I33)/I$2</f>
        <v>0</v>
      </c>
      <c r="AJ33">
        <f>(Q33-$M$1)/$M$2</f>
        <v>-1.4583649999999999</v>
      </c>
      <c r="AK33">
        <f>(J33-$Q$1)/$Q$2</f>
        <v>-1.9287483358665465</v>
      </c>
      <c r="AM33" s="3">
        <f>SUM(AC33:AK33)+M33+$T$1</f>
        <v>5.0677501261938644</v>
      </c>
      <c r="AN33" s="3">
        <f>SUM(AC33:AK33)+M33+$T$1-AF33-AI33</f>
        <v>2.4277501261938639</v>
      </c>
      <c r="AP33" t="str">
        <f>A33&amp;B33</f>
        <v>45495C</v>
      </c>
      <c r="AQ33">
        <f>VLOOKUP(AP33,kut,4,0)</f>
        <v>0</v>
      </c>
      <c r="AS33" s="3">
        <f t="shared" si="1"/>
        <v>11.589743806990594</v>
      </c>
      <c r="AT33" s="3">
        <f t="shared" si="2"/>
        <v>8.9497438069905932</v>
      </c>
    </row>
    <row r="34" spans="1:46" x14ac:dyDescent="0.3">
      <c r="A34" s="17">
        <v>45496</v>
      </c>
      <c r="B34" s="18" t="s">
        <v>19</v>
      </c>
      <c r="C34" s="19">
        <v>8.625</v>
      </c>
      <c r="D34" s="19">
        <v>39.666666666666657</v>
      </c>
      <c r="E34" s="19">
        <v>26.934999999999999</v>
      </c>
      <c r="F34" s="19">
        <v>56.39</v>
      </c>
      <c r="G34" s="19">
        <v>3.98</v>
      </c>
      <c r="H34" s="19">
        <v>3.4466666666666672</v>
      </c>
      <c r="I34" s="19">
        <v>152.5</v>
      </c>
      <c r="J34" s="19">
        <v>8.3683118560744738</v>
      </c>
      <c r="K34" s="19">
        <v>1.146239842486328E-2</v>
      </c>
      <c r="L34" s="19">
        <v>9.592092463783275E-2</v>
      </c>
      <c r="M34" s="19">
        <v>16.2951539628021</v>
      </c>
      <c r="N34" s="19">
        <v>2.584863401659507E-3</v>
      </c>
      <c r="O34" s="19">
        <v>5225</v>
      </c>
      <c r="P34" s="19">
        <v>87.871900169385157</v>
      </c>
      <c r="Q34" s="19">
        <v>36682.080000000002</v>
      </c>
      <c r="R34" s="19">
        <v>13.25532391498464</v>
      </c>
      <c r="S34" s="20">
        <f>SUM(AM34:AN34)/2 + (AQ34/$X$1)</f>
        <v>14.940198868988517</v>
      </c>
      <c r="T34" s="20">
        <f>VLOOKUP(AP34,ggg,3,0)</f>
        <v>14.34</v>
      </c>
      <c r="U34" s="20">
        <f t="shared" si="0"/>
        <v>18.645044906186417</v>
      </c>
      <c r="V34" s="20">
        <f>VLOOKUP(AP34,ggg,12,0)</f>
        <v>8</v>
      </c>
      <c r="W34" s="20">
        <f>VLOOKUP(AP34,ggg,20,0)</f>
        <v>27.95</v>
      </c>
      <c r="X34" s="20">
        <f>VLOOKUP(AP34,ggg,32,0)</f>
        <v>3.3</v>
      </c>
      <c r="Y34" s="20">
        <f>VLOOKUP(AP34,ggg,28,0)</f>
        <v>3.98</v>
      </c>
      <c r="Z34" s="33"/>
      <c r="AA34" s="33"/>
      <c r="AC34">
        <f>C$3*(C$1-C34)/C$2</f>
        <v>-1.8999999999999986</v>
      </c>
      <c r="AD34">
        <f>D$3*(D$1-D34)/D$2</f>
        <v>0</v>
      </c>
      <c r="AE34">
        <f>E$3*(E$1-E34)/E$2</f>
        <v>-0.72499999999999787</v>
      </c>
      <c r="AF34">
        <f>F$3*(F$1-F34)/F$2</f>
        <v>2.6400000000000006</v>
      </c>
      <c r="AG34">
        <f>G$3*(G$1-G34)/G$2</f>
        <v>-0.48571428571428549</v>
      </c>
      <c r="AH34">
        <f>H$3*(H$1-H34)/H$2</f>
        <v>-0.2333333333333365</v>
      </c>
      <c r="AI34">
        <f>I$3*(I$1-I34)/I$2</f>
        <v>0</v>
      </c>
      <c r="AJ34">
        <f>(Q34-$M$1)/$M$2</f>
        <v>2.5201750000000001</v>
      </c>
      <c r="AK34">
        <f>(J34-$Q$1)/$Q$2</f>
        <v>1.1489175252340356</v>
      </c>
      <c r="AM34" s="3">
        <f>SUM(AC34:AK34)+M34+$T$1</f>
        <v>16.260198868988518</v>
      </c>
      <c r="AN34" s="3">
        <f>SUM(AC34:AK34)+M34+$T$1-AF34-AI34</f>
        <v>13.620198868988517</v>
      </c>
      <c r="AP34" t="str">
        <f>A34&amp;B34</f>
        <v>45496A</v>
      </c>
      <c r="AQ34">
        <f>VLOOKUP(AP34,kut,4,0)</f>
        <v>0</v>
      </c>
      <c r="AS34" s="3">
        <f t="shared" si="1"/>
        <v>19.965044906186417</v>
      </c>
      <c r="AT34" s="3">
        <f t="shared" si="2"/>
        <v>17.325044906186417</v>
      </c>
    </row>
    <row r="35" spans="1:46" hidden="1" x14ac:dyDescent="0.3">
      <c r="A35" s="17">
        <v>45496</v>
      </c>
      <c r="B35" s="18" t="s">
        <v>20</v>
      </c>
      <c r="C35" s="19">
        <v>8.1875</v>
      </c>
      <c r="D35" s="19">
        <v>36.166666666666657</v>
      </c>
      <c r="E35" s="19">
        <v>26.86</v>
      </c>
      <c r="F35" s="19">
        <v>55.84</v>
      </c>
      <c r="G35" s="19">
        <v>3.98</v>
      </c>
      <c r="H35" s="19">
        <v>3.29</v>
      </c>
      <c r="I35" s="19">
        <v>151</v>
      </c>
      <c r="J35" s="19">
        <v>9.1332604922754062</v>
      </c>
      <c r="K35" s="19">
        <v>2.217876322694537E-3</v>
      </c>
      <c r="L35" s="19">
        <v>2.025644219481907E-2</v>
      </c>
      <c r="M35" s="19">
        <v>16.877810737192231</v>
      </c>
      <c r="N35" s="19">
        <v>2.5851898391252492E-3</v>
      </c>
      <c r="O35" s="19">
        <v>5225</v>
      </c>
      <c r="P35" s="19">
        <v>87.740571824673395</v>
      </c>
      <c r="Q35" s="19">
        <v>5366.6</v>
      </c>
      <c r="R35" s="19">
        <v>14.80279544839674</v>
      </c>
      <c r="S35" s="20">
        <f>SUM(AM35:AN35)/2 + (AQ35/$X$1)</f>
        <v>12.646822461777411</v>
      </c>
      <c r="T35" s="20">
        <f>VLOOKUP(AP35,ggg,3,0)</f>
        <v>16.760000000000002</v>
      </c>
      <c r="U35" s="20">
        <f t="shared" si="0"/>
        <v>15.76901172458518</v>
      </c>
      <c r="V35" s="20">
        <f>VLOOKUP(AP35,ggg,12,0)</f>
        <v>8.3000000000000007</v>
      </c>
      <c r="W35" s="20">
        <f>VLOOKUP(AP35,ggg,20,0)</f>
        <v>27.09</v>
      </c>
      <c r="X35" s="20">
        <f>VLOOKUP(AP35,ggg,32,0)</f>
        <v>3.41</v>
      </c>
      <c r="Y35" s="20">
        <f>VLOOKUP(AP35,ggg,28,0)</f>
        <v>3.89</v>
      </c>
      <c r="Z35" s="33"/>
      <c r="AA35" s="33"/>
      <c r="AC35">
        <f>C$3*(C$1-C35)/C$2</f>
        <v>-0.14999999999999858</v>
      </c>
      <c r="AD35">
        <f>D$3*(D$1-D35)/D$2</f>
        <v>0</v>
      </c>
      <c r="AE35">
        <f>E$3*(E$1-E35)/E$2</f>
        <v>-0.64999999999999858</v>
      </c>
      <c r="AF35">
        <f>F$3*(F$1-F35)/F$2</f>
        <v>1.5400000000000063</v>
      </c>
      <c r="AG35">
        <f>G$3*(G$1-G35)/G$2</f>
        <v>-0.48571428571428549</v>
      </c>
      <c r="AH35">
        <f>H$3*(H$1-H35)/H$2</f>
        <v>0.54999999999999949</v>
      </c>
      <c r="AI35">
        <f>I$3*(I$1-I35)/I$2</f>
        <v>0</v>
      </c>
      <c r="AJ35">
        <f>(Q35-$M$1)/$M$2</f>
        <v>-1.3942600000000001</v>
      </c>
      <c r="AK35">
        <f>(J35-$Q$1)/$Q$2</f>
        <v>0.12898601029945903</v>
      </c>
      <c r="AM35" s="3">
        <f>SUM(AC35:AK35)+M35+$T$1</f>
        <v>13.416822461777414</v>
      </c>
      <c r="AN35" s="3">
        <f>SUM(AC35:AK35)+M35+$T$1-AF35-AI35</f>
        <v>11.876822461777408</v>
      </c>
      <c r="AP35" t="str">
        <f>A35&amp;B35</f>
        <v>45496B</v>
      </c>
      <c r="AQ35">
        <f>VLOOKUP(AP35,kut,4,0)</f>
        <v>0</v>
      </c>
      <c r="AS35" s="3">
        <f t="shared" si="1"/>
        <v>16.539011724585183</v>
      </c>
      <c r="AT35" s="3">
        <f t="shared" si="2"/>
        <v>14.999011724585177</v>
      </c>
    </row>
    <row r="36" spans="1:46" hidden="1" x14ac:dyDescent="0.3">
      <c r="A36" s="17">
        <v>45496</v>
      </c>
      <c r="B36" s="18" t="s">
        <v>18</v>
      </c>
      <c r="C36" s="19">
        <v>8.25</v>
      </c>
      <c r="D36" s="19">
        <v>38.625</v>
      </c>
      <c r="E36" s="19">
        <v>27.306249999999999</v>
      </c>
      <c r="F36" s="19">
        <v>55.84</v>
      </c>
      <c r="G36" s="19">
        <v>3.89</v>
      </c>
      <c r="H36" s="19">
        <v>3.34</v>
      </c>
      <c r="I36" s="19">
        <v>154.875</v>
      </c>
      <c r="J36" s="19">
        <v>10.753854159079269</v>
      </c>
      <c r="K36" s="19">
        <v>6.7072139208773657E-3</v>
      </c>
      <c r="L36" s="19">
        <v>7.2128400318861474E-2</v>
      </c>
      <c r="M36" s="19">
        <v>18.781010262826779</v>
      </c>
      <c r="N36" s="19">
        <v>2.595450779231991E-3</v>
      </c>
      <c r="O36" s="19">
        <v>5224.9999999999991</v>
      </c>
      <c r="P36" s="19">
        <v>91.921649320831889</v>
      </c>
      <c r="Q36" s="19">
        <v>28321</v>
      </c>
      <c r="R36" s="19">
        <v>15.888171796789059</v>
      </c>
      <c r="S36" s="20">
        <f>SUM(AM36:AN36)/2 + (AQ36/$X$1)</f>
        <v>14.569423288816331</v>
      </c>
      <c r="T36" s="20">
        <f>VLOOKUP(AP36,ggg,3,0)</f>
        <v>18.64</v>
      </c>
      <c r="U36" s="20">
        <f t="shared" si="0"/>
        <v>15.788413025989552</v>
      </c>
      <c r="V36" s="20">
        <f>VLOOKUP(AP36,ggg,12,0)</f>
        <v>8.1999999999999993</v>
      </c>
      <c r="W36" s="20">
        <f>VLOOKUP(AP36,ggg,20,0)</f>
        <v>26.62</v>
      </c>
      <c r="X36" s="20">
        <f>VLOOKUP(AP36,ggg,32,0)</f>
        <v>3.19</v>
      </c>
      <c r="Y36" s="20">
        <f>VLOOKUP(AP36,ggg,28,0)</f>
        <v>3.89</v>
      </c>
      <c r="Z36" s="33"/>
      <c r="AA36" s="33"/>
      <c r="AC36">
        <f>C$3*(C$1-C36)/C$2</f>
        <v>-0.39999999999999858</v>
      </c>
      <c r="AD36">
        <f>D$3*(D$1-D36)/D$2</f>
        <v>0</v>
      </c>
      <c r="AE36">
        <f>E$3*(E$1-E36)/E$2</f>
        <v>-1.0962499999999977</v>
      </c>
      <c r="AF36">
        <f>F$3*(F$1-F36)/F$2</f>
        <v>1.5400000000000063</v>
      </c>
      <c r="AG36">
        <f>G$3*(G$1-G36)/G$2</f>
        <v>-0.22857142857142876</v>
      </c>
      <c r="AH36">
        <f>H$3*(H$1-H36)/H$2</f>
        <v>0.30000000000000027</v>
      </c>
      <c r="AI36">
        <f>I$3*(I$1-I36)/I$2</f>
        <v>0</v>
      </c>
      <c r="AJ36">
        <f>(Q36-$M$1)/$M$2</f>
        <v>1.4750399999999999</v>
      </c>
      <c r="AK36">
        <f>(J36-$Q$1)/$Q$2</f>
        <v>-2.0318055454390254</v>
      </c>
      <c r="AM36" s="3">
        <f>SUM(AC36:AK36)+M36+$T$1</f>
        <v>15.339423288816334</v>
      </c>
      <c r="AN36" s="3">
        <f>SUM(AC36:AK36)+M36+$T$1-AF36-AI36</f>
        <v>13.799423288816328</v>
      </c>
      <c r="AP36" t="str">
        <f>A36&amp;B36</f>
        <v>45496C</v>
      </c>
      <c r="AQ36">
        <f>VLOOKUP(AP36,kut,4,0)</f>
        <v>0</v>
      </c>
      <c r="AS36" s="3">
        <f t="shared" si="1"/>
        <v>16.558413025989555</v>
      </c>
      <c r="AT36" s="3">
        <f t="shared" si="2"/>
        <v>15.018413025989549</v>
      </c>
    </row>
    <row r="37" spans="1:46" x14ac:dyDescent="0.3">
      <c r="A37" s="17">
        <v>45497</v>
      </c>
      <c r="B37" s="18" t="s">
        <v>19</v>
      </c>
      <c r="C37" s="19">
        <v>8.2000000000000011</v>
      </c>
      <c r="D37" s="19">
        <v>37.333333333333343</v>
      </c>
      <c r="E37" s="19">
        <v>26.623333333333331</v>
      </c>
      <c r="F37" s="19">
        <v>55.84</v>
      </c>
      <c r="G37" s="19">
        <v>3.89</v>
      </c>
      <c r="H37" s="19">
        <v>3.186666666666667</v>
      </c>
      <c r="I37" s="19">
        <v>144.5</v>
      </c>
      <c r="J37" s="19">
        <v>6.682436595205548</v>
      </c>
      <c r="K37" s="19">
        <v>1.3019846842391371E-3</v>
      </c>
      <c r="L37" s="19">
        <v>8.700430100356751E-3</v>
      </c>
      <c r="M37" s="19">
        <v>19.28666715486095</v>
      </c>
      <c r="N37" s="19">
        <v>2.583181010113188E-3</v>
      </c>
      <c r="O37" s="19">
        <v>5225</v>
      </c>
      <c r="P37" s="19">
        <v>81.256704145491341</v>
      </c>
      <c r="Q37" s="19">
        <v>3914.2800000000011</v>
      </c>
      <c r="R37" s="19">
        <v>18.614640844909228</v>
      </c>
      <c r="S37" s="20">
        <f>SUM(AM37:AN37)/2 + (AQ37/$X$1)</f>
        <v>19.102380266015459</v>
      </c>
      <c r="T37" s="20">
        <f>VLOOKUP(AP37,ggg,3,0)</f>
        <v>22.97</v>
      </c>
      <c r="U37" s="20">
        <f t="shared" si="0"/>
        <v>19.815713111154508</v>
      </c>
      <c r="V37" s="20">
        <f>VLOOKUP(AP37,ggg,12,0)</f>
        <v>8.02</v>
      </c>
      <c r="W37" s="20">
        <f>VLOOKUP(AP37,ggg,20,0)</f>
        <v>26.3</v>
      </c>
      <c r="X37" s="20">
        <f>VLOOKUP(AP37,ggg,32,0)</f>
        <v>3.29</v>
      </c>
      <c r="Y37" s="20">
        <f>VLOOKUP(AP37,ggg,28,0)</f>
        <v>3.72</v>
      </c>
      <c r="Z37" s="33"/>
      <c r="AA37" s="33"/>
      <c r="AC37">
        <f>C$3*(C$1-C37)/C$2</f>
        <v>-0.20000000000000284</v>
      </c>
      <c r="AD37">
        <f>D$3*(D$1-D37)/D$2</f>
        <v>0</v>
      </c>
      <c r="AE37">
        <f>E$3*(E$1-E37)/E$2</f>
        <v>-0.41333333333333044</v>
      </c>
      <c r="AF37">
        <f>F$3*(F$1-F37)/F$2</f>
        <v>1.5400000000000063</v>
      </c>
      <c r="AG37">
        <f>G$3*(G$1-G37)/G$2</f>
        <v>-0.22857142857142876</v>
      </c>
      <c r="AH37">
        <f>H$3*(H$1-H37)/H$2</f>
        <v>1.0666666666666647</v>
      </c>
      <c r="AI37">
        <f>I$3*(I$1-I37)/I$2</f>
        <v>0</v>
      </c>
      <c r="AJ37">
        <f>(Q37-$M$1)/$M$2</f>
        <v>-1.5757999999999999</v>
      </c>
      <c r="AK37">
        <f>(J37-$Q$1)/$Q$2</f>
        <v>3.3967512063926031</v>
      </c>
      <c r="AM37" s="3">
        <f>SUM(AC37:AK37)+M37+$T$1</f>
        <v>19.872380266015462</v>
      </c>
      <c r="AN37" s="3">
        <f>SUM(AC37:AK37)+M37+$T$1-AF37-AI37</f>
        <v>18.332380266015456</v>
      </c>
      <c r="AP37" t="str">
        <f>A37&amp;B37</f>
        <v>45497A</v>
      </c>
      <c r="AQ37">
        <f>VLOOKUP(AP37,kut,4,0)</f>
        <v>0</v>
      </c>
      <c r="AS37" s="3">
        <f t="shared" si="1"/>
        <v>20.585713111154512</v>
      </c>
      <c r="AT37" s="3">
        <f t="shared" si="2"/>
        <v>19.045713111154505</v>
      </c>
    </row>
    <row r="38" spans="1:46" hidden="1" x14ac:dyDescent="0.3">
      <c r="A38" s="17">
        <v>45497</v>
      </c>
      <c r="B38" s="18" t="s">
        <v>20</v>
      </c>
      <c r="C38" s="19">
        <v>7.9720000000000004</v>
      </c>
      <c r="D38" s="19">
        <v>38.5</v>
      </c>
      <c r="E38" s="19">
        <v>26.083333333333329</v>
      </c>
      <c r="F38" s="19">
        <v>55.2</v>
      </c>
      <c r="G38" s="19">
        <v>3.72</v>
      </c>
      <c r="H38" s="19">
        <v>3.3033333333333328</v>
      </c>
      <c r="I38" s="19">
        <v>152.83333333333329</v>
      </c>
      <c r="J38" s="19">
        <v>9.5727768979508312</v>
      </c>
      <c r="K38" s="19">
        <v>1.9127786414803059E-3</v>
      </c>
      <c r="L38" s="19">
        <v>1.8310603190056451E-2</v>
      </c>
      <c r="M38" s="19">
        <v>19.410024832864821</v>
      </c>
      <c r="N38" s="19">
        <v>2.583374631644284E-3</v>
      </c>
      <c r="O38" s="19">
        <v>5225</v>
      </c>
      <c r="P38" s="19">
        <v>81.258616286856054</v>
      </c>
      <c r="Q38" s="19">
        <v>6620.4000000000005</v>
      </c>
      <c r="R38" s="19">
        <v>18.832853832582241</v>
      </c>
      <c r="S38" s="20">
        <f>SUM(AM38:AN38)/2 + (AQ38/$X$1)</f>
        <v>16.424596826073248</v>
      </c>
      <c r="T38" s="20">
        <f>VLOOKUP(AP38,ggg,3,0)</f>
        <v>23.05</v>
      </c>
      <c r="U38" s="20">
        <f t="shared" si="0"/>
        <v>17.014571993208428</v>
      </c>
      <c r="V38" s="20">
        <f>VLOOKUP(AP38,ggg,12,0)</f>
        <v>7.85</v>
      </c>
      <c r="W38" s="20">
        <f>VLOOKUP(AP38,ggg,20,0)</f>
        <v>26.66</v>
      </c>
      <c r="X38" s="20">
        <f>VLOOKUP(AP38,ggg,32,0)</f>
        <v>3.18</v>
      </c>
      <c r="Y38" s="20">
        <f>VLOOKUP(AP38,ggg,28,0)</f>
        <v>3.34</v>
      </c>
      <c r="Z38" s="33"/>
      <c r="AA38" s="33"/>
      <c r="AC38">
        <f>C$3*(C$1-C38)/C$2</f>
        <v>0.71199999999999963</v>
      </c>
      <c r="AD38">
        <f>D$3*(D$1-D38)/D$2</f>
        <v>0</v>
      </c>
      <c r="AE38">
        <f>E$3*(E$1-E38)/E$2</f>
        <v>0.12666666666667226</v>
      </c>
      <c r="AF38">
        <f>F$3*(F$1-F38)/F$2</f>
        <v>0.26000000000000512</v>
      </c>
      <c r="AG38">
        <f>G$3*(G$1-G38)/G$2</f>
        <v>0.25714285714285673</v>
      </c>
      <c r="AH38">
        <f>H$3*(H$1-H38)/H$2</f>
        <v>0.48333333333333561</v>
      </c>
      <c r="AI38">
        <f>I$3*(I$1-I38)/I$2</f>
        <v>0</v>
      </c>
      <c r="AJ38">
        <f>(Q38-$M$1)/$M$2</f>
        <v>-1.2375349999999998</v>
      </c>
      <c r="AK38">
        <f>(J38-$Q$1)/$Q$2</f>
        <v>-0.45703586393444101</v>
      </c>
      <c r="AM38" s="3">
        <f>SUM(AC38:AK38)+M38+$T$1</f>
        <v>16.554596826073251</v>
      </c>
      <c r="AN38" s="3">
        <f>SUM(AC38:AK38)+M38+$T$1-AF38-AI38</f>
        <v>16.294596826073246</v>
      </c>
      <c r="AP38" t="str">
        <f>A38&amp;B38</f>
        <v>45497B</v>
      </c>
      <c r="AQ38">
        <f>VLOOKUP(AP38,kut,4,0)</f>
        <v>0</v>
      </c>
      <c r="AS38" s="3">
        <f t="shared" si="1"/>
        <v>17.14457199320843</v>
      </c>
      <c r="AT38" s="3">
        <f t="shared" si="2"/>
        <v>16.884571993208425</v>
      </c>
    </row>
    <row r="39" spans="1:46" hidden="1" x14ac:dyDescent="0.3">
      <c r="A39" s="17">
        <v>45497</v>
      </c>
      <c r="B39" s="18" t="s">
        <v>18</v>
      </c>
      <c r="C39" s="19">
        <v>7.8579999999999997</v>
      </c>
      <c r="D39" s="19">
        <v>37.571428571428569</v>
      </c>
      <c r="E39" s="19">
        <v>26.68571428571429</v>
      </c>
      <c r="F39" s="19">
        <v>55.2</v>
      </c>
      <c r="G39" s="19">
        <v>3.34</v>
      </c>
      <c r="H39" s="19">
        <v>3.1742857142857139</v>
      </c>
      <c r="I39" s="19">
        <v>158.71428571428569</v>
      </c>
      <c r="J39" s="19">
        <v>11.121333577959209</v>
      </c>
      <c r="K39" s="19">
        <v>6.9241167714008747E-3</v>
      </c>
      <c r="L39" s="19">
        <v>7.7005412347491059E-2</v>
      </c>
      <c r="M39" s="19">
        <v>26.090175350564721</v>
      </c>
      <c r="N39" s="19">
        <v>2.5894412306687398E-3</v>
      </c>
      <c r="O39" s="19">
        <v>5225</v>
      </c>
      <c r="P39" s="19">
        <v>81.362119539015595</v>
      </c>
      <c r="Q39" s="19">
        <v>25183.08</v>
      </c>
      <c r="R39" s="19">
        <v>24.079519104243008</v>
      </c>
      <c r="S39" s="20">
        <f>SUM(AM39:AN39)/2 + (AQ39/$X$1)</f>
        <v>24.9449115323334</v>
      </c>
      <c r="T39" s="20">
        <f>VLOOKUP(AP39,ggg,3,0)</f>
        <v>22.75</v>
      </c>
      <c r="U39" s="20">
        <f t="shared" si="0"/>
        <v>18.854736181768679</v>
      </c>
      <c r="V39" s="20">
        <f>VLOOKUP(AP39,ggg,12,0)</f>
        <v>8.1999999999999993</v>
      </c>
      <c r="W39" s="20">
        <f>VLOOKUP(AP39,ggg,20,0)</f>
        <v>27.42</v>
      </c>
      <c r="X39" s="20">
        <f>VLOOKUP(AP39,ggg,32,0)</f>
        <v>3.16</v>
      </c>
      <c r="Y39" s="20">
        <f>VLOOKUP(AP39,ggg,28,0)</f>
        <v>3.34</v>
      </c>
      <c r="Z39" s="33"/>
      <c r="AA39" s="33"/>
      <c r="AC39">
        <f>C$3*(C$1-C39)/C$2</f>
        <v>1.1680000000000028</v>
      </c>
      <c r="AD39">
        <f>D$3*(D$1-D39)/D$2</f>
        <v>0</v>
      </c>
      <c r="AE39">
        <f>E$3*(E$1-E39)/E$2</f>
        <v>-0.47571428571428959</v>
      </c>
      <c r="AF39">
        <f>F$3*(F$1-F39)/F$2</f>
        <v>0.26000000000000512</v>
      </c>
      <c r="AG39">
        <f>G$3*(G$1-G39)/G$2</f>
        <v>1.3428571428571434</v>
      </c>
      <c r="AH39">
        <f>H$3*(H$1-H39)/H$2</f>
        <v>1.1285714285714299</v>
      </c>
      <c r="AI39">
        <f>I$3*(I$1-I39)/I$2</f>
        <v>0</v>
      </c>
      <c r="AJ39">
        <f>(Q39-$M$1)/$M$2</f>
        <v>1.0828000000000002</v>
      </c>
      <c r="AK39">
        <f>(J39-$Q$1)/$Q$2</f>
        <v>-2.521778103945612</v>
      </c>
      <c r="AM39" s="3">
        <f>SUM(AC39:AK39)+M39+$T$1</f>
        <v>25.074911532333402</v>
      </c>
      <c r="AN39" s="3">
        <f>SUM(AC39:AK39)+M39+$T$1-AF39-AI39</f>
        <v>24.814911532333397</v>
      </c>
      <c r="AP39" t="str">
        <f>A39&amp;B39</f>
        <v>45497C</v>
      </c>
      <c r="AQ39">
        <f>VLOOKUP(AP39,kut,4,0)</f>
        <v>0</v>
      </c>
      <c r="AS39" s="3">
        <f t="shared" si="1"/>
        <v>18.984736181768682</v>
      </c>
      <c r="AT39" s="3">
        <f t="shared" si="2"/>
        <v>18.724736181768677</v>
      </c>
    </row>
    <row r="40" spans="1:46" x14ac:dyDescent="0.3">
      <c r="A40" s="17">
        <v>45498</v>
      </c>
      <c r="B40" s="18" t="s">
        <v>19</v>
      </c>
      <c r="C40" s="19">
        <v>8.1999999999999993</v>
      </c>
      <c r="D40" s="19">
        <v>39</v>
      </c>
      <c r="E40" s="19">
        <v>27.425000000000001</v>
      </c>
      <c r="F40" s="19">
        <v>55.2</v>
      </c>
      <c r="G40" s="19">
        <v>3.34</v>
      </c>
      <c r="H40" s="19">
        <v>3.165</v>
      </c>
      <c r="I40" s="19">
        <v>151.5</v>
      </c>
      <c r="J40" s="19">
        <v>9.1065725085975764</v>
      </c>
      <c r="K40" s="19">
        <v>1.2881770483745079E-2</v>
      </c>
      <c r="L40" s="19">
        <v>0.1173087769493367</v>
      </c>
      <c r="M40" s="19">
        <v>24.324680089295519</v>
      </c>
      <c r="N40" s="19">
        <v>2.586572143557148E-3</v>
      </c>
      <c r="O40" s="19">
        <v>5225</v>
      </c>
      <c r="P40" s="19">
        <v>81.334768655069297</v>
      </c>
      <c r="Q40" s="19">
        <v>37146.879999999997</v>
      </c>
      <c r="R40" s="19">
        <v>24.070998800847281</v>
      </c>
      <c r="S40" s="20">
        <f>SUM(AM40:AN40)/2 + (AQ40/$X$1)</f>
        <v>25.300382220689233</v>
      </c>
      <c r="T40" s="20">
        <f>VLOOKUP(AP40,ggg,3,0)</f>
        <v>28.23</v>
      </c>
      <c r="U40" s="20">
        <f t="shared" si="0"/>
        <v>20.975702131393714</v>
      </c>
      <c r="V40" s="20">
        <f>VLOOKUP(AP40,ggg,12,0)</f>
        <v>7.92</v>
      </c>
      <c r="W40" s="20">
        <f>VLOOKUP(AP40,ggg,20,0)</f>
        <v>26.64</v>
      </c>
      <c r="X40" s="20">
        <f>VLOOKUP(AP40,ggg,32,0)</f>
        <v>3.21</v>
      </c>
      <c r="Y40" s="20">
        <f>VLOOKUP(AP40,ggg,28,0)</f>
        <v>3.53</v>
      </c>
      <c r="Z40" s="33"/>
      <c r="AA40" s="33"/>
      <c r="AC40">
        <f>C$3*(C$1-C40)/C$2</f>
        <v>-0.19999999999999574</v>
      </c>
      <c r="AD40">
        <f>D$3*(D$1-D40)/D$2</f>
        <v>0</v>
      </c>
      <c r="AE40">
        <f>E$3*(E$1-E40)/E$2</f>
        <v>-1.2149999999999999</v>
      </c>
      <c r="AF40">
        <f>F$3*(F$1-F40)/F$2</f>
        <v>0.26000000000000512</v>
      </c>
      <c r="AG40">
        <f>G$3*(G$1-G40)/G$2</f>
        <v>1.3428571428571434</v>
      </c>
      <c r="AH40">
        <f>H$3*(H$1-H40)/H$2</f>
        <v>1.1749999999999994</v>
      </c>
      <c r="AI40">
        <f>I$3*(I$1-I40)/I$2</f>
        <v>0</v>
      </c>
      <c r="AJ40">
        <f>(Q40-$M$1)/$M$2</f>
        <v>2.5782749999999997</v>
      </c>
      <c r="AK40">
        <f>(J40-$Q$1)/$Q$2</f>
        <v>0.16456998853656538</v>
      </c>
      <c r="AM40" s="3">
        <f>SUM(AC40:AK40)+M40+$T$1</f>
        <v>25.430382220689236</v>
      </c>
      <c r="AN40" s="3">
        <f>SUM(AC40:AK40)+M40+$T$1-AF40-AI40</f>
        <v>25.17038222068923</v>
      </c>
      <c r="AP40" t="str">
        <f>A40&amp;B40</f>
        <v>45498A</v>
      </c>
      <c r="AQ40">
        <f>VLOOKUP(AP40,kut,4,0)</f>
        <v>0</v>
      </c>
      <c r="AS40" s="3">
        <f t="shared" si="1"/>
        <v>21.105702131393716</v>
      </c>
      <c r="AT40" s="3">
        <f t="shared" si="2"/>
        <v>20.845702131393711</v>
      </c>
    </row>
    <row r="41" spans="1:46" hidden="1" x14ac:dyDescent="0.3">
      <c r="A41" s="17">
        <v>45498</v>
      </c>
      <c r="B41" s="18" t="s">
        <v>20</v>
      </c>
      <c r="C41" s="19">
        <v>7.8833333333333329</v>
      </c>
      <c r="D41" s="19">
        <v>37.555555555555557</v>
      </c>
      <c r="E41" s="19">
        <v>26.63666666666667</v>
      </c>
      <c r="F41" s="19">
        <v>55.3</v>
      </c>
      <c r="G41" s="19">
        <v>3.53</v>
      </c>
      <c r="H41" s="19">
        <v>3.184444444444444</v>
      </c>
      <c r="I41" s="19">
        <v>151</v>
      </c>
      <c r="J41" s="19">
        <v>10.038022914368669</v>
      </c>
      <c r="K41" s="19">
        <v>2.4303578892241611E-3</v>
      </c>
      <c r="L41" s="19">
        <v>2.43959881821488E-2</v>
      </c>
      <c r="M41" s="19">
        <v>22.639089836438451</v>
      </c>
      <c r="N41" s="19">
        <v>2.588112012742368E-3</v>
      </c>
      <c r="O41" s="19">
        <v>5225</v>
      </c>
      <c r="P41" s="19">
        <v>81.30864721066969</v>
      </c>
      <c r="Q41" s="19">
        <v>8116.9600000000009</v>
      </c>
      <c r="R41" s="19">
        <v>22.175593819586879</v>
      </c>
      <c r="S41" s="20">
        <f>SUM(AM41:AN41)/2 + (AQ41/$X$1)</f>
        <v>20.259038728391339</v>
      </c>
      <c r="T41" s="20">
        <f>VLOOKUP(AP41,ggg,3,0)</f>
        <v>30.58</v>
      </c>
      <c r="U41" s="20">
        <f t="shared" si="0"/>
        <v>17.619948891952887</v>
      </c>
      <c r="V41" s="20">
        <f>VLOOKUP(AP41,ggg,12,0)</f>
        <v>7.98</v>
      </c>
      <c r="W41" s="20">
        <f>VLOOKUP(AP41,ggg,20,0)</f>
        <v>26.85</v>
      </c>
      <c r="X41" s="20">
        <f>VLOOKUP(AP41,ggg,32,0)</f>
        <v>3.23</v>
      </c>
      <c r="Y41" s="20">
        <f>VLOOKUP(AP41,ggg,28,0)</f>
        <v>3.42</v>
      </c>
      <c r="Z41" s="33"/>
      <c r="AA41" s="33"/>
      <c r="AC41">
        <f>C$3*(C$1-C41)/C$2</f>
        <v>1.06666666666667</v>
      </c>
      <c r="AD41">
        <f>D$3*(D$1-D41)/D$2</f>
        <v>0</v>
      </c>
      <c r="AE41">
        <f>E$3*(E$1-E41)/E$2</f>
        <v>-0.42666666666666941</v>
      </c>
      <c r="AF41">
        <f>F$3*(F$1-F41)/F$2</f>
        <v>0.45999999999999375</v>
      </c>
      <c r="AG41">
        <f>G$3*(G$1-G41)/G$2</f>
        <v>0.8000000000000006</v>
      </c>
      <c r="AH41">
        <f>H$3*(H$1-H41)/H$2</f>
        <v>1.0777777777777797</v>
      </c>
      <c r="AI41">
        <f>I$3*(I$1-I41)/I$2</f>
        <v>0</v>
      </c>
      <c r="AJ41">
        <f>(Q41-$M$1)/$M$2</f>
        <v>-1.050465</v>
      </c>
      <c r="AK41">
        <f>(J41-$Q$1)/$Q$2</f>
        <v>-1.077363885824892</v>
      </c>
      <c r="AM41" s="3">
        <f>SUM(AC41:AK41)+M41+$T$1</f>
        <v>20.489038728391336</v>
      </c>
      <c r="AN41" s="3">
        <f>SUM(AC41:AK41)+M41+$T$1-AF41-AI41</f>
        <v>20.029038728391342</v>
      </c>
      <c r="AP41" t="str">
        <f>A41&amp;B41</f>
        <v>45498B</v>
      </c>
      <c r="AQ41">
        <f>VLOOKUP(AP41,kut,4,0)</f>
        <v>0</v>
      </c>
      <c r="AS41" s="3">
        <f t="shared" si="1"/>
        <v>17.849948891952884</v>
      </c>
      <c r="AT41" s="3">
        <f t="shared" si="2"/>
        <v>17.389948891952891</v>
      </c>
    </row>
    <row r="42" spans="1:46" hidden="1" x14ac:dyDescent="0.3">
      <c r="A42" s="17">
        <v>45502</v>
      </c>
      <c r="B42" s="18" t="s">
        <v>20</v>
      </c>
      <c r="C42" s="19">
        <v>7.9775</v>
      </c>
      <c r="D42" s="19">
        <v>38.5</v>
      </c>
      <c r="E42" s="19">
        <v>26.85</v>
      </c>
      <c r="F42" s="19">
        <v>55.3</v>
      </c>
      <c r="G42" s="19">
        <v>3.42</v>
      </c>
      <c r="H42" s="19">
        <v>3.226666666666667</v>
      </c>
      <c r="I42" s="19">
        <v>153.66666666666671</v>
      </c>
      <c r="J42" s="19">
        <v>6.7430533703517384</v>
      </c>
      <c r="K42" s="19">
        <v>1.2893323828973499E-3</v>
      </c>
      <c r="L42" s="19">
        <v>8.6940370699996137E-3</v>
      </c>
      <c r="M42" s="19">
        <v>24.41450502132923</v>
      </c>
      <c r="N42" s="19">
        <v>2.5856611413217841E-3</v>
      </c>
      <c r="O42" s="19">
        <v>5225</v>
      </c>
      <c r="P42" s="19">
        <v>81.336155902594768</v>
      </c>
      <c r="Q42" s="19">
        <v>3594.880000000001</v>
      </c>
      <c r="R42" s="19">
        <v>23.301631362515849</v>
      </c>
      <c r="S42" s="20">
        <f>SUM(AM42:AN42)/2 + (AQ42/$X$1)</f>
        <v>25.375661241812622</v>
      </c>
      <c r="T42" s="20"/>
      <c r="U42" s="20">
        <f t="shared" si="0"/>
        <v>20.961156220483392</v>
      </c>
      <c r="V42" s="20"/>
      <c r="W42" s="20"/>
      <c r="X42" s="20"/>
      <c r="Y42" s="20"/>
      <c r="Z42" s="33"/>
      <c r="AA42" s="33"/>
      <c r="AC42">
        <f>C$3*(C$1-C42)/C$2</f>
        <v>0.69000000000000128</v>
      </c>
      <c r="AD42">
        <f>D$3*(D$1-D42)/D$2</f>
        <v>0</v>
      </c>
      <c r="AE42">
        <f>E$3*(E$1-E42)/E$2</f>
        <v>-0.64000000000000057</v>
      </c>
      <c r="AF42">
        <f>F$3*(F$1-F42)/F$2</f>
        <v>0.45999999999999375</v>
      </c>
      <c r="AG42">
        <f>G$3*(G$1-G42)/G$2</f>
        <v>1.1142857142857145</v>
      </c>
      <c r="AH42">
        <f>H$3*(H$1-H42)/H$2</f>
        <v>0.86666666666666448</v>
      </c>
      <c r="AI42">
        <f>I$3*(I$1-I42)/I$2</f>
        <v>0</v>
      </c>
      <c r="AJ42">
        <f>(Q42-$M$1)/$M$2</f>
        <v>-1.6157249999999999</v>
      </c>
      <c r="AK42">
        <f>(J42-$Q$1)/$Q$2</f>
        <v>3.3159288395310162</v>
      </c>
      <c r="AM42" s="3">
        <f>SUM(AC42:AK42)+M42+$T$1</f>
        <v>25.605661241812619</v>
      </c>
      <c r="AN42" s="3">
        <f>SUM(AC42:AK42)+M42+$T$1-AF42-AI42</f>
        <v>25.145661241812626</v>
      </c>
      <c r="AP42" t="str">
        <f>A42&amp;B42</f>
        <v>45502B</v>
      </c>
      <c r="AQ42">
        <f>VLOOKUP(AP42,kut,4,0)</f>
        <v>0</v>
      </c>
      <c r="AS42" s="3">
        <f t="shared" si="1"/>
        <v>21.191156220483389</v>
      </c>
      <c r="AT42" s="3">
        <f t="shared" si="2"/>
        <v>20.731156220483395</v>
      </c>
    </row>
    <row r="43" spans="1:46" hidden="1" x14ac:dyDescent="0.3">
      <c r="A43" s="17">
        <v>45502</v>
      </c>
      <c r="B43" s="18" t="s">
        <v>18</v>
      </c>
      <c r="C43" s="19">
        <v>8.4500000000000011</v>
      </c>
      <c r="D43" s="19">
        <v>38.666666666666657</v>
      </c>
      <c r="E43" s="19">
        <v>27.666666666666671</v>
      </c>
      <c r="F43" s="19">
        <v>53.3</v>
      </c>
      <c r="G43" s="19">
        <v>3.42</v>
      </c>
      <c r="H43" s="19">
        <v>3.413333333333334</v>
      </c>
      <c r="I43" s="19">
        <v>154.33333333333329</v>
      </c>
      <c r="J43" s="19">
        <v>10.45905469974249</v>
      </c>
      <c r="K43" s="19">
        <v>2.047465202909101E-3</v>
      </c>
      <c r="L43" s="19">
        <v>2.1414550553045648E-2</v>
      </c>
      <c r="M43" s="19">
        <v>13.22799294061063</v>
      </c>
      <c r="N43" s="19">
        <v>2.5817853960731982E-3</v>
      </c>
      <c r="O43" s="19">
        <v>5225</v>
      </c>
      <c r="P43" s="19">
        <v>84.617528260601418</v>
      </c>
      <c r="Q43" s="19">
        <v>4673.6400000000003</v>
      </c>
      <c r="R43" s="19">
        <v>13.23057888559549</v>
      </c>
      <c r="S43" s="20">
        <f>SUM(AM43:AN43)/2 + (AQ43/$X$1)</f>
        <v>3.7293257219063456</v>
      </c>
      <c r="T43" s="20">
        <f>VLOOKUP(AP43,ggg,3,0)</f>
        <v>13.9</v>
      </c>
      <c r="U43" s="20">
        <f t="shared" si="0"/>
        <v>10.501332781295716</v>
      </c>
      <c r="V43" s="20">
        <f>VLOOKUP(AP43,ggg,12,0)</f>
        <v>8.6</v>
      </c>
      <c r="W43" s="20">
        <f>VLOOKUP(AP43,ggg,20,0)</f>
        <v>26.76</v>
      </c>
      <c r="X43" s="20">
        <f>VLOOKUP(AP43,ggg,32,0)</f>
        <v>3.43</v>
      </c>
      <c r="Y43" s="20">
        <f>VLOOKUP(AP43,ggg,28,0)</f>
        <v>3.42</v>
      </c>
      <c r="Z43" s="33"/>
      <c r="AA43" s="33"/>
      <c r="AC43">
        <f>C$3*(C$1-C43)/C$2</f>
        <v>-1.2000000000000028</v>
      </c>
      <c r="AD43">
        <f>D$3*(D$1-D43)/D$2</f>
        <v>0</v>
      </c>
      <c r="AE43">
        <f>E$3*(E$1-E43)/E$2</f>
        <v>-1.4566666666666706</v>
      </c>
      <c r="AF43">
        <f>F$3*(F$1-F43)/F$2</f>
        <v>-3.5400000000000063</v>
      </c>
      <c r="AG43">
        <f>G$3*(G$1-G43)/G$2</f>
        <v>1.1142857142857145</v>
      </c>
      <c r="AH43">
        <f>H$3*(H$1-H43)/H$2</f>
        <v>-6.6666666666670427E-2</v>
      </c>
      <c r="AI43">
        <f>I$3*(I$1-I43)/I$2</f>
        <v>0</v>
      </c>
      <c r="AJ43">
        <f>(Q43-$M$1)/$M$2</f>
        <v>-1.4808800000000002</v>
      </c>
      <c r="AK43">
        <f>(J43-$Q$1)/$Q$2</f>
        <v>-1.6387395996566525</v>
      </c>
      <c r="AM43" s="3">
        <f>SUM(AC43:AK43)+M43+$T$1</f>
        <v>1.9593257219063425</v>
      </c>
      <c r="AN43" s="3">
        <f>SUM(AC43:AK43)+M43+$T$1-AF43-AI43</f>
        <v>5.4993257219063487</v>
      </c>
      <c r="AP43" t="str">
        <f>A43&amp;B43</f>
        <v>45502C</v>
      </c>
      <c r="AQ43">
        <f>VLOOKUP(AP43,kut,4,0)</f>
        <v>0</v>
      </c>
      <c r="AS43" s="3">
        <f t="shared" si="1"/>
        <v>8.7313327812957127</v>
      </c>
      <c r="AT43" s="3">
        <f t="shared" si="2"/>
        <v>12.271332781295719</v>
      </c>
    </row>
    <row r="44" spans="1:46" x14ac:dyDescent="0.3">
      <c r="A44" s="17">
        <v>45503</v>
      </c>
      <c r="B44" s="18" t="s">
        <v>19</v>
      </c>
      <c r="C44" s="19">
        <v>8.6</v>
      </c>
      <c r="D44" s="19">
        <v>38.666666666666657</v>
      </c>
      <c r="E44" s="19">
        <v>26.756666666666671</v>
      </c>
      <c r="F44" s="19">
        <v>53.3</v>
      </c>
      <c r="G44" s="19">
        <v>3.42</v>
      </c>
      <c r="H44" s="19">
        <v>3.433333333333334</v>
      </c>
      <c r="I44" s="19">
        <v>154</v>
      </c>
      <c r="J44" s="19">
        <v>9.2260839481412518</v>
      </c>
      <c r="K44" s="19">
        <v>8.1962794271520367E-3</v>
      </c>
      <c r="L44" s="19">
        <v>7.5619562057327783E-2</v>
      </c>
      <c r="M44" s="19">
        <v>13.22059229360835</v>
      </c>
      <c r="N44" s="19">
        <v>2.5807332845590092E-3</v>
      </c>
      <c r="O44" s="19">
        <v>5225</v>
      </c>
      <c r="P44" s="19">
        <v>81.646806374801017</v>
      </c>
      <c r="Q44" s="19">
        <v>35894.640000000007</v>
      </c>
      <c r="R44" s="19">
        <v>13.222741756528469</v>
      </c>
      <c r="S44" s="20">
        <f>SUM(AM44:AN44)/2 + (AQ44/$X$1)</f>
        <v>9.4785110770390553</v>
      </c>
      <c r="T44" s="20">
        <f>VLOOKUP(AP44,ggg,3,0)</f>
        <v>19.28</v>
      </c>
      <c r="U44" s="20">
        <f t="shared" si="0"/>
        <v>16.257918783430707</v>
      </c>
      <c r="V44" s="20">
        <f>VLOOKUP(AP44,ggg,12,0)</f>
        <v>8.3800000000000008</v>
      </c>
      <c r="W44" s="20">
        <f>VLOOKUP(AP44,ggg,20,0)</f>
        <v>26.18</v>
      </c>
      <c r="X44" s="20">
        <f>VLOOKUP(AP44,ggg,32,0)</f>
        <v>3.43</v>
      </c>
      <c r="Y44" s="20">
        <f>VLOOKUP(AP44,ggg,28,0)</f>
        <v>3.7</v>
      </c>
      <c r="Z44" s="33"/>
      <c r="AA44" s="33"/>
      <c r="AC44">
        <f>C$3*(C$1-C44)/C$2</f>
        <v>-1.7999999999999972</v>
      </c>
      <c r="AD44">
        <f>D$3*(D$1-D44)/D$2</f>
        <v>0</v>
      </c>
      <c r="AE44">
        <f>E$3*(E$1-E44)/E$2</f>
        <v>-0.54666666666667041</v>
      </c>
      <c r="AF44">
        <f>F$3*(F$1-F44)/F$2</f>
        <v>-3.5400000000000063</v>
      </c>
      <c r="AG44">
        <f>G$3*(G$1-G44)/G$2</f>
        <v>1.1142857142857145</v>
      </c>
      <c r="AH44">
        <f>H$3*(H$1-H44)/H$2</f>
        <v>-0.16666666666667052</v>
      </c>
      <c r="AI44">
        <f>I$3*(I$1-I44)/I$2</f>
        <v>0</v>
      </c>
      <c r="AJ44">
        <f>(Q44-$M$1)/$M$2</f>
        <v>2.4217450000000009</v>
      </c>
      <c r="AK44">
        <f>(J44-$Q$1)/$Q$2</f>
        <v>5.2214024783315454E-3</v>
      </c>
      <c r="AM44" s="3">
        <f>SUM(AC44:AK44)+M44+$T$1</f>
        <v>7.7085110770390521</v>
      </c>
      <c r="AN44" s="3">
        <f>SUM(AC44:AK44)+M44+$T$1-AF44-AI44</f>
        <v>11.248511077039058</v>
      </c>
      <c r="AP44" t="str">
        <f>A44&amp;B44</f>
        <v>45503A</v>
      </c>
      <c r="AQ44">
        <f>VLOOKUP(AP44,kut,4,0)</f>
        <v>0</v>
      </c>
      <c r="AS44" s="3">
        <f t="shared" si="1"/>
        <v>14.487918783430704</v>
      </c>
      <c r="AT44" s="3">
        <f t="shared" si="2"/>
        <v>18.02791878343071</v>
      </c>
    </row>
    <row r="45" spans="1:46" hidden="1" x14ac:dyDescent="0.3">
      <c r="A45" s="17">
        <v>45503</v>
      </c>
      <c r="B45" s="18" t="s">
        <v>20</v>
      </c>
      <c r="C45" s="19">
        <v>8.3375000000000004</v>
      </c>
      <c r="D45" s="19">
        <v>38.166666666666657</v>
      </c>
      <c r="E45" s="19">
        <v>27.576666666666672</v>
      </c>
      <c r="F45" s="19">
        <v>54.85</v>
      </c>
      <c r="G45" s="19">
        <v>3.7</v>
      </c>
      <c r="H45" s="19">
        <v>3.3666666666666671</v>
      </c>
      <c r="I45" s="19">
        <v>147.83333333333329</v>
      </c>
      <c r="J45" s="19">
        <v>10.120069102740221</v>
      </c>
      <c r="K45" s="19">
        <v>1.6983557356514121E-3</v>
      </c>
      <c r="L45" s="19">
        <v>1.7187477405827489E-2</v>
      </c>
      <c r="M45" s="19">
        <v>13.237547256878059</v>
      </c>
      <c r="N45" s="19">
        <v>2.585329020814224E-3</v>
      </c>
      <c r="O45" s="19">
        <v>5225</v>
      </c>
      <c r="P45" s="19">
        <v>88.452246777478777</v>
      </c>
      <c r="Q45" s="19">
        <v>5943</v>
      </c>
      <c r="R45" s="19">
        <v>13.22105169185185</v>
      </c>
      <c r="S45" s="20">
        <f>SUM(AM45:AN45)/2 + (AQ45/$X$1)</f>
        <v>5.8728641675101407</v>
      </c>
      <c r="T45" s="20">
        <f>VLOOKUP(AP45,ggg,3,0)</f>
        <v>17.68</v>
      </c>
      <c r="U45" s="20">
        <f t="shared" si="0"/>
        <v>12.635316910632081</v>
      </c>
      <c r="V45" s="20">
        <f>VLOOKUP(AP45,ggg,12,0)</f>
        <v>8.07</v>
      </c>
      <c r="W45" s="20">
        <f>VLOOKUP(AP45,ggg,20,0)</f>
        <v>27.6</v>
      </c>
      <c r="X45" s="20">
        <f>VLOOKUP(AP45,ggg,32,0)</f>
        <v>3.1</v>
      </c>
      <c r="Y45" s="20">
        <f>VLOOKUP(AP45,ggg,28,0)</f>
        <v>3.7</v>
      </c>
      <c r="Z45" s="33"/>
      <c r="AA45" s="33"/>
      <c r="AC45">
        <f>C$3*(C$1-C45)/C$2</f>
        <v>-0.75000000000000011</v>
      </c>
      <c r="AD45">
        <f>D$3*(D$1-D45)/D$2</f>
        <v>0</v>
      </c>
      <c r="AE45">
        <f>E$3*(E$1-E45)/E$2</f>
        <v>-1.3666666666666707</v>
      </c>
      <c r="AF45">
        <f>F$3*(F$1-F45)/F$2</f>
        <v>-0.43999999999999773</v>
      </c>
      <c r="AG45">
        <f>G$3*(G$1-G45)/G$2</f>
        <v>0.31428571428571395</v>
      </c>
      <c r="AH45">
        <f>H$3*(H$1-H45)/H$2</f>
        <v>0.16666666666666385</v>
      </c>
      <c r="AI45">
        <f>I$3*(I$1-I45)/I$2</f>
        <v>0</v>
      </c>
      <c r="AJ45">
        <f>(Q45-$M$1)/$M$2</f>
        <v>-1.3222100000000001</v>
      </c>
      <c r="AK45">
        <f>(J45-$Q$1)/$Q$2</f>
        <v>-1.1867588036536272</v>
      </c>
      <c r="AM45" s="3">
        <f>SUM(AC45:AK45)+M45+$T$1</f>
        <v>5.6528641675101419</v>
      </c>
      <c r="AN45" s="3">
        <f>SUM(AC45:AK45)+M45+$T$1-AF45-AI45</f>
        <v>6.0928641675101396</v>
      </c>
      <c r="AP45" t="str">
        <f>A45&amp;B45</f>
        <v>45503B</v>
      </c>
      <c r="AQ45">
        <f>VLOOKUP(AP45,kut,4,0)</f>
        <v>0</v>
      </c>
      <c r="AS45" s="3">
        <f t="shared" si="1"/>
        <v>12.415316910632082</v>
      </c>
      <c r="AT45" s="3">
        <f t="shared" si="2"/>
        <v>12.85531691063208</v>
      </c>
    </row>
    <row r="46" spans="1:46" hidden="1" x14ac:dyDescent="0.3">
      <c r="A46" s="17">
        <v>45503</v>
      </c>
      <c r="B46" s="18" t="s">
        <v>18</v>
      </c>
      <c r="C46" s="19">
        <v>8.07</v>
      </c>
      <c r="D46" s="19">
        <v>36</v>
      </c>
      <c r="E46" s="19">
        <v>27.6</v>
      </c>
      <c r="F46" s="19">
        <v>54.85</v>
      </c>
      <c r="G46" s="19">
        <v>3.7</v>
      </c>
      <c r="H46" s="19">
        <v>3.1</v>
      </c>
      <c r="I46" s="19">
        <v>148</v>
      </c>
      <c r="J46" s="19">
        <v>7.6789112926360694</v>
      </c>
      <c r="K46" s="19">
        <v>7.6906416081063446E-3</v>
      </c>
      <c r="L46" s="19">
        <v>5.9055754692104633E-2</v>
      </c>
      <c r="M46" s="19">
        <v>20.798623987218392</v>
      </c>
      <c r="N46" s="19">
        <v>2.583877145953374E-3</v>
      </c>
      <c r="O46" s="19">
        <v>5225</v>
      </c>
      <c r="P46" s="19">
        <v>81.280130486931299</v>
      </c>
      <c r="Q46" s="19">
        <v>20380.2</v>
      </c>
      <c r="R46" s="19">
        <v>22.556807725670399</v>
      </c>
      <c r="S46" s="20">
        <f>SUM(AM46:AN46)/2 + (AQ46/$X$1)</f>
        <v>20.873467977989346</v>
      </c>
      <c r="T46" s="20">
        <f>VLOOKUP(AP46,ggg,3,0)</f>
        <v>14.26</v>
      </c>
      <c r="U46" s="20">
        <f t="shared" si="0"/>
        <v>20.074843990770955</v>
      </c>
      <c r="V46" s="20">
        <f>VLOOKUP(AP46,ggg,12,0)</f>
        <v>8.1</v>
      </c>
      <c r="W46" s="20">
        <f>VLOOKUP(AP46,ggg,20,0)</f>
        <v>26.84</v>
      </c>
      <c r="X46" s="20">
        <f>VLOOKUP(AP46,ggg,32,0)</f>
        <v>3.14</v>
      </c>
      <c r="Y46" s="20">
        <f>VLOOKUP(AP46,ggg,28,0)</f>
        <v>3.7</v>
      </c>
      <c r="Z46" s="33"/>
      <c r="AA46" s="33"/>
      <c r="AC46">
        <f>C$3*(C$1-C46)/C$2</f>
        <v>0.32000000000000028</v>
      </c>
      <c r="AD46">
        <f>D$3*(D$1-D46)/D$2</f>
        <v>0</v>
      </c>
      <c r="AE46">
        <f>E$3*(E$1-E46)/E$2</f>
        <v>-1.3900000000000006</v>
      </c>
      <c r="AF46">
        <f>F$3*(F$1-F46)/F$2</f>
        <v>-0.43999999999999773</v>
      </c>
      <c r="AG46">
        <f>G$3*(G$1-G46)/G$2</f>
        <v>0.31428571428571395</v>
      </c>
      <c r="AH46">
        <f>H$3*(H$1-H46)/H$2</f>
        <v>1.4999999999999991</v>
      </c>
      <c r="AI46">
        <f>I$3*(I$1-I46)/I$2</f>
        <v>0</v>
      </c>
      <c r="AJ46">
        <f>(Q46-$M$1)/$M$2</f>
        <v>0.48244000000000004</v>
      </c>
      <c r="AK46">
        <f>(J46-$Q$1)/$Q$2</f>
        <v>2.0681182764852415</v>
      </c>
      <c r="AM46" s="3">
        <f>SUM(AC46:AK46)+M46+$T$1</f>
        <v>20.653467977989347</v>
      </c>
      <c r="AN46" s="3">
        <f>SUM(AC46:AK46)+M46+$T$1-AF46-AI46</f>
        <v>21.093467977989345</v>
      </c>
      <c r="AP46" t="str">
        <f>A46&amp;B46</f>
        <v>45503C</v>
      </c>
      <c r="AQ46">
        <f>VLOOKUP(AP46,kut,4,0)</f>
        <v>0</v>
      </c>
      <c r="AS46" s="3">
        <f t="shared" si="1"/>
        <v>19.854843990770956</v>
      </c>
      <c r="AT46" s="3">
        <f t="shared" si="2"/>
        <v>20.294843990770953</v>
      </c>
    </row>
    <row r="47" spans="1:46" x14ac:dyDescent="0.3">
      <c r="A47" s="17">
        <v>45504</v>
      </c>
      <c r="B47" s="18" t="s">
        <v>19</v>
      </c>
      <c r="C47" s="19">
        <v>8.1</v>
      </c>
      <c r="D47" s="19">
        <v>37</v>
      </c>
      <c r="E47" s="19">
        <v>27.051666666666669</v>
      </c>
      <c r="F47" s="19">
        <v>54.85</v>
      </c>
      <c r="G47" s="19">
        <v>3.7</v>
      </c>
      <c r="H47" s="19">
        <v>3.1333333333333329</v>
      </c>
      <c r="I47" s="19">
        <v>146.66666666666671</v>
      </c>
      <c r="J47" s="19">
        <v>8.3521096910734496</v>
      </c>
      <c r="K47" s="19">
        <v>8.1026287295795224E-3</v>
      </c>
      <c r="L47" s="19">
        <v>6.7674043935491285E-2</v>
      </c>
      <c r="M47" s="19">
        <v>19.904753903166391</v>
      </c>
      <c r="N47" s="19">
        <v>2.5834451035130919E-3</v>
      </c>
      <c r="O47" s="19">
        <v>5225</v>
      </c>
      <c r="P47" s="19">
        <v>81.266280828330977</v>
      </c>
      <c r="Q47" s="19">
        <v>20624.68</v>
      </c>
      <c r="R47" s="19">
        <v>21.986647247839251</v>
      </c>
      <c r="S47" s="20">
        <f>SUM(AM47:AN47)/2 + (AQ47/$X$1)</f>
        <v>19.374226696020845</v>
      </c>
      <c r="T47" s="20">
        <f>VLOOKUP(AP47,ggg,3,0)</f>
        <v>30.1</v>
      </c>
      <c r="U47" s="20">
        <f t="shared" si="0"/>
        <v>19.469472792854454</v>
      </c>
      <c r="V47" s="20">
        <f>VLOOKUP(AP47,ggg,12,0)</f>
        <v>7.6</v>
      </c>
      <c r="W47" s="20">
        <f>VLOOKUP(AP47,ggg,20,0)</f>
        <v>25.7</v>
      </c>
      <c r="X47" s="20">
        <f>VLOOKUP(AP47,ggg,32,0)</f>
        <v>3.06</v>
      </c>
      <c r="Y47" s="20">
        <f>VLOOKUP(AP47,ggg,28,0)</f>
        <v>3.7</v>
      </c>
      <c r="Z47" s="33"/>
      <c r="AA47" s="33"/>
      <c r="AC47">
        <f>C$3*(C$1-C47)/C$2</f>
        <v>0.20000000000000284</v>
      </c>
      <c r="AD47">
        <f>D$3*(D$1-D47)/D$2</f>
        <v>0</v>
      </c>
      <c r="AE47">
        <f>E$3*(E$1-E47)/E$2</f>
        <v>-0.84166666666666856</v>
      </c>
      <c r="AF47">
        <f>F$3*(F$1-F47)/F$2</f>
        <v>-0.43999999999999773</v>
      </c>
      <c r="AG47">
        <f>G$3*(G$1-G47)/G$2</f>
        <v>0.31428571428571395</v>
      </c>
      <c r="AH47">
        <f>H$3*(H$1-H47)/H$2</f>
        <v>1.3333333333333353</v>
      </c>
      <c r="AI47">
        <f>I$3*(I$1-I47)/I$2</f>
        <v>0</v>
      </c>
      <c r="AJ47">
        <f>(Q47-$M$1)/$M$2</f>
        <v>0.51300000000000001</v>
      </c>
      <c r="AK47">
        <f>(J47-$Q$1)/$Q$2</f>
        <v>1.1705204119020678</v>
      </c>
      <c r="AM47" s="3">
        <f>SUM(AC47:AK47)+M47+$T$1</f>
        <v>19.154226696020846</v>
      </c>
      <c r="AN47" s="3">
        <f>SUM(AC47:AK47)+M47+$T$1-AF47-AI47</f>
        <v>19.594226696020844</v>
      </c>
      <c r="AP47" t="str">
        <f>A47&amp;B47</f>
        <v>45504A</v>
      </c>
      <c r="AQ47">
        <f>VLOOKUP(AP47,kut,4,0)</f>
        <v>0</v>
      </c>
      <c r="AS47" s="3">
        <f t="shared" si="1"/>
        <v>19.249472792854455</v>
      </c>
      <c r="AT47" s="3">
        <f t="shared" si="2"/>
        <v>19.689472792854453</v>
      </c>
    </row>
    <row r="48" spans="1:46" hidden="1" x14ac:dyDescent="0.3">
      <c r="A48" s="17">
        <v>45504</v>
      </c>
      <c r="B48" s="18" t="s">
        <v>20</v>
      </c>
      <c r="C48" s="19">
        <v>7.6779999999999999</v>
      </c>
      <c r="D48" s="19">
        <v>37.125</v>
      </c>
      <c r="E48" s="19">
        <v>25.696249999999999</v>
      </c>
      <c r="F48" s="19">
        <v>54.64</v>
      </c>
      <c r="G48" s="19">
        <v>3.7</v>
      </c>
      <c r="H48" s="19">
        <v>3.0649999999999999</v>
      </c>
      <c r="I48" s="19">
        <v>148.75</v>
      </c>
      <c r="J48" s="19">
        <v>7.5125728124761402</v>
      </c>
      <c r="K48" s="19">
        <v>2.0174624445996772E-3</v>
      </c>
      <c r="L48" s="19">
        <v>1.515633351149118E-2</v>
      </c>
      <c r="M48" s="19">
        <v>24.978623658338488</v>
      </c>
      <c r="N48" s="19">
        <v>2.5859236598127491E-3</v>
      </c>
      <c r="O48" s="19">
        <v>5225</v>
      </c>
      <c r="P48" s="19">
        <v>81.344896584954029</v>
      </c>
      <c r="Q48" s="19">
        <v>6352.0800000000008</v>
      </c>
      <c r="R48" s="19">
        <v>27.047560328503849</v>
      </c>
      <c r="S48" s="20">
        <f>SUM(AM48:AN48)/2 + (AQ48/$X$1)</f>
        <v>26.958487289322687</v>
      </c>
      <c r="T48" s="20">
        <f>VLOOKUP(AP48,ggg,3,0)</f>
        <v>32.659999999999997</v>
      </c>
      <c r="U48" s="20">
        <f t="shared" si="0"/>
        <v>21.979863630984198</v>
      </c>
      <c r="V48" s="20">
        <f>VLOOKUP(AP48,ggg,12,0)</f>
        <v>7.54</v>
      </c>
      <c r="W48" s="20">
        <f>VLOOKUP(AP48,ggg,20,0)</f>
        <v>26.36</v>
      </c>
      <c r="X48" s="20">
        <f>VLOOKUP(AP48,ggg,32,0)</f>
        <v>2.99</v>
      </c>
      <c r="Y48" s="20">
        <f>VLOOKUP(AP48,ggg,28,0)</f>
        <v>3.36</v>
      </c>
      <c r="Z48" s="33"/>
      <c r="AA48" s="33"/>
      <c r="AC48">
        <f>C$3*(C$1-C48)/C$2</f>
        <v>1.8880000000000019</v>
      </c>
      <c r="AD48">
        <f>D$3*(D$1-D48)/D$2</f>
        <v>0</v>
      </c>
      <c r="AE48">
        <f>E$3*(E$1-E48)/E$2</f>
        <v>0.51375000000000171</v>
      </c>
      <c r="AF48">
        <f>F$3*(F$1-F48)/F$2</f>
        <v>-0.85999999999999943</v>
      </c>
      <c r="AG48">
        <f>G$3*(G$1-G48)/G$2</f>
        <v>0.31428571428571395</v>
      </c>
      <c r="AH48">
        <f>H$3*(H$1-H48)/H$2</f>
        <v>1.6749999999999998</v>
      </c>
      <c r="AI48">
        <f>I$3*(I$1-I48)/I$2</f>
        <v>0</v>
      </c>
      <c r="AJ48">
        <f>(Q48-$M$1)/$M$2</f>
        <v>-1.2710749999999997</v>
      </c>
      <c r="AK48">
        <f>(J48-$Q$1)/$Q$2</f>
        <v>2.2899029166984803</v>
      </c>
      <c r="AM48" s="3">
        <f>SUM(AC48:AK48)+M48+$T$1</f>
        <v>26.528487289322687</v>
      </c>
      <c r="AN48" s="3">
        <f>SUM(AC48:AK48)+M48+$T$1-AF48-AI48</f>
        <v>27.388487289322686</v>
      </c>
      <c r="AP48" t="str">
        <f>A48&amp;B48</f>
        <v>45504B</v>
      </c>
      <c r="AQ48">
        <f>VLOOKUP(AP48,kut,4,0)</f>
        <v>0</v>
      </c>
      <c r="AS48" s="3">
        <f t="shared" si="1"/>
        <v>21.549863630984198</v>
      </c>
      <c r="AT48" s="3">
        <f t="shared" si="2"/>
        <v>22.409863630984198</v>
      </c>
    </row>
    <row r="49" spans="1:46" s="30" customFormat="1" hidden="1" x14ac:dyDescent="0.3">
      <c r="A49" s="26">
        <v>45504</v>
      </c>
      <c r="B49" s="27" t="s">
        <v>18</v>
      </c>
      <c r="C49" s="28">
        <v>7.5374999999999996</v>
      </c>
      <c r="D49" s="28">
        <v>37.285714285714278</v>
      </c>
      <c r="E49" s="28">
        <v>25.81428571428571</v>
      </c>
      <c r="F49" s="28">
        <v>54.64</v>
      </c>
      <c r="G49" s="28">
        <v>3.355</v>
      </c>
      <c r="H49" s="28">
        <v>2.971428571428572</v>
      </c>
      <c r="I49" s="28">
        <v>148.42857142857139</v>
      </c>
      <c r="J49" s="28">
        <v>8.5524316839105428</v>
      </c>
      <c r="K49" s="28">
        <v>2.0011629136798179E-3</v>
      </c>
      <c r="L49" s="28">
        <v>1.711480910762201E-2</v>
      </c>
      <c r="M49" s="28">
        <v>27.047681512771501</v>
      </c>
      <c r="N49" s="28">
        <v>2.5869431913991309E-3</v>
      </c>
      <c r="O49" s="28">
        <v>5225</v>
      </c>
      <c r="P49" s="28">
        <v>81.376955228313662</v>
      </c>
      <c r="Q49" s="28">
        <v>5753.2800000000007</v>
      </c>
      <c r="R49" s="28">
        <v>27.047683659166399</v>
      </c>
      <c r="S49" s="29">
        <f>SUM(AM49:AN49)/2 + (AQ49/$X$1)</f>
        <v>29.463752362795546</v>
      </c>
      <c r="T49" s="29">
        <f>VLOOKUP(AP49,ggg,3,0)</f>
        <v>33.31</v>
      </c>
      <c r="U49" s="20">
        <f t="shared" si="0"/>
        <v>22.416070850024042</v>
      </c>
      <c r="V49" s="29">
        <f>VLOOKUP(AP49,ggg,12,0)</f>
        <v>8.1</v>
      </c>
      <c r="W49" s="29">
        <f>VLOOKUP(AP49,ggg,20,0)</f>
        <v>26.72</v>
      </c>
      <c r="X49" s="29">
        <f>VLOOKUP(AP49,ggg,32,0)</f>
        <v>3.17</v>
      </c>
      <c r="Y49" s="29">
        <f>VLOOKUP(AP49,ggg,28,0)</f>
        <v>3.36</v>
      </c>
      <c r="Z49" s="34"/>
      <c r="AA49" s="34"/>
      <c r="AC49" s="30">
        <f>C$3*(C$1-C49)/C$2</f>
        <v>2.4500000000000028</v>
      </c>
      <c r="AD49" s="30">
        <f>D$3*(D$1-D49)/D$2</f>
        <v>0</v>
      </c>
      <c r="AE49" s="30">
        <f>E$3*(E$1-E49)/E$2</f>
        <v>0.39571428571429124</v>
      </c>
      <c r="AF49" s="30">
        <f>F$3*(F$1-F49)/F$2</f>
        <v>-0.85999999999999943</v>
      </c>
      <c r="AG49" s="30">
        <f>G$3*(G$1-G49)/G$2</f>
        <v>1.3000000000000003</v>
      </c>
      <c r="AH49" s="30">
        <f>H$3*(H$1-H49)/H$2</f>
        <v>2.1428571428571397</v>
      </c>
      <c r="AI49" s="30">
        <f>I$3*(I$1-I49)/I$2</f>
        <v>0</v>
      </c>
      <c r="AJ49" s="30">
        <f>(Q49-$M$1)/$M$2</f>
        <v>-1.345925</v>
      </c>
      <c r="AK49" s="30">
        <f>(J49-$Q$1)/$Q$2</f>
        <v>0.90342442145261026</v>
      </c>
      <c r="AM49" s="31">
        <f>SUM(AC49:AK49)+M49+$T$1</f>
        <v>29.033752362795546</v>
      </c>
      <c r="AN49" s="31">
        <f>SUM(AC49:AK49)+M49+$T$1-AF49-AI49</f>
        <v>29.893752362795546</v>
      </c>
      <c r="AP49" s="30" t="str">
        <f>A49&amp;B49</f>
        <v>45504C</v>
      </c>
      <c r="AQ49" s="30">
        <f>VLOOKUP(AP49,kut,4,0)</f>
        <v>0</v>
      </c>
      <c r="AS49" s="3">
        <f t="shared" si="1"/>
        <v>21.986070850024042</v>
      </c>
      <c r="AT49" s="3">
        <f t="shared" si="2"/>
        <v>22.846070850024041</v>
      </c>
    </row>
    <row r="50" spans="1:46" x14ac:dyDescent="0.3">
      <c r="A50" s="17">
        <v>45505</v>
      </c>
      <c r="B50" s="18" t="s">
        <v>19</v>
      </c>
      <c r="C50" s="19">
        <v>8.1</v>
      </c>
      <c r="D50" s="19">
        <v>38</v>
      </c>
      <c r="E50" s="19">
        <v>26.594999999999999</v>
      </c>
      <c r="F50" s="19">
        <v>54.64</v>
      </c>
      <c r="G50" s="19">
        <v>3.36</v>
      </c>
      <c r="H50" s="19">
        <v>3.14</v>
      </c>
      <c r="I50" s="19">
        <v>145.75</v>
      </c>
      <c r="J50" s="19">
        <v>7.7230550623321763</v>
      </c>
      <c r="K50" s="19">
        <v>5.85301430189006E-3</v>
      </c>
      <c r="L50" s="19">
        <v>4.5203151734114648E-2</v>
      </c>
      <c r="M50" s="19">
        <v>20.933629867922171</v>
      </c>
      <c r="N50" s="19">
        <v>2.584326369049495E-3</v>
      </c>
      <c r="O50" s="19">
        <v>5225</v>
      </c>
      <c r="P50" s="19">
        <v>81.282224239373392</v>
      </c>
      <c r="Q50" s="19">
        <v>18467.16</v>
      </c>
      <c r="R50" s="19">
        <v>23.936131000442899</v>
      </c>
      <c r="S50" s="20">
        <f>SUM(AM50:AN50)/2 + (AQ50/$X$1)</f>
        <v>22.156914070526895</v>
      </c>
      <c r="T50" s="20">
        <f>VLOOKUP(AP50,ggg,3,0)</f>
        <v>32.25</v>
      </c>
      <c r="U50" s="20">
        <f t="shared" si="0"/>
        <v>21.223284202604724</v>
      </c>
      <c r="V50" s="20">
        <f>VLOOKUP(AP50,ggg,12,0)</f>
        <v>7.94</v>
      </c>
      <c r="W50" s="20">
        <f>VLOOKUP(AP50,ggg,20,0)</f>
        <v>26.64</v>
      </c>
      <c r="X50" s="20">
        <f>VLOOKUP(AP50,ggg,32,0)</f>
        <v>3.26</v>
      </c>
      <c r="Y50" s="20">
        <f>VLOOKUP(AP50,ggg,28,0)</f>
        <v>3.49</v>
      </c>
      <c r="Z50" s="33"/>
      <c r="AA50" s="33"/>
      <c r="AC50">
        <f>C$3*(C$1-C50)/C$2</f>
        <v>0.20000000000000284</v>
      </c>
      <c r="AD50">
        <f>D$3*(D$1-D50)/D$2</f>
        <v>0</v>
      </c>
      <c r="AE50">
        <f>E$3*(E$1-E50)/E$2</f>
        <v>-0.38499999999999801</v>
      </c>
      <c r="AF50">
        <f>F$3*(F$1-F50)/F$2</f>
        <v>-0.85999999999999943</v>
      </c>
      <c r="AG50">
        <f>G$3*(G$1-G50)/G$2</f>
        <v>1.285714285714286</v>
      </c>
      <c r="AH50">
        <f>H$3*(H$1-H50)/H$2</f>
        <v>1.2999999999999992</v>
      </c>
      <c r="AI50">
        <f>I$3*(I$1-I50)/I$2</f>
        <v>0</v>
      </c>
      <c r="AJ50">
        <f>(Q50-$M$1)/$M$2</f>
        <v>0.24330999999999994</v>
      </c>
      <c r="AK50">
        <f>(J50-$Q$1)/$Q$2</f>
        <v>2.0092599168904322</v>
      </c>
      <c r="AM50" s="3">
        <f>SUM(AC50:AK50)+M50+$T$1</f>
        <v>21.726914070526895</v>
      </c>
      <c r="AN50" s="3">
        <f>SUM(AC50:AK50)+M50+$T$1-AF50-AI50</f>
        <v>22.586914070526895</v>
      </c>
      <c r="AP50" t="str">
        <f>A50&amp;B50</f>
        <v>45505A</v>
      </c>
      <c r="AQ50">
        <f>VLOOKUP(AP50,kut,4,0)</f>
        <v>0</v>
      </c>
      <c r="AS50" s="3">
        <f t="shared" si="1"/>
        <v>20.793284202604724</v>
      </c>
      <c r="AT50" s="3">
        <f t="shared" si="2"/>
        <v>21.653284202604723</v>
      </c>
    </row>
    <row r="51" spans="1:46" hidden="1" x14ac:dyDescent="0.3">
      <c r="A51" s="17">
        <v>45505</v>
      </c>
      <c r="B51" s="18" t="s">
        <v>20</v>
      </c>
      <c r="C51" s="19">
        <v>7.9424999999999999</v>
      </c>
      <c r="D51" s="19">
        <v>38.666666666666657</v>
      </c>
      <c r="E51" s="19">
        <v>26.56666666666667</v>
      </c>
      <c r="F51" s="19">
        <v>55.06</v>
      </c>
      <c r="G51" s="19">
        <v>3.49</v>
      </c>
      <c r="H51" s="19">
        <v>3.27</v>
      </c>
      <c r="I51" s="19">
        <v>145.16666666666671</v>
      </c>
      <c r="J51" s="19">
        <v>7.8394155784493638</v>
      </c>
      <c r="K51" s="19">
        <v>3.40635400943021E-3</v>
      </c>
      <c r="L51" s="19">
        <v>2.670382468724064E-2</v>
      </c>
      <c r="M51" s="19">
        <v>20.699435597180258</v>
      </c>
      <c r="N51" s="19">
        <v>2.5838501325002828E-3</v>
      </c>
      <c r="O51" s="19">
        <v>5225</v>
      </c>
      <c r="P51" s="19">
        <v>81.278593430961905</v>
      </c>
      <c r="Q51" s="19">
        <v>10521.12</v>
      </c>
      <c r="R51" s="19">
        <v>22.45045012126868</v>
      </c>
      <c r="S51" s="20">
        <f>SUM(AM51:AN51)/2 + (AQ51/$X$1)</f>
        <v>20.831222206866823</v>
      </c>
      <c r="T51" s="20">
        <f>VLOOKUP(AP51,ggg,3,0)</f>
        <v>30.29</v>
      </c>
      <c r="U51" s="20">
        <f t="shared" si="0"/>
        <v>20.131786609686564</v>
      </c>
      <c r="V51" s="20">
        <f>VLOOKUP(AP51,ggg,12,0)</f>
        <v>7.88</v>
      </c>
      <c r="W51" s="20">
        <f>VLOOKUP(AP51,ggg,20,0)</f>
        <v>26.71</v>
      </c>
      <c r="X51" s="20">
        <f>VLOOKUP(AP51,ggg,32,0)</f>
        <v>3.16</v>
      </c>
      <c r="Y51" s="20">
        <f>VLOOKUP(AP51,ggg,28,0)</f>
        <v>3.58</v>
      </c>
      <c r="Z51" s="33"/>
      <c r="AA51" s="33"/>
      <c r="AC51">
        <f>C$3*(C$1-C51)/C$2</f>
        <v>0.83000000000000185</v>
      </c>
      <c r="AD51">
        <f>D$3*(D$1-D51)/D$2</f>
        <v>0</v>
      </c>
      <c r="AE51">
        <f>E$3*(E$1-E51)/E$2</f>
        <v>-0.35666666666666913</v>
      </c>
      <c r="AF51">
        <f>F$3*(F$1-F51)/F$2</f>
        <v>-1.9999999999996021E-2</v>
      </c>
      <c r="AG51">
        <f>G$3*(G$1-G51)/G$2</f>
        <v>0.91428571428571381</v>
      </c>
      <c r="AH51">
        <f>H$3*(H$1-H51)/H$2</f>
        <v>0.64999999999999958</v>
      </c>
      <c r="AI51">
        <f>I$3*(I$1-I51)/I$2</f>
        <v>0</v>
      </c>
      <c r="AJ51">
        <f>(Q51-$M$1)/$M$2</f>
        <v>-0.74994499999999997</v>
      </c>
      <c r="AK51">
        <f>(J51-$Q$1)/$Q$2</f>
        <v>1.8541125620675156</v>
      </c>
      <c r="AM51" s="3">
        <f>SUM(AC51:AK51)+M51+$T$1</f>
        <v>20.821222206866825</v>
      </c>
      <c r="AN51" s="3">
        <f>SUM(AC51:AK51)+M51+$T$1-AF51-AI51</f>
        <v>20.841222206866821</v>
      </c>
      <c r="AP51" t="str">
        <f>A51&amp;B51</f>
        <v>45505B</v>
      </c>
      <c r="AQ51">
        <f>VLOOKUP(AP51,kut,4,0)</f>
        <v>0</v>
      </c>
      <c r="AS51" s="3">
        <f t="shared" si="1"/>
        <v>20.121786609686566</v>
      </c>
      <c r="AT51" s="3">
        <f t="shared" si="2"/>
        <v>20.141786609686562</v>
      </c>
    </row>
    <row r="52" spans="1:46" hidden="1" x14ac:dyDescent="0.3">
      <c r="A52" s="17">
        <v>45505</v>
      </c>
      <c r="B52" s="18" t="s">
        <v>18</v>
      </c>
      <c r="C52" s="19">
        <v>7.8849999999999998</v>
      </c>
      <c r="D52" s="19">
        <v>37.625</v>
      </c>
      <c r="E52" s="19">
        <v>26.712499999999999</v>
      </c>
      <c r="F52" s="19">
        <v>55.06</v>
      </c>
      <c r="G52" s="19">
        <v>3.58</v>
      </c>
      <c r="H52" s="19">
        <v>3.1549999999999998</v>
      </c>
      <c r="I52" s="19">
        <v>148.875</v>
      </c>
      <c r="J52" s="19">
        <v>7.8925462653052012</v>
      </c>
      <c r="K52" s="19">
        <v>6.2256082865063192E-3</v>
      </c>
      <c r="L52" s="19">
        <v>4.9135901430918567E-2</v>
      </c>
      <c r="M52" s="19">
        <v>23.972593579816689</v>
      </c>
      <c r="N52" s="19">
        <v>2.5854245626863929E-3</v>
      </c>
      <c r="O52" s="19">
        <v>5225</v>
      </c>
      <c r="P52" s="19">
        <v>81.329308804412392</v>
      </c>
      <c r="Q52" s="19">
        <v>18512</v>
      </c>
      <c r="R52" s="19">
        <v>24.82262330167779</v>
      </c>
      <c r="S52" s="20">
        <f>SUM(AM52:AN52)/2 + (AQ52/$X$1)</f>
        <v>25.434423083219286</v>
      </c>
      <c r="T52" s="20">
        <f>VLOOKUP(AP52,ggg,3,0)</f>
        <v>24.02</v>
      </c>
      <c r="U52" s="20">
        <f t="shared" si="0"/>
        <v>21.461829503402598</v>
      </c>
      <c r="V52" s="20">
        <f>VLOOKUP(AP52,ggg,12,0)</f>
        <v>8.1999999999999993</v>
      </c>
      <c r="W52" s="20">
        <f>VLOOKUP(AP52,ggg,20,0)</f>
        <v>25.66</v>
      </c>
      <c r="X52" s="20">
        <f>VLOOKUP(AP52,ggg,32,0)</f>
        <v>3.36</v>
      </c>
      <c r="Y52" s="20">
        <f>VLOOKUP(AP52,ggg,28,0)</f>
        <v>3.58</v>
      </c>
      <c r="Z52" s="33"/>
      <c r="AA52" s="33"/>
      <c r="AC52">
        <f>C$3*(C$1-C52)/C$2</f>
        <v>1.0600000000000023</v>
      </c>
      <c r="AD52">
        <f>D$3*(D$1-D52)/D$2</f>
        <v>0</v>
      </c>
      <c r="AE52">
        <f>E$3*(E$1-E52)/E$2</f>
        <v>-0.50249999999999773</v>
      </c>
      <c r="AF52">
        <f>F$3*(F$1-F52)/F$2</f>
        <v>-1.9999999999996021E-2</v>
      </c>
      <c r="AG52">
        <f>G$3*(G$1-G52)/G$2</f>
        <v>0.65714285714285703</v>
      </c>
      <c r="AH52">
        <f>H$3*(H$1-H52)/H$2</f>
        <v>1.2250000000000005</v>
      </c>
      <c r="AI52">
        <f>I$3*(I$1-I52)/I$2</f>
        <v>0</v>
      </c>
      <c r="AJ52">
        <f>(Q52-$M$1)/$M$2</f>
        <v>0.24891499999999997</v>
      </c>
      <c r="AK52">
        <f>(J52-$Q$1)/$Q$2</f>
        <v>1.7832716462597322</v>
      </c>
      <c r="AM52" s="3">
        <f>SUM(AC52:AK52)+M52+$T$1</f>
        <v>25.424423083219288</v>
      </c>
      <c r="AN52" s="3">
        <f>SUM(AC52:AK52)+M52+$T$1-AF52-AI52</f>
        <v>25.444423083219284</v>
      </c>
      <c r="AP52" t="str">
        <f>A52&amp;B52</f>
        <v>45505C</v>
      </c>
      <c r="AQ52">
        <f>VLOOKUP(AP52,kut,4,0)</f>
        <v>0</v>
      </c>
      <c r="AS52" s="3">
        <f t="shared" si="1"/>
        <v>21.4518295034026</v>
      </c>
      <c r="AT52" s="3">
        <f t="shared" si="2"/>
        <v>21.471829503402596</v>
      </c>
    </row>
    <row r="53" spans="1:46" x14ac:dyDescent="0.3">
      <c r="A53" s="17">
        <v>45506</v>
      </c>
      <c r="B53" s="18" t="s">
        <v>19</v>
      </c>
      <c r="C53" s="19">
        <v>8.1999999999999993</v>
      </c>
      <c r="D53" s="19">
        <v>38</v>
      </c>
      <c r="E53" s="19">
        <v>25.66</v>
      </c>
      <c r="F53" s="19">
        <v>55.06</v>
      </c>
      <c r="G53" s="19">
        <v>3.58</v>
      </c>
      <c r="H53" s="19">
        <v>3.36</v>
      </c>
      <c r="I53" s="19">
        <v>148</v>
      </c>
      <c r="J53" s="19">
        <v>8.9771123431671747</v>
      </c>
      <c r="K53" s="19">
        <v>6.7037592752690481E-3</v>
      </c>
      <c r="L53" s="19">
        <v>6.018040013563921E-2</v>
      </c>
      <c r="M53" s="19">
        <v>15.93345846385632</v>
      </c>
      <c r="N53" s="19">
        <v>2.5820520796678401E-3</v>
      </c>
      <c r="O53" s="19">
        <v>5225</v>
      </c>
      <c r="P53" s="19">
        <v>81.204750383700002</v>
      </c>
      <c r="Q53" s="19">
        <v>7098.880000000001</v>
      </c>
      <c r="R53" s="19">
        <v>16.99331258586227</v>
      </c>
      <c r="S53" s="20">
        <f>SUM(AM53:AN53)/2 + (AQ53/$X$1)</f>
        <v>13.290059863442952</v>
      </c>
      <c r="T53" s="20">
        <f>VLOOKUP(AP53,ggg,3,0)</f>
        <v>22.86</v>
      </c>
      <c r="U53" s="20">
        <f t="shared" si="0"/>
        <v>17.356601399586634</v>
      </c>
      <c r="V53" s="20">
        <f>VLOOKUP(AP53,ggg,12,0)</f>
        <v>8.1</v>
      </c>
      <c r="W53" s="20">
        <f>VLOOKUP(AP53,ggg,20,0)</f>
        <v>27.1</v>
      </c>
      <c r="X53" s="20">
        <f>VLOOKUP(AP53,ggg,32,0)</f>
        <v>3.41</v>
      </c>
      <c r="Y53" s="20">
        <f>VLOOKUP(AP53,ggg,28,0)</f>
        <v>3.58</v>
      </c>
      <c r="Z53" s="33"/>
      <c r="AA53" s="33"/>
      <c r="AC53">
        <f>C$3*(C$1-C53)/C$2</f>
        <v>-0.19999999999999574</v>
      </c>
      <c r="AD53">
        <f>D$3*(D$1-D53)/D$2</f>
        <v>0</v>
      </c>
      <c r="AE53">
        <f>E$3*(E$1-E53)/E$2</f>
        <v>0.55000000000000071</v>
      </c>
      <c r="AF53">
        <f>F$3*(F$1-F53)/F$2</f>
        <v>-1.9999999999996021E-2</v>
      </c>
      <c r="AG53">
        <f>G$3*(G$1-G53)/G$2</f>
        <v>0.65714285714285703</v>
      </c>
      <c r="AH53">
        <f>H$3*(H$1-H53)/H$2</f>
        <v>0.20000000000000018</v>
      </c>
      <c r="AI53">
        <f>I$3*(I$1-I53)/I$2</f>
        <v>0</v>
      </c>
      <c r="AJ53">
        <f>(Q53-$M$1)/$M$2</f>
        <v>-1.1777249999999999</v>
      </c>
      <c r="AK53">
        <f>(J53-$Q$1)/$Q$2</f>
        <v>0.33718354244376769</v>
      </c>
      <c r="AM53" s="3">
        <f>SUM(AC53:AK53)+M53+$T$1</f>
        <v>13.280059863442954</v>
      </c>
      <c r="AN53" s="3">
        <f>SUM(AC53:AK53)+M53+$T$1-AF53-AI53</f>
        <v>13.30005986344295</v>
      </c>
      <c r="AP53" t="str">
        <f>A53&amp;B53</f>
        <v>45506A</v>
      </c>
      <c r="AQ53">
        <f>VLOOKUP(AP53,kut,4,0)</f>
        <v>0</v>
      </c>
      <c r="AS53" s="3">
        <f t="shared" si="1"/>
        <v>17.346601399586635</v>
      </c>
      <c r="AT53" s="3">
        <f t="shared" si="2"/>
        <v>17.366601399586632</v>
      </c>
    </row>
    <row r="54" spans="1:46" hidden="1" x14ac:dyDescent="0.3">
      <c r="A54" s="17">
        <v>45506</v>
      </c>
      <c r="B54" s="18" t="s">
        <v>20</v>
      </c>
      <c r="C54" s="19">
        <v>8.0033333333333321</v>
      </c>
      <c r="D54" s="19">
        <v>38.5</v>
      </c>
      <c r="E54" s="19">
        <v>26.625</v>
      </c>
      <c r="F54" s="19">
        <v>55.06</v>
      </c>
      <c r="G54" s="19">
        <v>3.58</v>
      </c>
      <c r="H54" s="19">
        <v>3.37</v>
      </c>
      <c r="I54" s="19">
        <v>145.66666666666671</v>
      </c>
      <c r="J54" s="19">
        <v>10.06091737312239</v>
      </c>
      <c r="K54" s="19">
        <v>5.9023954808953994E-3</v>
      </c>
      <c r="L54" s="19">
        <v>5.9383513236779609E-2</v>
      </c>
      <c r="M54" s="19">
        <v>16.935336829803781</v>
      </c>
      <c r="N54" s="19">
        <v>2.5821042350094429E-3</v>
      </c>
      <c r="O54" s="19">
        <v>5225</v>
      </c>
      <c r="P54" s="19">
        <v>81.22027540526291</v>
      </c>
      <c r="Q54" s="19">
        <v>17224.96</v>
      </c>
      <c r="R54" s="19">
        <v>18.56237123118434</v>
      </c>
      <c r="S54" s="20">
        <f>SUM(AM54:AN54)/2 + (AQ54/$X$1)</f>
        <v>13.88429152278346</v>
      </c>
      <c r="T54" s="20">
        <f>VLOOKUP(AP54,ggg,3,0)</f>
        <v>17.59</v>
      </c>
      <c r="U54" s="20">
        <f t="shared" si="0"/>
        <v>16.948954692979679</v>
      </c>
      <c r="V54" s="20">
        <f>VLOOKUP(AP54,ggg,12,0)</f>
        <v>8.23</v>
      </c>
      <c r="W54" s="20">
        <f>VLOOKUP(AP54,ggg,20,0)</f>
        <v>27.62</v>
      </c>
      <c r="X54" s="20">
        <f>VLOOKUP(AP54,ggg,32,0)</f>
        <v>3.36</v>
      </c>
      <c r="Y54" s="20">
        <f>VLOOKUP(AP54,ggg,28,0)</f>
        <v>3.58</v>
      </c>
      <c r="Z54" s="33"/>
      <c r="AA54" s="33"/>
      <c r="AC54">
        <f>C$3*(C$1-C54)/C$2</f>
        <v>0.58666666666667311</v>
      </c>
      <c r="AD54">
        <f>D$3*(D$1-D54)/D$2</f>
        <v>0</v>
      </c>
      <c r="AE54">
        <f>E$3*(E$1-E54)/E$2</f>
        <v>-0.41499999999999915</v>
      </c>
      <c r="AF54">
        <f>F$3*(F$1-F54)/F$2</f>
        <v>-1.9999999999996021E-2</v>
      </c>
      <c r="AG54">
        <f>G$3*(G$1-G54)/G$2</f>
        <v>0.65714285714285703</v>
      </c>
      <c r="AH54">
        <f>H$3*(H$1-H54)/H$2</f>
        <v>0.14999999999999902</v>
      </c>
      <c r="AI54">
        <f>I$3*(I$1-I54)/I$2</f>
        <v>0</v>
      </c>
      <c r="AJ54">
        <f>(Q54-$M$1)/$M$2</f>
        <v>8.8034999999999849E-2</v>
      </c>
      <c r="AK54">
        <f>(J54-$Q$1)/$Q$2</f>
        <v>-1.1078898308298524</v>
      </c>
      <c r="AM54" s="3">
        <f>SUM(AC54:AK54)+M54+$T$1</f>
        <v>13.874291522783462</v>
      </c>
      <c r="AN54" s="3">
        <f>SUM(AC54:AK54)+M54+$T$1-AF54-AI54</f>
        <v>13.894291522783458</v>
      </c>
      <c r="AP54" t="str">
        <f>A54&amp;B54</f>
        <v>45506B</v>
      </c>
      <c r="AQ54">
        <f>VLOOKUP(AP54,kut,4,0)</f>
        <v>0</v>
      </c>
      <c r="AS54" s="3">
        <f t="shared" si="1"/>
        <v>16.938954692979681</v>
      </c>
      <c r="AT54" s="3">
        <f t="shared" si="2"/>
        <v>16.958954692979678</v>
      </c>
    </row>
    <row r="55" spans="1:46" hidden="1" x14ac:dyDescent="0.3">
      <c r="A55" s="17">
        <v>45506</v>
      </c>
      <c r="B55" s="18" t="s">
        <v>18</v>
      </c>
      <c r="C55" s="19">
        <v>8.2333333333333343</v>
      </c>
      <c r="D55" s="19">
        <v>37.428571428571431</v>
      </c>
      <c r="E55" s="19">
        <v>27.94285714285714</v>
      </c>
      <c r="F55" s="19">
        <v>55.06</v>
      </c>
      <c r="G55" s="19">
        <v>3.58</v>
      </c>
      <c r="H55" s="19">
        <v>3.36</v>
      </c>
      <c r="I55" s="19">
        <v>148.42857142857139</v>
      </c>
      <c r="J55" s="19">
        <v>9.0367294960814846</v>
      </c>
      <c r="K55" s="19">
        <v>2.9619826539901231E-3</v>
      </c>
      <c r="L55" s="19">
        <v>2.6766636016194261E-2</v>
      </c>
      <c r="M55" s="19">
        <v>14.31169279990309</v>
      </c>
      <c r="N55" s="19">
        <v>2.5811370897410538E-3</v>
      </c>
      <c r="O55" s="19">
        <v>5225</v>
      </c>
      <c r="P55" s="19">
        <v>81.179623612006253</v>
      </c>
      <c r="Q55" s="19">
        <v>11280.384</v>
      </c>
      <c r="R55" s="19">
        <v>15.26686266828624</v>
      </c>
      <c r="S55" s="20">
        <f>SUM(AM55:AN55)/2 + (AQ55/$X$1)</f>
        <v>9.6953021860801627</v>
      </c>
      <c r="T55" s="20">
        <f>VLOOKUP(AP55,ggg,3,0)</f>
        <v>16.57</v>
      </c>
      <c r="U55" s="20">
        <f t="shared" si="0"/>
        <v>15.383609386177074</v>
      </c>
      <c r="V55" s="20">
        <f>VLOOKUP(AP55,ggg,12,0)</f>
        <v>8.5</v>
      </c>
      <c r="W55" s="20">
        <f>VLOOKUP(AP55,ggg,20,0)</f>
        <v>28.55</v>
      </c>
      <c r="X55" s="20">
        <f>VLOOKUP(AP55,ggg,32,0)</f>
        <v>3.32</v>
      </c>
      <c r="Y55" s="20">
        <f>VLOOKUP(AP55,ggg,28,0)</f>
        <v>3.56</v>
      </c>
      <c r="Z55" s="33"/>
      <c r="AA55" s="33"/>
      <c r="AC55">
        <f>C$3*(C$1-C55)/C$2</f>
        <v>-0.33333333333333565</v>
      </c>
      <c r="AD55">
        <f>D$3*(D$1-D55)/D$2</f>
        <v>0</v>
      </c>
      <c r="AE55">
        <f>E$3*(E$1-E55)/E$2</f>
        <v>-1.7328571428571387</v>
      </c>
      <c r="AF55">
        <f>F$3*(F$1-F55)/F$2</f>
        <v>-1.9999999999996021E-2</v>
      </c>
      <c r="AG55">
        <f>G$3*(G$1-G55)/G$2</f>
        <v>0.65714285714285703</v>
      </c>
      <c r="AH55">
        <f>H$3*(H$1-H55)/H$2</f>
        <v>0.20000000000000018</v>
      </c>
      <c r="AI55">
        <f>I$3*(I$1-I55)/I$2</f>
        <v>0</v>
      </c>
      <c r="AJ55">
        <f>(Q55-$M$1)/$M$2</f>
        <v>-0.65503699999999998</v>
      </c>
      <c r="AK55">
        <f>(J55-$Q$1)/$Q$2</f>
        <v>0.25769400522468783</v>
      </c>
      <c r="AM55" s="3">
        <f>SUM(AC55:AK55)+M55+$T$1</f>
        <v>9.6853021860801647</v>
      </c>
      <c r="AN55" s="3">
        <f>SUM(AC55:AK55)+M55+$T$1-AF55-AI55</f>
        <v>9.7053021860801607</v>
      </c>
      <c r="AP55" t="str">
        <f>A55&amp;B55</f>
        <v>45506C</v>
      </c>
      <c r="AQ55">
        <f>VLOOKUP(AP55,kut,4,0)</f>
        <v>0</v>
      </c>
      <c r="AS55" s="3">
        <f t="shared" si="1"/>
        <v>15.373609386177076</v>
      </c>
      <c r="AT55" s="3">
        <f t="shared" si="2"/>
        <v>15.393609386177072</v>
      </c>
    </row>
    <row r="56" spans="1:46" x14ac:dyDescent="0.3">
      <c r="A56" s="17">
        <v>45509</v>
      </c>
      <c r="B56" s="18" t="s">
        <v>19</v>
      </c>
      <c r="C56" s="19">
        <v>8.4</v>
      </c>
      <c r="D56" s="19">
        <v>38.333333333333343</v>
      </c>
      <c r="E56" s="19">
        <v>27.9</v>
      </c>
      <c r="F56" s="19">
        <v>55.06</v>
      </c>
      <c r="G56" s="19">
        <v>3.56</v>
      </c>
      <c r="H56" s="19">
        <v>3.35</v>
      </c>
      <c r="I56" s="19">
        <v>161.33333333333329</v>
      </c>
      <c r="J56" s="19">
        <v>8.278736648190705</v>
      </c>
      <c r="K56" s="19">
        <v>6.8034835401174039E-3</v>
      </c>
      <c r="L56" s="19">
        <v>5.6324248518932182E-2</v>
      </c>
      <c r="M56" s="19">
        <v>17.88138317675654</v>
      </c>
      <c r="N56" s="19">
        <v>2.5824783571733361E-3</v>
      </c>
      <c r="O56" s="19">
        <v>5225</v>
      </c>
      <c r="P56" s="19">
        <v>81.234930565129233</v>
      </c>
      <c r="Q56" s="19">
        <v>16344.959199999999</v>
      </c>
      <c r="R56" s="19">
        <v>15.70450432379547</v>
      </c>
      <c r="S56" s="20">
        <f>SUM(AM56:AN56)/2 + (AQ56/$X$1)</f>
        <v>14.392054926787985</v>
      </c>
      <c r="T56" s="20">
        <f>VLOOKUP(AP56,ggg,3,0)</f>
        <v>19.25</v>
      </c>
      <c r="U56" s="20">
        <f t="shared" si="0"/>
        <v>16.510671750031445</v>
      </c>
      <c r="V56" s="20">
        <f>VLOOKUP(AP56,ggg,12,0)</f>
        <v>8.3000000000000007</v>
      </c>
      <c r="W56" s="20">
        <f>VLOOKUP(AP56,ggg,20,0)</f>
        <v>27.48</v>
      </c>
      <c r="X56" s="20">
        <f>VLOOKUP(AP56,ggg,32,0)</f>
        <v>3.46</v>
      </c>
      <c r="Y56" s="20">
        <f>VLOOKUP(AP56,ggg,28,0)</f>
        <v>3.56</v>
      </c>
      <c r="Z56" s="33"/>
      <c r="AA56" s="33"/>
      <c r="AC56">
        <f>C$3*(C$1-C56)/C$2</f>
        <v>-1</v>
      </c>
      <c r="AD56">
        <f>D$3*(D$1-D56)/D$2</f>
        <v>0</v>
      </c>
      <c r="AE56">
        <f>E$3*(E$1-E56)/E$2</f>
        <v>-1.6899999999999977</v>
      </c>
      <c r="AF56">
        <f>F$3*(F$1-F56)/F$2</f>
        <v>-1.9999999999996021E-2</v>
      </c>
      <c r="AG56">
        <f>G$3*(G$1-G56)/G$2</f>
        <v>0.7142857142857143</v>
      </c>
      <c r="AH56">
        <f>H$3*(H$1-H56)/H$2</f>
        <v>0.24999999999999914</v>
      </c>
      <c r="AI56">
        <f>I$3*(I$1-I56)/I$2</f>
        <v>0</v>
      </c>
      <c r="AJ56">
        <f>(Q56-$M$1)/$M$2</f>
        <v>-2.1965100000000119E-2</v>
      </c>
      <c r="AK56">
        <f>(J56-$Q$1)/$Q$2</f>
        <v>1.2683511357457273</v>
      </c>
      <c r="AM56" s="3">
        <f>SUM(AC56:AK56)+M56+$T$1</f>
        <v>14.382054926787987</v>
      </c>
      <c r="AN56" s="3">
        <f>SUM(AC56:AK56)+M56+$T$1-AF56-AI56</f>
        <v>14.402054926787983</v>
      </c>
      <c r="AP56" t="str">
        <f>A56&amp;B56</f>
        <v>45509A</v>
      </c>
      <c r="AQ56">
        <f>VLOOKUP(AP56,kut,4,0)</f>
        <v>0</v>
      </c>
      <c r="AS56" s="3">
        <f t="shared" si="1"/>
        <v>16.500671750031447</v>
      </c>
      <c r="AT56" s="3">
        <f t="shared" si="2"/>
        <v>16.520671750031443</v>
      </c>
    </row>
    <row r="57" spans="1:46" hidden="1" x14ac:dyDescent="0.3">
      <c r="A57" s="17">
        <v>45509</v>
      </c>
      <c r="B57" s="18" t="s">
        <v>20</v>
      </c>
      <c r="C57" s="19">
        <v>8.2999999999999989</v>
      </c>
      <c r="D57" s="19">
        <v>38.5</v>
      </c>
      <c r="E57" s="19">
        <v>27.333333333333329</v>
      </c>
      <c r="F57" s="19">
        <v>54.67</v>
      </c>
      <c r="G57" s="19">
        <v>3.56</v>
      </c>
      <c r="H57" s="19">
        <v>3.4933333333333341</v>
      </c>
      <c r="I57" s="19">
        <v>152.5</v>
      </c>
      <c r="J57" s="19">
        <v>10.317810489145151</v>
      </c>
      <c r="K57" s="19">
        <v>6.2091820246909466E-6</v>
      </c>
      <c r="L57" s="19">
        <v>6.4065163423367765E-5</v>
      </c>
      <c r="M57" s="19">
        <v>13.280997795449069</v>
      </c>
      <c r="N57" s="19">
        <v>3.7202764562861712</v>
      </c>
      <c r="O57" s="19">
        <v>5225</v>
      </c>
      <c r="P57" s="19">
        <v>102.17462434075919</v>
      </c>
      <c r="Q57" s="19">
        <v>16.8</v>
      </c>
      <c r="R57" s="19">
        <v>13.284341474951731</v>
      </c>
      <c r="S57" s="20">
        <f>SUM(AM57:AN57)/2 + (AQ57/$X$1)</f>
        <v>4.8918845242079252</v>
      </c>
      <c r="T57" s="20">
        <f>VLOOKUP(AP57,ggg,3,0)</f>
        <v>18.75</v>
      </c>
      <c r="U57" s="20">
        <f t="shared" si="0"/>
        <v>11.610886728758857</v>
      </c>
      <c r="V57" s="20">
        <f>VLOOKUP(AP57,ggg,12,0)</f>
        <v>8.48</v>
      </c>
      <c r="W57" s="20">
        <f>VLOOKUP(AP57,ggg,20,0)</f>
        <v>28.1</v>
      </c>
      <c r="X57" s="20">
        <f>VLOOKUP(AP57,ggg,32,0)</f>
        <v>3.6</v>
      </c>
      <c r="Y57" s="20">
        <f>VLOOKUP(AP57,ggg,28,0)</f>
        <v>3.9</v>
      </c>
      <c r="Z57" s="33"/>
      <c r="AA57" s="33"/>
      <c r="AC57">
        <f>C$3*(C$1-C57)/C$2</f>
        <v>-0.59999999999999432</v>
      </c>
      <c r="AD57">
        <f>D$3*(D$1-D57)/D$2</f>
        <v>0</v>
      </c>
      <c r="AE57">
        <f>E$3*(E$1-E57)/E$2</f>
        <v>-1.1233333333333277</v>
      </c>
      <c r="AF57">
        <f>F$3*(F$1-F57)/F$2</f>
        <v>-0.79999999999999716</v>
      </c>
      <c r="AG57">
        <f>G$3*(G$1-G57)/G$2</f>
        <v>0.7142857142857143</v>
      </c>
      <c r="AH57">
        <f>H$3*(H$1-H57)/H$2</f>
        <v>-0.46666666666667078</v>
      </c>
      <c r="AI57">
        <f>I$3*(I$1-I57)/I$2</f>
        <v>0</v>
      </c>
      <c r="AJ57">
        <f>(Q57-$M$1)/$M$2</f>
        <v>-2.0629850000000003</v>
      </c>
      <c r="AK57">
        <f>(J57-$Q$1)/$Q$2</f>
        <v>-1.4504139855268672</v>
      </c>
      <c r="AM57" s="3">
        <f>SUM(AC57:AK57)+M57+$T$1</f>
        <v>4.4918845242079266</v>
      </c>
      <c r="AN57" s="3">
        <f>SUM(AC57:AK57)+M57+$T$1-AF57-AI57</f>
        <v>5.2918845242079238</v>
      </c>
      <c r="AP57" t="str">
        <f>A57&amp;B57</f>
        <v>45509B</v>
      </c>
      <c r="AQ57">
        <f>VLOOKUP(AP57,kut,4,0)</f>
        <v>0</v>
      </c>
      <c r="AS57" s="3">
        <f t="shared" si="1"/>
        <v>11.210886728758858</v>
      </c>
      <c r="AT57" s="3">
        <f t="shared" si="2"/>
        <v>12.010886728758855</v>
      </c>
    </row>
    <row r="58" spans="1:46" hidden="1" x14ac:dyDescent="0.3">
      <c r="A58" s="17">
        <v>45509</v>
      </c>
      <c r="B58" s="18" t="s">
        <v>18</v>
      </c>
      <c r="C58" s="19">
        <v>8.4849999999999994</v>
      </c>
      <c r="D58" s="19">
        <v>39.333333333333343</v>
      </c>
      <c r="E58" s="19">
        <v>27.81666666666667</v>
      </c>
      <c r="F58" s="19">
        <v>54.67</v>
      </c>
      <c r="G58" s="19">
        <v>3.9</v>
      </c>
      <c r="H58" s="19">
        <v>3.6</v>
      </c>
      <c r="I58" s="19">
        <v>151.83333333333329</v>
      </c>
      <c r="J58" s="19">
        <v>9.3604011753428313</v>
      </c>
      <c r="K58" s="19">
        <v>5.7258810143969233E-3</v>
      </c>
      <c r="L58" s="19">
        <v>5.3596543377034171E-2</v>
      </c>
      <c r="M58" s="19">
        <v>13.31681530926434</v>
      </c>
      <c r="N58" s="19">
        <v>2.5992817239348918E-3</v>
      </c>
      <c r="O58" s="19">
        <v>5225</v>
      </c>
      <c r="P58" s="19">
        <v>120.2700355746922</v>
      </c>
      <c r="Q58" s="19">
        <v>18842.240000000002</v>
      </c>
      <c r="R58" s="19">
        <v>13.316816160098179</v>
      </c>
      <c r="S58" s="20">
        <f>SUM(AM58:AN58)/2 + (AQ58/$X$1)</f>
        <v>5.8293325516643772</v>
      </c>
      <c r="T58" s="20">
        <f>VLOOKUP(AP58,ggg,3,0)</f>
        <v>13.06</v>
      </c>
      <c r="U58" s="20">
        <f t="shared" si="0"/>
        <v>12.512517242400037</v>
      </c>
      <c r="V58" s="20">
        <f>VLOOKUP(AP58,ggg,12,0)</f>
        <v>8.74</v>
      </c>
      <c r="W58" s="20">
        <f>VLOOKUP(AP58,ggg,20,0)</f>
        <v>26.13</v>
      </c>
      <c r="X58" s="20">
        <f>VLOOKUP(AP58,ggg,32,0)</f>
        <v>3.75</v>
      </c>
      <c r="Y58" s="20">
        <f>VLOOKUP(AP58,ggg,28,0)</f>
        <v>3.95</v>
      </c>
      <c r="Z58" s="33"/>
      <c r="AA58" s="33"/>
      <c r="AC58">
        <f>C$3*(C$1-C58)/C$2</f>
        <v>-1.3399999999999963</v>
      </c>
      <c r="AD58">
        <f>D$3*(D$1-D58)/D$2</f>
        <v>0</v>
      </c>
      <c r="AE58">
        <f>E$3*(E$1-E58)/E$2</f>
        <v>-1.6066666666666691</v>
      </c>
      <c r="AF58">
        <f>F$3*(F$1-F58)/F$2</f>
        <v>-0.79999999999999716</v>
      </c>
      <c r="AG58">
        <f>G$3*(G$1-G58)/G$2</f>
        <v>-0.25714285714285673</v>
      </c>
      <c r="AH58">
        <f>H$3*(H$1-H58)/H$2</f>
        <v>-1.0000000000000009</v>
      </c>
      <c r="AI58">
        <f>I$3*(I$1-I58)/I$2</f>
        <v>0</v>
      </c>
      <c r="AJ58">
        <f>(Q58-$M$1)/$M$2</f>
        <v>0.29019500000000015</v>
      </c>
      <c r="AK58">
        <f>(J58-$Q$1)/$Q$2</f>
        <v>-0.17386823379044122</v>
      </c>
      <c r="AM58" s="3">
        <f>SUM(AC58:AK58)+M58+$T$1</f>
        <v>5.4293325516643787</v>
      </c>
      <c r="AN58" s="3">
        <f>SUM(AC58:AK58)+M58+$T$1-AF58-AI58</f>
        <v>6.2293325516643758</v>
      </c>
      <c r="AP58" t="str">
        <f>A58&amp;B58</f>
        <v>45509C</v>
      </c>
      <c r="AQ58">
        <f>VLOOKUP(AP58,kut,4,0)</f>
        <v>0</v>
      </c>
      <c r="AS58" s="3">
        <f t="shared" si="1"/>
        <v>12.112517242400038</v>
      </c>
      <c r="AT58" s="3">
        <f t="shared" si="2"/>
        <v>12.912517242400035</v>
      </c>
    </row>
    <row r="59" spans="1:46" x14ac:dyDescent="0.3">
      <c r="A59" s="17">
        <v>45510</v>
      </c>
      <c r="B59" s="18" t="s">
        <v>19</v>
      </c>
      <c r="C59" s="19">
        <v>8.7375000000000007</v>
      </c>
      <c r="D59" s="19">
        <v>39.428571428571431</v>
      </c>
      <c r="E59" s="19">
        <v>26.13</v>
      </c>
      <c r="F59" s="19">
        <v>54.67</v>
      </c>
      <c r="G59" s="19">
        <v>3.95</v>
      </c>
      <c r="H59" s="19">
        <v>3.745714285714286</v>
      </c>
      <c r="I59" s="19">
        <v>154.71428571428569</v>
      </c>
      <c r="J59" s="19">
        <v>7.0914079506182448</v>
      </c>
      <c r="K59" s="19">
        <v>4.2227210638990011E-3</v>
      </c>
      <c r="L59" s="19">
        <v>2.9945037725776509E-2</v>
      </c>
      <c r="M59" s="19">
        <v>13.31784468817871</v>
      </c>
      <c r="N59" s="19">
        <v>0.40660471284987998</v>
      </c>
      <c r="O59" s="19">
        <v>5225</v>
      </c>
      <c r="P59" s="19">
        <v>120.27934331458739</v>
      </c>
      <c r="Q59" s="19">
        <v>13855</v>
      </c>
      <c r="R59" s="19">
        <v>13.32275663157985</v>
      </c>
      <c r="S59" s="20">
        <f>SUM(AM59:AN59)/2 + (AQ59/$X$1)</f>
        <v>8.0375193254496207</v>
      </c>
      <c r="T59" s="20">
        <f>VLOOKUP(AP59,ggg,3,0)</f>
        <v>20.2</v>
      </c>
      <c r="U59" s="20">
        <f t="shared" si="0"/>
        <v>14.719674637270913</v>
      </c>
      <c r="V59" s="20">
        <f>VLOOKUP(AP59,ggg,12,0)</f>
        <v>8.68</v>
      </c>
      <c r="W59" s="20">
        <f>VLOOKUP(AP59,ggg,20,0)</f>
        <v>28.85</v>
      </c>
      <c r="X59" s="20">
        <f>VLOOKUP(AP59,ggg,32,0)</f>
        <v>3.61</v>
      </c>
      <c r="Y59" s="20">
        <f>VLOOKUP(AP59,ggg,28,0)</f>
        <v>3.95</v>
      </c>
      <c r="Z59" s="33"/>
      <c r="AA59" s="33"/>
      <c r="AC59">
        <f>C$3*(C$1-C59)/C$2</f>
        <v>-2.3500000000000014</v>
      </c>
      <c r="AD59">
        <f>D$3*(D$1-D59)/D$2</f>
        <v>0</v>
      </c>
      <c r="AE59">
        <f>E$3*(E$1-E59)/E$2</f>
        <v>8.0000000000001847E-2</v>
      </c>
      <c r="AF59">
        <f>F$3*(F$1-F59)/F$2</f>
        <v>-0.79999999999999716</v>
      </c>
      <c r="AG59">
        <f>G$3*(G$1-G59)/G$2</f>
        <v>-0.4000000000000003</v>
      </c>
      <c r="AH59">
        <f>H$3*(H$1-H59)/H$2</f>
        <v>-1.7285714285714304</v>
      </c>
      <c r="AI59">
        <f>I$3*(I$1-I59)/I$2</f>
        <v>0</v>
      </c>
      <c r="AJ59">
        <f>(Q59-$M$1)/$M$2</f>
        <v>-0.33321000000000006</v>
      </c>
      <c r="AK59">
        <f>(J59-$Q$1)/$Q$2</f>
        <v>2.8514560658423407</v>
      </c>
      <c r="AM59" s="3">
        <f>SUM(AC59:AK59)+M59+$T$1</f>
        <v>7.6375193254496221</v>
      </c>
      <c r="AN59" s="3">
        <f>SUM(AC59:AK59)+M59+$T$1-AF59-AI59</f>
        <v>8.4375193254496192</v>
      </c>
      <c r="AP59" t="str">
        <f>A59&amp;B59</f>
        <v>45510A</v>
      </c>
      <c r="AQ59">
        <f>VLOOKUP(AP59,kut,4,0)</f>
        <v>0</v>
      </c>
      <c r="AS59" s="3">
        <f t="shared" si="1"/>
        <v>14.319674637270914</v>
      </c>
      <c r="AT59" s="3">
        <f t="shared" si="2"/>
        <v>15.119674637270911</v>
      </c>
    </row>
    <row r="60" spans="1:46" hidden="1" x14ac:dyDescent="0.3">
      <c r="A60" s="17">
        <v>45510</v>
      </c>
      <c r="B60" s="18" t="s">
        <v>20</v>
      </c>
      <c r="C60" s="19">
        <v>8.5760000000000005</v>
      </c>
      <c r="D60" s="19">
        <v>37</v>
      </c>
      <c r="E60" s="19">
        <v>28.704999999999998</v>
      </c>
      <c r="F60" s="19">
        <v>54.27</v>
      </c>
      <c r="G60" s="19">
        <v>3.95</v>
      </c>
      <c r="H60" s="19">
        <v>3.6166666666666671</v>
      </c>
      <c r="I60" s="19">
        <v>140.33333333333329</v>
      </c>
      <c r="J60" s="19">
        <v>9.0117946352047049</v>
      </c>
      <c r="K60" s="19">
        <v>1.8412403702577271E-3</v>
      </c>
      <c r="L60" s="19">
        <v>1.6592880090810912E-2</v>
      </c>
      <c r="M60" s="19">
        <v>13.31681505311942</v>
      </c>
      <c r="N60" s="19">
        <v>2.59961343758899E-3</v>
      </c>
      <c r="O60" s="19">
        <v>5225</v>
      </c>
      <c r="P60" s="19">
        <v>120.2700437377312</v>
      </c>
      <c r="Q60" s="19">
        <v>5088.1984000000002</v>
      </c>
      <c r="R60" s="19">
        <v>13.316815213535721</v>
      </c>
      <c r="S60" s="20">
        <f>SUM(AM60:AN60)/2 + (AQ60/$X$1)</f>
        <v>2.6963620061798164</v>
      </c>
      <c r="T60" s="20">
        <f>VLOOKUP(AP60,ggg,3,0)</f>
        <v>12.73</v>
      </c>
      <c r="U60" s="20">
        <f t="shared" si="0"/>
        <v>9.3795469530603963</v>
      </c>
      <c r="V60" s="20">
        <f>VLOOKUP(AP60,ggg,12,0)</f>
        <v>8.86</v>
      </c>
      <c r="W60" s="20">
        <f>VLOOKUP(AP60,ggg,20,0)</f>
        <v>27.35</v>
      </c>
      <c r="X60" s="20">
        <f>VLOOKUP(AP60,ggg,32,0)</f>
        <v>3.83</v>
      </c>
      <c r="Y60" s="20">
        <f>VLOOKUP(AP60,ggg,28,0)</f>
        <v>4.05</v>
      </c>
      <c r="Z60" s="33"/>
      <c r="AA60" s="33"/>
      <c r="AC60">
        <f>C$3*(C$1-C60)/C$2</f>
        <v>-1.7040000000000006</v>
      </c>
      <c r="AD60">
        <f>D$3*(D$1-D60)/D$2</f>
        <v>0</v>
      </c>
      <c r="AE60">
        <f>E$3*(E$1-E60)/E$2</f>
        <v>-2.4949999999999974</v>
      </c>
      <c r="AF60">
        <f>F$3*(F$1-F60)/F$2</f>
        <v>-1.5999999999999943</v>
      </c>
      <c r="AG60">
        <f>G$3*(G$1-G60)/G$2</f>
        <v>-0.4000000000000003</v>
      </c>
      <c r="AH60">
        <f>H$3*(H$1-H60)/H$2</f>
        <v>-1.0833333333333361</v>
      </c>
      <c r="AI60">
        <f>I$3*(I$1-I60)/I$2</f>
        <v>0</v>
      </c>
      <c r="AJ60">
        <f>(Q60-$M$1)/$M$2</f>
        <v>-1.4290601999999999</v>
      </c>
      <c r="AK60">
        <f>(J60-$Q$1)/$Q$2</f>
        <v>0.29094048639372733</v>
      </c>
      <c r="AM60" s="3">
        <f>SUM(AC60:AK60)+M60+$T$1</f>
        <v>1.8963620061798192</v>
      </c>
      <c r="AN60" s="3">
        <f>SUM(AC60:AK60)+M60+$T$1-AF60-AI60</f>
        <v>3.4963620061798135</v>
      </c>
      <c r="AP60" t="str">
        <f>A60&amp;B60</f>
        <v>45510B</v>
      </c>
      <c r="AQ60">
        <f>VLOOKUP(AP60,kut,4,0)</f>
        <v>0</v>
      </c>
      <c r="AS60" s="3">
        <f t="shared" si="1"/>
        <v>8.5795469530603992</v>
      </c>
      <c r="AT60" s="3">
        <f t="shared" si="2"/>
        <v>10.179546953060393</v>
      </c>
    </row>
    <row r="61" spans="1:46" hidden="1" x14ac:dyDescent="0.3">
      <c r="A61" s="17">
        <v>45510</v>
      </c>
      <c r="B61" s="18" t="s">
        <v>18</v>
      </c>
      <c r="C61" s="19">
        <v>8.8574999999999999</v>
      </c>
      <c r="D61" s="19">
        <v>39.75</v>
      </c>
      <c r="E61" s="19">
        <v>27.037500000000001</v>
      </c>
      <c r="F61" s="19">
        <v>54.27</v>
      </c>
      <c r="G61" s="19">
        <v>4.3166666666666664</v>
      </c>
      <c r="H61" s="19">
        <v>3.8250000000000002</v>
      </c>
      <c r="I61" s="19">
        <v>151.25</v>
      </c>
      <c r="J61" s="19">
        <v>9.2382287184103475</v>
      </c>
      <c r="K61" s="19">
        <v>7.7522738008505947E-3</v>
      </c>
      <c r="L61" s="19">
        <v>7.1617278459998102E-2</v>
      </c>
      <c r="M61" s="19">
        <v>13.316815039769491</v>
      </c>
      <c r="N61" s="19">
        <v>2.5993473378201392E-3</v>
      </c>
      <c r="O61" s="19">
        <v>5225</v>
      </c>
      <c r="P61" s="19">
        <v>120.2700438361862</v>
      </c>
      <c r="Q61" s="19">
        <v>30931.7808</v>
      </c>
      <c r="R61" s="19">
        <v>13.316815089700819</v>
      </c>
      <c r="S61" s="20">
        <f>SUM(AM61:AN61)/2 + (AQ61/$X$1)</f>
        <v>4.0771119676033178</v>
      </c>
      <c r="T61" s="20">
        <f>VLOOKUP(AP61,ggg,3,0)</f>
        <v>9.4700000000000006</v>
      </c>
      <c r="U61" s="20">
        <f t="shared" si="0"/>
        <v>10.760296927833828</v>
      </c>
      <c r="V61" s="20">
        <f>VLOOKUP(AP61,ggg,12,0)</f>
        <v>8.8000000000000007</v>
      </c>
      <c r="W61" s="20">
        <f>VLOOKUP(AP61,ggg,20,0)</f>
        <v>26.62</v>
      </c>
      <c r="X61" s="20">
        <f>VLOOKUP(AP61,ggg,32,0)</f>
        <v>3.68</v>
      </c>
      <c r="Y61" s="20">
        <f>VLOOKUP(AP61,ggg,28,0)</f>
        <v>4.32</v>
      </c>
      <c r="Z61" s="33"/>
      <c r="AA61" s="33"/>
      <c r="AC61">
        <f>C$3*(C$1-C61)/C$2</f>
        <v>-2.8299999999999983</v>
      </c>
      <c r="AD61">
        <f>D$3*(D$1-D61)/D$2</f>
        <v>0</v>
      </c>
      <c r="AE61">
        <f>E$3*(E$1-E61)/E$2</f>
        <v>-0.82750000000000057</v>
      </c>
      <c r="AF61">
        <f>F$3*(F$1-F61)/F$2</f>
        <v>-1.5999999999999943</v>
      </c>
      <c r="AG61">
        <f>G$3*(G$1-G61)/G$2</f>
        <v>-1.4476190476190467</v>
      </c>
      <c r="AH61">
        <f>H$3*(H$1-H61)/H$2</f>
        <v>-2.1250000000000013</v>
      </c>
      <c r="AI61">
        <f>I$3*(I$1-I61)/I$2</f>
        <v>0</v>
      </c>
      <c r="AJ61">
        <f>(Q61-$M$1)/$M$2</f>
        <v>1.8013876</v>
      </c>
      <c r="AK61">
        <f>(J61-$Q$1)/$Q$2</f>
        <v>-1.0971624547129485E-2</v>
      </c>
      <c r="AM61" s="3">
        <f>SUM(AC61:AK61)+M61+$T$1</f>
        <v>3.2771119676033207</v>
      </c>
      <c r="AN61" s="3">
        <f>SUM(AC61:AK61)+M61+$T$1-AF61-AI61</f>
        <v>4.877111967603315</v>
      </c>
      <c r="AP61" t="str">
        <f>A61&amp;B61</f>
        <v>45510C</v>
      </c>
      <c r="AQ61">
        <f>VLOOKUP(AP61,kut,4,0)</f>
        <v>0</v>
      </c>
      <c r="AS61" s="3">
        <f t="shared" si="1"/>
        <v>9.9602969278338307</v>
      </c>
      <c r="AT61" s="3">
        <f t="shared" si="2"/>
        <v>11.560296927833825</v>
      </c>
    </row>
    <row r="62" spans="1:46" x14ac:dyDescent="0.3">
      <c r="A62" s="17">
        <v>45511</v>
      </c>
      <c r="B62" s="18" t="s">
        <v>19</v>
      </c>
      <c r="C62" s="19">
        <v>8.8333333333333339</v>
      </c>
      <c r="D62" s="19">
        <v>38.799999999999997</v>
      </c>
      <c r="E62" s="19">
        <v>26.896000000000001</v>
      </c>
      <c r="F62" s="19">
        <v>54.27</v>
      </c>
      <c r="G62" s="19">
        <v>4.32</v>
      </c>
      <c r="H62" s="19">
        <v>3.6840000000000002</v>
      </c>
      <c r="I62" s="19">
        <v>151.19999999999999</v>
      </c>
      <c r="J62" s="19">
        <v>8.1932973328387906</v>
      </c>
      <c r="K62" s="19">
        <v>6.5188787024355781E-3</v>
      </c>
      <c r="L62" s="19">
        <v>5.3411111485765023E-2</v>
      </c>
      <c r="M62" s="19">
        <v>13.316815061746301</v>
      </c>
      <c r="N62" s="19">
        <v>2.5992682898003808E-3</v>
      </c>
      <c r="O62" s="19">
        <v>5225</v>
      </c>
      <c r="P62" s="19">
        <v>120.2700438025669</v>
      </c>
      <c r="Q62" s="19">
        <v>19008.16</v>
      </c>
      <c r="R62" s="19">
        <v>13.31681509738803</v>
      </c>
      <c r="S62" s="20">
        <f>SUM(AM62:AN62)/2 + (AQ62/$X$1)</f>
        <v>4.9135440941517228</v>
      </c>
      <c r="T62" s="20">
        <f>VLOOKUP(AP62,ggg,3,0)</f>
        <v>17.46</v>
      </c>
      <c r="U62" s="20">
        <f t="shared" si="0"/>
        <v>11.596729032405422</v>
      </c>
      <c r="V62" s="20">
        <f>VLOOKUP(AP62,ggg,12,0)</f>
        <v>8.4499999999999993</v>
      </c>
      <c r="W62" s="20">
        <f>VLOOKUP(AP62,ggg,20,0)</f>
        <v>27.15</v>
      </c>
      <c r="X62" s="20">
        <f>VLOOKUP(AP62,ggg,32,0)</f>
        <v>3.6</v>
      </c>
      <c r="Y62" s="20">
        <f>VLOOKUP(AP62,ggg,28,0)</f>
        <v>3.91</v>
      </c>
      <c r="Z62" s="33"/>
      <c r="AA62" s="33"/>
      <c r="AC62">
        <f>C$3*(C$1-C62)/C$2</f>
        <v>-2.7333333333333343</v>
      </c>
      <c r="AD62">
        <f>D$3*(D$1-D62)/D$2</f>
        <v>0</v>
      </c>
      <c r="AE62">
        <f>E$3*(E$1-E62)/E$2</f>
        <v>-0.68599999999999994</v>
      </c>
      <c r="AF62">
        <f>F$3*(F$1-F62)/F$2</f>
        <v>-1.5999999999999943</v>
      </c>
      <c r="AG62">
        <f>G$3*(G$1-G62)/G$2</f>
        <v>-1.4571428571428577</v>
      </c>
      <c r="AH62">
        <f>H$3*(H$1-H62)/H$2</f>
        <v>-1.4200000000000013</v>
      </c>
      <c r="AI62">
        <f>I$3*(I$1-I62)/I$2</f>
        <v>0</v>
      </c>
      <c r="AJ62">
        <f>(Q62-$M$1)/$M$2</f>
        <v>0.31093499999999996</v>
      </c>
      <c r="AK62">
        <f>(J62-$Q$1)/$Q$2</f>
        <v>1.3822702228816131</v>
      </c>
      <c r="AM62" s="3">
        <f>SUM(AC62:AK62)+M62+$T$1</f>
        <v>4.1135440941517256</v>
      </c>
      <c r="AN62" s="3">
        <f>SUM(AC62:AK62)+M62+$T$1-AF62-AI62</f>
        <v>5.7135440941517199</v>
      </c>
      <c r="AP62" t="str">
        <f>A62&amp;B62</f>
        <v>45511A</v>
      </c>
      <c r="AQ62">
        <f>VLOOKUP(AP62,kut,4,0)</f>
        <v>0</v>
      </c>
      <c r="AS62" s="3">
        <f t="shared" si="1"/>
        <v>10.796729032405425</v>
      </c>
      <c r="AT62" s="3">
        <f t="shared" si="2"/>
        <v>12.396729032405419</v>
      </c>
    </row>
    <row r="63" spans="1:46" hidden="1" x14ac:dyDescent="0.3">
      <c r="A63" s="17">
        <v>45511</v>
      </c>
      <c r="B63" s="18" t="s">
        <v>20</v>
      </c>
      <c r="C63" s="19">
        <v>8.6</v>
      </c>
      <c r="D63" s="19">
        <v>37.714285714285722</v>
      </c>
      <c r="E63" s="19">
        <v>27.065714285714289</v>
      </c>
      <c r="F63" s="19">
        <v>56.86</v>
      </c>
      <c r="G63" s="19">
        <v>3.91</v>
      </c>
      <c r="H63" s="19">
        <v>3.6342857142857139</v>
      </c>
      <c r="I63" s="19">
        <v>144.71428571428569</v>
      </c>
      <c r="J63" s="19">
        <v>10.378743517967431</v>
      </c>
      <c r="K63" s="19">
        <v>4.0879483836593388E-3</v>
      </c>
      <c r="L63" s="19">
        <v>4.2427767788689792E-2</v>
      </c>
      <c r="M63" s="19">
        <v>13.33970554528616</v>
      </c>
      <c r="N63" s="19">
        <v>8.9834112772845209</v>
      </c>
      <c r="O63" s="19">
        <v>5225</v>
      </c>
      <c r="P63" s="19">
        <v>120.4767649965158</v>
      </c>
      <c r="Q63" s="19">
        <v>13812.5352</v>
      </c>
      <c r="R63" s="19">
        <v>13.32826939998183</v>
      </c>
      <c r="S63" s="20">
        <f>SUM(AM63:AN63)/2 + (AQ63/$X$1)</f>
        <v>6.1466722784724439</v>
      </c>
      <c r="T63" s="20">
        <f>VLOOKUP(AP63,ggg,3,0)</f>
        <v>14.25</v>
      </c>
      <c r="U63" s="20">
        <f t="shared" si="0"/>
        <v>12.806966733186286</v>
      </c>
      <c r="V63" s="20">
        <f>VLOOKUP(AP63,ggg,12,0)</f>
        <v>8.91</v>
      </c>
      <c r="W63" s="20">
        <f>VLOOKUP(AP63,ggg,20,0)</f>
        <v>28.63</v>
      </c>
      <c r="X63" s="20">
        <f>VLOOKUP(AP63,ggg,32,0)</f>
        <v>3.71</v>
      </c>
      <c r="Y63" s="20">
        <f>VLOOKUP(AP63,ggg,28,0)</f>
        <v>4.1500000000000004</v>
      </c>
      <c r="Z63" s="33"/>
      <c r="AA63" s="33"/>
      <c r="AC63">
        <f>C$3*(C$1-C63)/C$2</f>
        <v>-1.7999999999999972</v>
      </c>
      <c r="AD63">
        <f>D$3*(D$1-D63)/D$2</f>
        <v>0</v>
      </c>
      <c r="AE63">
        <f>E$3*(E$1-E63)/E$2</f>
        <v>-0.85571428571428854</v>
      </c>
      <c r="AF63">
        <f>F$3*(F$1-F63)/F$2</f>
        <v>3.5799999999999987</v>
      </c>
      <c r="AG63">
        <f>G$3*(G$1-G63)/G$2</f>
        <v>-0.28571428571428592</v>
      </c>
      <c r="AH63">
        <f>H$3*(H$1-H63)/H$2</f>
        <v>-1.1714285714285699</v>
      </c>
      <c r="AI63">
        <f>I$3*(I$1-I63)/I$2</f>
        <v>0</v>
      </c>
      <c r="AJ63">
        <f>(Q63-$M$1)/$M$2</f>
        <v>-0.33851809999999999</v>
      </c>
      <c r="AK63">
        <f>(J63-$Q$1)/$Q$2</f>
        <v>-1.5316580239565738</v>
      </c>
      <c r="AM63" s="3">
        <f>SUM(AC63:AK63)+M63+$T$1</f>
        <v>7.9366722784724431</v>
      </c>
      <c r="AN63" s="3">
        <f>SUM(AC63:AK63)+M63+$T$1-AF63-AI63</f>
        <v>4.3566722784724448</v>
      </c>
      <c r="AP63" t="str">
        <f>A63&amp;B63</f>
        <v>45511B</v>
      </c>
      <c r="AQ63">
        <f>VLOOKUP(AP63,kut,4,0)</f>
        <v>0</v>
      </c>
      <c r="AS63" s="3">
        <f t="shared" si="1"/>
        <v>14.596966733186285</v>
      </c>
      <c r="AT63" s="3">
        <f t="shared" si="2"/>
        <v>11.016966733186287</v>
      </c>
    </row>
    <row r="64" spans="1:46" hidden="1" x14ac:dyDescent="0.3">
      <c r="A64" s="17">
        <v>45511</v>
      </c>
      <c r="B64" s="18" t="s">
        <v>18</v>
      </c>
      <c r="C64" s="19">
        <v>8.7733333333333334</v>
      </c>
      <c r="D64" s="19">
        <v>38.333333333333343</v>
      </c>
      <c r="E64" s="19">
        <v>28.111111111111111</v>
      </c>
      <c r="F64" s="19">
        <v>56.86</v>
      </c>
      <c r="G64" s="19">
        <v>4.1500000000000004</v>
      </c>
      <c r="H64" s="19">
        <v>3.686666666666667</v>
      </c>
      <c r="I64" s="19">
        <v>146.66666666666671</v>
      </c>
      <c r="J64" s="19">
        <v>12.07496872687677</v>
      </c>
      <c r="K64" s="19">
        <v>4.9906076272276086E-3</v>
      </c>
      <c r="L64" s="19">
        <v>6.0261431026886081E-2</v>
      </c>
      <c r="M64" s="19">
        <v>13.339705707274501</v>
      </c>
      <c r="N64" s="19">
        <v>8.9834011731201908</v>
      </c>
      <c r="O64" s="19">
        <v>5225</v>
      </c>
      <c r="P64" s="19">
        <v>120.4767643273847</v>
      </c>
      <c r="Q64" s="19">
        <v>15566.64</v>
      </c>
      <c r="R64" s="19">
        <v>13.32399871943222</v>
      </c>
      <c r="S64" s="20">
        <f>SUM(AM64:AN64)/2 + (AQ64/$X$1)</f>
        <v>1.4179527222324573</v>
      </c>
      <c r="T64" s="20">
        <f>VLOOKUP(AP64,ggg,3,0)</f>
        <v>7.61</v>
      </c>
      <c r="U64" s="20">
        <f t="shared" si="0"/>
        <v>8.0782470149579559</v>
      </c>
      <c r="V64" s="20">
        <f>VLOOKUP(AP64,ggg,12,0)</f>
        <v>8.8800000000000008</v>
      </c>
      <c r="W64" s="20">
        <f>VLOOKUP(AP64,ggg,20,0)</f>
        <v>28.04</v>
      </c>
      <c r="X64" s="20">
        <f>VLOOKUP(AP64,ggg,32,0)</f>
        <v>3.63</v>
      </c>
      <c r="Y64" s="20">
        <f>VLOOKUP(AP64,ggg,28,0)</f>
        <v>4.1500000000000004</v>
      </c>
      <c r="Z64" s="33"/>
      <c r="AA64" s="33"/>
      <c r="AC64">
        <f>C$3*(C$1-C64)/C$2</f>
        <v>-2.4933333333333323</v>
      </c>
      <c r="AD64">
        <f>D$3*(D$1-D64)/D$2</f>
        <v>0</v>
      </c>
      <c r="AE64">
        <f>E$3*(E$1-E64)/E$2</f>
        <v>-1.9011111111111101</v>
      </c>
      <c r="AF64">
        <f>F$3*(F$1-F64)/F$2</f>
        <v>3.5799999999999987</v>
      </c>
      <c r="AG64">
        <f>G$3*(G$1-G64)/G$2</f>
        <v>-0.9714285714285722</v>
      </c>
      <c r="AH64">
        <f>H$3*(H$1-H64)/H$2</f>
        <v>-1.4333333333333353</v>
      </c>
      <c r="AI64">
        <f>I$3*(I$1-I64)/I$2</f>
        <v>0</v>
      </c>
      <c r="AJ64">
        <f>(Q64-$M$1)/$M$2</f>
        <v>-0.11925500000000011</v>
      </c>
      <c r="AK64">
        <f>(J64-$Q$1)/$Q$2</f>
        <v>-3.7932916358356934</v>
      </c>
      <c r="AM64" s="3">
        <f>SUM(AC64:AK64)+M64+$T$1</f>
        <v>3.2079527222324566</v>
      </c>
      <c r="AN64" s="3">
        <f>SUM(AC64:AK64)+M64+$T$1-AF64-AI64</f>
        <v>-0.3720472777675421</v>
      </c>
      <c r="AP64" t="str">
        <f>A64&amp;B64</f>
        <v>45511C</v>
      </c>
      <c r="AQ64">
        <f>VLOOKUP(AP64,kut,4,0)</f>
        <v>0</v>
      </c>
      <c r="AS64" s="3">
        <f t="shared" si="1"/>
        <v>9.8682470149579551</v>
      </c>
      <c r="AT64" s="3">
        <f t="shared" si="2"/>
        <v>6.2882470149579568</v>
      </c>
    </row>
    <row r="65" spans="1:46" x14ac:dyDescent="0.3">
      <c r="A65" s="17">
        <v>45512</v>
      </c>
      <c r="B65" s="18" t="s">
        <v>19</v>
      </c>
      <c r="C65" s="19">
        <v>8.875</v>
      </c>
      <c r="D65" s="19">
        <v>38.75</v>
      </c>
      <c r="E65" s="19">
        <v>28.0425</v>
      </c>
      <c r="F65" s="19">
        <v>56.86</v>
      </c>
      <c r="G65" s="19">
        <v>4.1500000000000004</v>
      </c>
      <c r="H65" s="19">
        <v>3.63</v>
      </c>
      <c r="I65" s="19">
        <v>147.25</v>
      </c>
      <c r="J65" s="19">
        <v>8.5452211426799529</v>
      </c>
      <c r="K65" s="19">
        <v>1.371196993949355E-2</v>
      </c>
      <c r="L65" s="19">
        <v>0.11717181543475221</v>
      </c>
      <c r="M65" s="19">
        <v>13.316817818360329</v>
      </c>
      <c r="N65" s="19">
        <v>2.6027966877611099E-3</v>
      </c>
      <c r="O65" s="19">
        <v>5225</v>
      </c>
      <c r="P65" s="19">
        <v>120.2700390932869</v>
      </c>
      <c r="Q65" s="19">
        <v>38543.199999999997</v>
      </c>
      <c r="R65" s="19">
        <v>13.316815081059969</v>
      </c>
      <c r="S65" s="20">
        <f>SUM(AM65:AN65)/2 + (AQ65/$X$1)</f>
        <v>8.9187427233584877</v>
      </c>
      <c r="T65" s="20">
        <f>VLOOKUP(AP65,ggg,3,0)</f>
        <v>12.55</v>
      </c>
      <c r="U65" s="20">
        <f t="shared" si="0"/>
        <v>15.60192490499816</v>
      </c>
      <c r="V65" s="20">
        <f>VLOOKUP(AP65,ggg,12,0)</f>
        <v>8.44</v>
      </c>
      <c r="W65" s="20">
        <f>VLOOKUP(AP65,ggg,20,0)</f>
        <v>28.09</v>
      </c>
      <c r="X65" s="20">
        <f>VLOOKUP(AP65,ggg,32,0)</f>
        <v>3.44</v>
      </c>
      <c r="Y65" s="20">
        <f>VLOOKUP(AP65,ggg,28,0)</f>
        <v>4.1500000000000004</v>
      </c>
      <c r="Z65" s="33"/>
      <c r="AA65" s="33"/>
      <c r="AC65">
        <f>C$3*(C$1-C65)/C$2</f>
        <v>-2.8999999999999986</v>
      </c>
      <c r="AD65">
        <f>D$3*(D$1-D65)/D$2</f>
        <v>0</v>
      </c>
      <c r="AE65">
        <f>E$3*(E$1-E65)/E$2</f>
        <v>-1.8324999999999996</v>
      </c>
      <c r="AF65">
        <f>F$3*(F$1-F65)/F$2</f>
        <v>3.5799999999999987</v>
      </c>
      <c r="AG65">
        <f>G$3*(G$1-G65)/G$2</f>
        <v>-0.9714285714285722</v>
      </c>
      <c r="AH65">
        <f>H$3*(H$1-H65)/H$2</f>
        <v>-1.1499999999999999</v>
      </c>
      <c r="AI65">
        <f>I$3*(I$1-I65)/I$2</f>
        <v>0</v>
      </c>
      <c r="AJ65">
        <f>(Q65-$M$1)/$M$2</f>
        <v>2.7528149999999996</v>
      </c>
      <c r="AK65">
        <f>(J65-$Q$1)/$Q$2</f>
        <v>0.91303847642672997</v>
      </c>
      <c r="AM65" s="3">
        <f>SUM(AC65:AK65)+M65+$T$1</f>
        <v>10.708742723358487</v>
      </c>
      <c r="AN65" s="3">
        <f>SUM(AC65:AK65)+M65+$T$1-AF65-AI65</f>
        <v>7.1287427233584886</v>
      </c>
      <c r="AP65" t="str">
        <f>A65&amp;B65</f>
        <v>45512A</v>
      </c>
      <c r="AQ65">
        <f>VLOOKUP(AP65,kut,4,0)</f>
        <v>0</v>
      </c>
      <c r="AS65" s="3">
        <f t="shared" si="1"/>
        <v>17.391924904998159</v>
      </c>
      <c r="AT65" s="3">
        <f t="shared" si="2"/>
        <v>13.811924904998161</v>
      </c>
    </row>
    <row r="66" spans="1:46" hidden="1" x14ac:dyDescent="0.3">
      <c r="A66" s="17">
        <v>45512</v>
      </c>
      <c r="B66" s="18" t="s">
        <v>20</v>
      </c>
      <c r="C66" s="19">
        <v>8.4383333333333344</v>
      </c>
      <c r="D66" s="19">
        <v>37.25</v>
      </c>
      <c r="E66" s="19">
        <v>27.653749999999999</v>
      </c>
      <c r="F66" s="19">
        <v>56.17</v>
      </c>
      <c r="G66" s="19">
        <v>4.1500000000000004</v>
      </c>
      <c r="H66" s="19">
        <v>3.44</v>
      </c>
      <c r="I66" s="19">
        <v>144.5</v>
      </c>
      <c r="J66" s="19">
        <v>9.5713951825377652</v>
      </c>
      <c r="K66" s="19">
        <v>3.6836871614442691E-3</v>
      </c>
      <c r="L66" s="19">
        <v>3.5258025551023892E-2</v>
      </c>
      <c r="M66" s="19">
        <v>13.317457770464561</v>
      </c>
      <c r="N66" s="19">
        <v>0.2490728777978804</v>
      </c>
      <c r="O66" s="19">
        <v>5225</v>
      </c>
      <c r="P66" s="19">
        <v>120.2757171377815</v>
      </c>
      <c r="Q66" s="19">
        <v>12405.36</v>
      </c>
      <c r="R66" s="19">
        <v>13.31681694121295</v>
      </c>
      <c r="S66" s="20">
        <f>SUM(AM66:AN66)/2 + (AQ66/$X$1)</f>
        <v>6.6793372889856357</v>
      </c>
      <c r="T66" s="20">
        <f>VLOOKUP(AP66,ggg,3,0)</f>
        <v>14.57</v>
      </c>
      <c r="U66" s="20">
        <f t="shared" si="0"/>
        <v>13.361879518521075</v>
      </c>
      <c r="V66" s="20">
        <f>VLOOKUP(AP66,ggg,12,0)</f>
        <v>8.24</v>
      </c>
      <c r="W66" s="20">
        <f>VLOOKUP(AP66,ggg,20,0)</f>
        <v>27.04</v>
      </c>
      <c r="X66" s="20">
        <f>VLOOKUP(AP66,ggg,32,0)</f>
        <v>3.3</v>
      </c>
      <c r="Y66" s="20">
        <f>VLOOKUP(AP66,ggg,28,0)</f>
        <v>4.01</v>
      </c>
      <c r="Z66" s="33"/>
      <c r="AA66" s="33"/>
      <c r="AC66">
        <f>C$3*(C$1-C66)/C$2</f>
        <v>-1.153333333333336</v>
      </c>
      <c r="AD66">
        <f>D$3*(D$1-D66)/D$2</f>
        <v>0</v>
      </c>
      <c r="AE66">
        <f>E$3*(E$1-E66)/E$2</f>
        <v>-1.4437499999999976</v>
      </c>
      <c r="AF66">
        <f>F$3*(F$1-F66)/F$2</f>
        <v>2.2000000000000028</v>
      </c>
      <c r="AG66">
        <f>G$3*(G$1-G66)/G$2</f>
        <v>-0.9714285714285722</v>
      </c>
      <c r="AH66">
        <f>H$3*(H$1-H66)/H$2</f>
        <v>-0.20000000000000018</v>
      </c>
      <c r="AI66">
        <f>I$3*(I$1-I66)/I$2</f>
        <v>0</v>
      </c>
      <c r="AJ66">
        <f>(Q66-$M$1)/$M$2</f>
        <v>-0.51441499999999996</v>
      </c>
      <c r="AK66">
        <f>(J66-$Q$1)/$Q$2</f>
        <v>-0.45519357671701971</v>
      </c>
      <c r="AM66" s="3">
        <f>SUM(AC66:AK66)+M66+$T$1</f>
        <v>7.7793372889856371</v>
      </c>
      <c r="AN66" s="3">
        <f>SUM(AC66:AK66)+M66+$T$1-AF66-AI66</f>
        <v>5.5793372889856343</v>
      </c>
      <c r="AP66" t="str">
        <f>A66&amp;B66</f>
        <v>45512B</v>
      </c>
      <c r="AQ66">
        <f>VLOOKUP(AP66,kut,4,0)</f>
        <v>0</v>
      </c>
      <c r="AS66" s="3">
        <f t="shared" si="1"/>
        <v>14.461879518521076</v>
      </c>
      <c r="AT66" s="3">
        <f t="shared" si="2"/>
        <v>12.261879518521074</v>
      </c>
    </row>
    <row r="67" spans="1:46" hidden="1" x14ac:dyDescent="0.3">
      <c r="A67" s="17">
        <v>45512</v>
      </c>
      <c r="B67" s="18" t="s">
        <v>18</v>
      </c>
      <c r="C67" s="19">
        <v>8.2439999999999998</v>
      </c>
      <c r="D67" s="19">
        <v>37.333333333333343</v>
      </c>
      <c r="E67" s="19">
        <v>27.044444444444441</v>
      </c>
      <c r="F67" s="19">
        <v>56.17</v>
      </c>
      <c r="G67" s="19">
        <v>4.01</v>
      </c>
      <c r="H67" s="19">
        <v>3.295555555555556</v>
      </c>
      <c r="I67" s="19">
        <v>147.55555555555549</v>
      </c>
      <c r="J67" s="19">
        <v>8.2261391721817176</v>
      </c>
      <c r="K67" s="19">
        <v>1.175012052793031E-2</v>
      </c>
      <c r="L67" s="19">
        <v>9.6658126752664053E-2</v>
      </c>
      <c r="M67" s="19">
        <v>19.503088963828102</v>
      </c>
      <c r="N67" s="19">
        <v>2.5832409167195259E-3</v>
      </c>
      <c r="O67" s="19">
        <v>5225</v>
      </c>
      <c r="P67" s="19">
        <v>81.260060586454358</v>
      </c>
      <c r="Q67" s="19">
        <v>43085.36</v>
      </c>
      <c r="R67" s="19">
        <v>16.996423239382992</v>
      </c>
      <c r="S67" s="20">
        <f>SUM(AM67:AN67)/2 + (AQ67/$X$1)</f>
        <v>21.002504273935024</v>
      </c>
      <c r="T67" s="20">
        <f>VLOOKUP(AP67,ggg,3,0)</f>
        <v>14.16</v>
      </c>
      <c r="U67" s="20">
        <f t="shared" si="0"/>
        <v>21.499415310106922</v>
      </c>
      <c r="V67" s="20">
        <f>VLOOKUP(AP67,ggg,12,0)</f>
        <v>8</v>
      </c>
      <c r="W67" s="20">
        <f>VLOOKUP(AP67,ggg,20,0)</f>
        <v>25.35</v>
      </c>
      <c r="X67" s="20">
        <f>VLOOKUP(AP67,ggg,32,0)</f>
        <v>3.3</v>
      </c>
      <c r="Y67" s="20">
        <f>VLOOKUP(AP67,ggg,28,0)</f>
        <v>3.67</v>
      </c>
      <c r="Z67" s="33"/>
      <c r="AA67" s="33"/>
      <c r="AC67">
        <f>C$3*(C$1-C67)/C$2</f>
        <v>-0.37599999999999772</v>
      </c>
      <c r="AD67">
        <f>D$3*(D$1-D67)/D$2</f>
        <v>0</v>
      </c>
      <c r="AE67">
        <f>E$3*(E$1-E67)/E$2</f>
        <v>-0.83444444444443988</v>
      </c>
      <c r="AF67">
        <f>F$3*(F$1-F67)/F$2</f>
        <v>2.2000000000000028</v>
      </c>
      <c r="AG67">
        <f>G$3*(G$1-G67)/G$2</f>
        <v>-0.57142857142857073</v>
      </c>
      <c r="AH67">
        <f>H$3*(H$1-H67)/H$2</f>
        <v>0.52222222222221948</v>
      </c>
      <c r="AI67">
        <f>I$3*(I$1-I67)/I$2</f>
        <v>0</v>
      </c>
      <c r="AJ67">
        <f>(Q67-$M$1)/$M$2</f>
        <v>3.3205849999999999</v>
      </c>
      <c r="AK67">
        <f>(J67-$Q$1)/$Q$2</f>
        <v>1.3384811037577105</v>
      </c>
      <c r="AM67" s="3">
        <f>SUM(AC67:AK67)+M67+$T$1</f>
        <v>22.102504273935025</v>
      </c>
      <c r="AN67" s="3">
        <f>SUM(AC67:AK67)+M67+$T$1-AF67-AI67</f>
        <v>19.902504273935023</v>
      </c>
      <c r="AP67" t="str">
        <f>A67&amp;B67</f>
        <v>45512C</v>
      </c>
      <c r="AQ67">
        <f>VLOOKUP(AP67,kut,4,0)</f>
        <v>0</v>
      </c>
      <c r="AS67" s="3">
        <f t="shared" si="1"/>
        <v>22.599415310106924</v>
      </c>
      <c r="AT67" s="3">
        <f t="shared" si="2"/>
        <v>20.399415310106921</v>
      </c>
    </row>
    <row r="68" spans="1:46" x14ac:dyDescent="0.3">
      <c r="A68" s="17">
        <v>45516</v>
      </c>
      <c r="B68" s="18" t="s">
        <v>19</v>
      </c>
      <c r="C68" s="19">
        <v>8</v>
      </c>
      <c r="D68" s="19">
        <v>40.5</v>
      </c>
      <c r="E68" s="19">
        <v>25.35</v>
      </c>
      <c r="F68" s="19">
        <v>56.17</v>
      </c>
      <c r="G68" s="19">
        <v>3.67</v>
      </c>
      <c r="H68" s="19">
        <v>3.3</v>
      </c>
      <c r="I68" s="19">
        <v>153</v>
      </c>
      <c r="J68" s="19">
        <v>8.9198732503577229</v>
      </c>
      <c r="K68" s="19">
        <v>1.4056735814804201E-2</v>
      </c>
      <c r="L68" s="19">
        <v>0.12538430178181731</v>
      </c>
      <c r="M68" s="19">
        <v>27.047676585579591</v>
      </c>
      <c r="N68" s="19">
        <v>2.586916395324121E-3</v>
      </c>
      <c r="O68" s="19">
        <v>5225</v>
      </c>
      <c r="P68" s="19">
        <v>81.376955130503504</v>
      </c>
      <c r="Q68" s="19">
        <v>15685.2</v>
      </c>
      <c r="R68" s="19">
        <v>23.674085078926641</v>
      </c>
      <c r="S68" s="20">
        <f>SUM(AM68:AN68)/2 + (AQ68/$X$1)</f>
        <v>27.816743918435964</v>
      </c>
      <c r="T68" s="20">
        <f>VLOOKUP(AP68,ggg,3,0)</f>
        <v>24.44</v>
      </c>
      <c r="U68" s="20">
        <f t="shared" si="0"/>
        <v>20.769067332856373</v>
      </c>
      <c r="V68" s="20">
        <f>VLOOKUP(AP68,ggg,12,0)</f>
        <v>8.1999999999999993</v>
      </c>
      <c r="W68" s="20">
        <f>VLOOKUP(AP68,ggg,20,0)</f>
        <v>27.02</v>
      </c>
      <c r="X68" s="20">
        <f>VLOOKUP(AP68,ggg,32,0)</f>
        <v>3.4</v>
      </c>
      <c r="Y68" s="20">
        <f>VLOOKUP(AP68,ggg,28,0)</f>
        <v>3.72</v>
      </c>
      <c r="Z68" s="33"/>
      <c r="AA68" s="33"/>
      <c r="AC68">
        <f>C$3*(C$1-C68)/C$2</f>
        <v>0.60000000000000142</v>
      </c>
      <c r="AD68">
        <f>D$3*(D$1-D68)/D$2</f>
        <v>0</v>
      </c>
      <c r="AE68">
        <f>E$3*(E$1-E68)/E$2</f>
        <v>0.85999999999999943</v>
      </c>
      <c r="AF68">
        <f>F$3*(F$1-F68)/F$2</f>
        <v>2.2000000000000028</v>
      </c>
      <c r="AG68">
        <f>G$3*(G$1-G68)/G$2</f>
        <v>0.4000000000000003</v>
      </c>
      <c r="AH68">
        <f>H$3*(H$1-H68)/H$2</f>
        <v>0.50000000000000044</v>
      </c>
      <c r="AI68">
        <f>I$3*(I$1-I68)/I$2</f>
        <v>0</v>
      </c>
      <c r="AJ68">
        <f>(Q68-$M$1)/$M$2</f>
        <v>-0.10443499999999994</v>
      </c>
      <c r="AK68">
        <f>(J68-$Q$1)/$Q$2</f>
        <v>0.41350233285637</v>
      </c>
      <c r="AM68" s="3">
        <f>SUM(AC68:AK68)+M68+$T$1</f>
        <v>28.916743918435966</v>
      </c>
      <c r="AN68" s="3">
        <f>SUM(AC68:AK68)+M68+$T$1-AF68-AI68</f>
        <v>26.716743918435963</v>
      </c>
      <c r="AP68" t="str">
        <f>A68&amp;B68</f>
        <v>45516A</v>
      </c>
      <c r="AQ68">
        <f>VLOOKUP(AP68,kut,4,0)</f>
        <v>0</v>
      </c>
      <c r="AS68" s="3">
        <f t="shared" si="1"/>
        <v>21.869067332856375</v>
      </c>
      <c r="AT68" s="3">
        <f t="shared" si="2"/>
        <v>19.669067332856372</v>
      </c>
    </row>
    <row r="69" spans="1:46" hidden="1" x14ac:dyDescent="0.3">
      <c r="A69" s="17">
        <v>45516</v>
      </c>
      <c r="B69" s="18" t="s">
        <v>20</v>
      </c>
      <c r="C69" s="19">
        <v>8.1760000000000002</v>
      </c>
      <c r="D69" s="19">
        <v>37.857142857142847</v>
      </c>
      <c r="E69" s="19">
        <v>26.728571428571431</v>
      </c>
      <c r="F69" s="19">
        <v>55.72</v>
      </c>
      <c r="G69" s="19">
        <v>3.72</v>
      </c>
      <c r="H69" s="19">
        <v>3.3885714285714279</v>
      </c>
      <c r="I69" s="19">
        <v>142.71428571428569</v>
      </c>
      <c r="J69" s="19">
        <v>8.7494062523784155</v>
      </c>
      <c r="K69" s="19">
        <v>1.1679002409990329E-3</v>
      </c>
      <c r="L69" s="19">
        <v>1.02184336707512E-2</v>
      </c>
      <c r="M69" s="19">
        <v>14.69199668345853</v>
      </c>
      <c r="N69" s="19">
        <v>0.91000265224697996</v>
      </c>
      <c r="O69" s="19">
        <v>5225</v>
      </c>
      <c r="P69" s="19">
        <v>81.199789546590594</v>
      </c>
      <c r="Q69" s="19">
        <v>3222.24</v>
      </c>
      <c r="R69" s="19">
        <v>14.759234624799481</v>
      </c>
      <c r="S69" s="20">
        <f>SUM(AM69:AN69)/2 + (AQ69/$X$1)</f>
        <v>11.012197632668263</v>
      </c>
      <c r="T69" s="20">
        <f>VLOOKUP(AP69,ggg,3,0)</f>
        <v>21.14</v>
      </c>
      <c r="U69" s="20">
        <f t="shared" si="0"/>
        <v>16.320200949209731</v>
      </c>
      <c r="V69" s="20">
        <f>VLOOKUP(AP69,ggg,12,0)</f>
        <v>8.3000000000000007</v>
      </c>
      <c r="W69" s="20">
        <f>VLOOKUP(AP69,ggg,20,0)</f>
        <v>26.66</v>
      </c>
      <c r="X69" s="20">
        <f>VLOOKUP(AP69,ggg,32,0)</f>
        <v>3.38</v>
      </c>
      <c r="Y69" s="20">
        <f>VLOOKUP(AP69,ggg,28,0)</f>
        <v>3.72</v>
      </c>
      <c r="Z69" s="33"/>
      <c r="AA69" s="33"/>
      <c r="AC69">
        <f>C$3*(C$1-C69)/C$2</f>
        <v>-0.1039999999999992</v>
      </c>
      <c r="AD69">
        <f>D$3*(D$1-D69)/D$2</f>
        <v>0</v>
      </c>
      <c r="AE69">
        <f>E$3*(E$1-E69)/E$2</f>
        <v>-0.51857142857143046</v>
      </c>
      <c r="AF69">
        <f>F$3*(F$1-F69)/F$2</f>
        <v>1.2999999999999972</v>
      </c>
      <c r="AG69">
        <f>G$3*(G$1-G69)/G$2</f>
        <v>0.25714285714285673</v>
      </c>
      <c r="AH69">
        <f>H$3*(H$1-H69)/H$2</f>
        <v>5.7142857142860048E-2</v>
      </c>
      <c r="AI69">
        <f>I$3*(I$1-I69)/I$2</f>
        <v>0</v>
      </c>
      <c r="AJ69">
        <f>(Q69-$M$1)/$M$2</f>
        <v>-1.6623050000000001</v>
      </c>
      <c r="AK69">
        <f>(J69-$Q$1)/$Q$2</f>
        <v>0.64079166349544658</v>
      </c>
      <c r="AM69" s="3">
        <f>SUM(AC69:AK69)+M69+$T$1</f>
        <v>11.662197632668262</v>
      </c>
      <c r="AN69" s="3">
        <f>SUM(AC69:AK69)+M69+$T$1-AF69-AI69</f>
        <v>10.362197632668265</v>
      </c>
      <c r="AP69" t="str">
        <f>A69&amp;B69</f>
        <v>45516B</v>
      </c>
      <c r="AQ69">
        <f>VLOOKUP(AP69,kut,4,0)</f>
        <v>0</v>
      </c>
      <c r="AS69" s="3">
        <f t="shared" si="1"/>
        <v>16.97020094920973</v>
      </c>
      <c r="AT69" s="3">
        <f t="shared" si="2"/>
        <v>15.670200949209732</v>
      </c>
    </row>
    <row r="70" spans="1:46" hidden="1" x14ac:dyDescent="0.3">
      <c r="A70" s="17">
        <v>45516</v>
      </c>
      <c r="B70" s="18" t="s">
        <v>18</v>
      </c>
      <c r="C70" s="19">
        <v>8.3000000000000007</v>
      </c>
      <c r="D70" s="19">
        <v>38.444444444444443</v>
      </c>
      <c r="E70" s="19">
        <v>26.855555555555551</v>
      </c>
      <c r="F70" s="19">
        <v>55.72</v>
      </c>
      <c r="G70" s="19">
        <v>3.72</v>
      </c>
      <c r="H70" s="19">
        <v>3.3755555555555561</v>
      </c>
      <c r="I70" s="19">
        <v>151.7777777777778</v>
      </c>
      <c r="J70" s="19">
        <v>9.2840868557896474</v>
      </c>
      <c r="K70" s="19">
        <v>7.5136455633355729E-3</v>
      </c>
      <c r="L70" s="19">
        <v>6.9757338013625991E-2</v>
      </c>
      <c r="M70" s="19">
        <v>17.32053745191137</v>
      </c>
      <c r="N70" s="19">
        <v>2.582269916571101E-3</v>
      </c>
      <c r="O70" s="19">
        <v>5225</v>
      </c>
      <c r="P70" s="19">
        <v>81.226242173846657</v>
      </c>
      <c r="Q70" s="19">
        <v>29928.2</v>
      </c>
      <c r="R70" s="19">
        <v>15.279771447988891</v>
      </c>
      <c r="S70" s="20">
        <f>SUM(AM70:AN70)/2 + (AQ70/$X$1)</f>
        <v>15.708171168001364</v>
      </c>
      <c r="T70" s="20">
        <f>VLOOKUP(AP70,ggg,3,0)</f>
        <v>14.86</v>
      </c>
      <c r="U70" s="20">
        <f t="shared" si="0"/>
        <v>18.387633716089994</v>
      </c>
      <c r="V70" s="20">
        <f>VLOOKUP(AP70,ggg,12,0)</f>
        <v>8.1999999999999993</v>
      </c>
      <c r="W70" s="20">
        <f>VLOOKUP(AP70,ggg,20,0)</f>
        <v>25.57</v>
      </c>
      <c r="X70" s="20">
        <f>VLOOKUP(AP70,ggg,32,0)</f>
        <v>3.34</v>
      </c>
      <c r="Y70" s="20">
        <f>VLOOKUP(AP70,ggg,28,0)</f>
        <v>3.72</v>
      </c>
      <c r="Z70" s="33"/>
      <c r="AA70" s="33"/>
      <c r="AC70">
        <f>C$3*(C$1-C70)/C$2</f>
        <v>-0.60000000000000142</v>
      </c>
      <c r="AD70">
        <f>D$3*(D$1-D70)/D$2</f>
        <v>0</v>
      </c>
      <c r="AE70">
        <f>E$3*(E$1-E70)/E$2</f>
        <v>-0.64555555555554989</v>
      </c>
      <c r="AF70">
        <f>F$3*(F$1-F70)/F$2</f>
        <v>1.2999999999999972</v>
      </c>
      <c r="AG70">
        <f>G$3*(G$1-G70)/G$2</f>
        <v>0.25714285714285673</v>
      </c>
      <c r="AH70">
        <f>H$3*(H$1-H70)/H$2</f>
        <v>0.12222222222221914</v>
      </c>
      <c r="AI70">
        <f>I$3*(I$1-I70)/I$2</f>
        <v>0</v>
      </c>
      <c r="AJ70">
        <f>(Q70-$M$1)/$M$2</f>
        <v>1.67594</v>
      </c>
      <c r="AK70">
        <f>(J70-$Q$1)/$Q$2</f>
        <v>-7.2115807719529343E-2</v>
      </c>
      <c r="AM70" s="3">
        <f>SUM(AC70:AK70)+M70+$T$1</f>
        <v>16.358171168001363</v>
      </c>
      <c r="AN70" s="3">
        <f>SUM(AC70:AK70)+M70+$T$1-AF70-AI70</f>
        <v>15.058171168001365</v>
      </c>
      <c r="AP70" t="str">
        <f>A70&amp;B70</f>
        <v>45516C</v>
      </c>
      <c r="AQ70">
        <f>VLOOKUP(AP70,kut,4,0)</f>
        <v>0</v>
      </c>
      <c r="AS70" s="3">
        <f t="shared" si="1"/>
        <v>19.037633716089992</v>
      </c>
      <c r="AT70" s="3">
        <f t="shared" si="2"/>
        <v>17.737633716089995</v>
      </c>
    </row>
    <row r="71" spans="1:46" x14ac:dyDescent="0.3">
      <c r="A71" s="17">
        <v>45517</v>
      </c>
      <c r="B71" s="18" t="s">
        <v>19</v>
      </c>
      <c r="C71" s="19">
        <v>8.1999999999999993</v>
      </c>
      <c r="D71" s="19">
        <v>39</v>
      </c>
      <c r="E71" s="19">
        <v>25.567499999999999</v>
      </c>
      <c r="F71" s="19">
        <v>55.72</v>
      </c>
      <c r="G71" s="19">
        <v>3.72</v>
      </c>
      <c r="H71" s="19">
        <v>3.335</v>
      </c>
      <c r="I71" s="19">
        <v>150.75</v>
      </c>
      <c r="J71" s="19">
        <v>7.4281058074224422</v>
      </c>
      <c r="K71" s="19">
        <v>7.3037465656852554E-3</v>
      </c>
      <c r="L71" s="19">
        <v>5.4253002280508361E-2</v>
      </c>
      <c r="M71" s="19">
        <v>20.397629065026159</v>
      </c>
      <c r="N71" s="19">
        <v>2.5837840150728609E-3</v>
      </c>
      <c r="O71" s="19">
        <v>5225</v>
      </c>
      <c r="P71" s="19">
        <v>81.273917323444252</v>
      </c>
      <c r="Q71" s="19">
        <v>18603.68</v>
      </c>
      <c r="R71" s="19">
        <v>18.6041193138499</v>
      </c>
      <c r="S71" s="20">
        <f>SUM(AM71:AN71)/2 + (AQ71/$X$1)</f>
        <v>21.735172512272431</v>
      </c>
      <c r="T71" s="20">
        <f>VLOOKUP(AP71,ggg,3,0)</f>
        <v>22.27</v>
      </c>
      <c r="U71" s="20">
        <f t="shared" si="0"/>
        <v>21.337543447246272</v>
      </c>
      <c r="V71" s="20">
        <f>VLOOKUP(AP71,ggg,12,0)</f>
        <v>8.1199999999999992</v>
      </c>
      <c r="W71" s="20">
        <f>VLOOKUP(AP71,ggg,20,0)</f>
        <v>25.1</v>
      </c>
      <c r="X71" s="20">
        <f>VLOOKUP(AP71,ggg,32,0)</f>
        <v>3.37</v>
      </c>
      <c r="Y71" s="20">
        <f>VLOOKUP(AP71,ggg,28,0)</f>
        <v>3.72</v>
      </c>
      <c r="Z71" s="33"/>
      <c r="AA71" s="33"/>
      <c r="AC71">
        <f>C$3*(C$1-C71)/C$2</f>
        <v>-0.19999999999999574</v>
      </c>
      <c r="AD71">
        <f>D$3*(D$1-D71)/D$2</f>
        <v>0</v>
      </c>
      <c r="AE71">
        <f>E$3*(E$1-E71)/E$2</f>
        <v>0.64250000000000174</v>
      </c>
      <c r="AF71">
        <f>F$3*(F$1-F71)/F$2</f>
        <v>1.2999999999999972</v>
      </c>
      <c r="AG71">
        <f>G$3*(G$1-G71)/G$2</f>
        <v>0.25714285714285673</v>
      </c>
      <c r="AH71">
        <f>H$3*(H$1-H71)/H$2</f>
        <v>0.32499999999999979</v>
      </c>
      <c r="AI71">
        <f>I$3*(I$1-I71)/I$2</f>
        <v>0</v>
      </c>
      <c r="AJ71">
        <f>(Q71-$M$1)/$M$2</f>
        <v>0.26037500000000002</v>
      </c>
      <c r="AK71">
        <f>(J71-$Q$1)/$Q$2</f>
        <v>2.4025255901034108</v>
      </c>
      <c r="AM71" s="3">
        <f>SUM(AC71:AK71)+M71+$T$1</f>
        <v>22.38517251227243</v>
      </c>
      <c r="AN71" s="3">
        <f>SUM(AC71:AK71)+M71+$T$1-AF71-AI71</f>
        <v>21.085172512272432</v>
      </c>
      <c r="AP71" t="str">
        <f>A71&amp;B71</f>
        <v>45517A</v>
      </c>
      <c r="AQ71">
        <f>VLOOKUP(AP71,kut,4,0)</f>
        <v>0</v>
      </c>
      <c r="AS71" s="3">
        <f t="shared" si="1"/>
        <v>21.987543447246271</v>
      </c>
      <c r="AT71" s="3">
        <f t="shared" si="2"/>
        <v>20.687543447246274</v>
      </c>
    </row>
    <row r="72" spans="1:46" hidden="1" x14ac:dyDescent="0.3">
      <c r="A72" s="17">
        <v>45517</v>
      </c>
      <c r="B72" s="18" t="s">
        <v>20</v>
      </c>
      <c r="C72" s="19">
        <v>8.129999999999999</v>
      </c>
      <c r="D72" s="19">
        <v>38.285714285714278</v>
      </c>
      <c r="E72" s="19">
        <v>25.457142857142859</v>
      </c>
      <c r="F72" s="19">
        <v>56.21</v>
      </c>
      <c r="G72" s="19">
        <v>3.72</v>
      </c>
      <c r="H72" s="19">
        <v>3.36</v>
      </c>
      <c r="I72" s="19">
        <v>145.28571428571431</v>
      </c>
      <c r="J72" s="19">
        <v>9.5508588051030703</v>
      </c>
      <c r="K72" s="19">
        <v>3.3653555472503869E-3</v>
      </c>
      <c r="L72" s="19">
        <v>3.2142035660758822E-2</v>
      </c>
      <c r="M72" s="19">
        <v>19.334908772643281</v>
      </c>
      <c r="N72" s="19">
        <v>6.0666064813988969</v>
      </c>
      <c r="O72" s="19">
        <v>5225</v>
      </c>
      <c r="P72" s="19">
        <v>87.913829573805558</v>
      </c>
      <c r="Q72" s="19">
        <v>11430.64</v>
      </c>
      <c r="R72" s="19">
        <v>16.16396909240629</v>
      </c>
      <c r="S72" s="20">
        <f>SUM(AM72:AN72)/2 + (AQ72/$X$1)</f>
        <v>17.700842032505861</v>
      </c>
      <c r="T72" s="20">
        <f>VLOOKUP(AP72,ggg,3,0)</f>
        <v>20.98</v>
      </c>
      <c r="U72" s="20">
        <f t="shared" ref="U72:U106" si="3">AVERAGE(AS72:AT72)+(AQ72/$X$1)</f>
        <v>18.36593325986258</v>
      </c>
      <c r="V72" s="20">
        <f>VLOOKUP(AP72,ggg,12,0)</f>
        <v>8.1999999999999993</v>
      </c>
      <c r="W72" s="20">
        <f>VLOOKUP(AP72,ggg,20,0)</f>
        <v>27.9</v>
      </c>
      <c r="X72" s="20">
        <f>VLOOKUP(AP72,ggg,32,0)</f>
        <v>3.21</v>
      </c>
      <c r="Y72" s="20">
        <f>VLOOKUP(AP72,ggg,28,0)</f>
        <v>3.38</v>
      </c>
      <c r="Z72" s="33"/>
      <c r="AA72" s="33"/>
      <c r="AC72">
        <f>C$3*(C$1-C72)/C$2</f>
        <v>8.0000000000005386E-2</v>
      </c>
      <c r="AD72">
        <f>D$3*(D$1-D72)/D$2</f>
        <v>0</v>
      </c>
      <c r="AE72">
        <f>E$3*(E$1-E72)/E$2</f>
        <v>0.75285714285714178</v>
      </c>
      <c r="AF72">
        <f>F$3*(F$1-F72)/F$2</f>
        <v>2.2800000000000011</v>
      </c>
      <c r="AG72">
        <f>G$3*(G$1-G72)/G$2</f>
        <v>0.25714285714285673</v>
      </c>
      <c r="AH72">
        <f>H$3*(H$1-H72)/H$2</f>
        <v>0.20000000000000018</v>
      </c>
      <c r="AI72">
        <f>I$3*(I$1-I72)/I$2</f>
        <v>0</v>
      </c>
      <c r="AJ72">
        <f>(Q72-$M$1)/$M$2</f>
        <v>-0.63625500000000013</v>
      </c>
      <c r="AK72">
        <f>(J72-$Q$1)/$Q$2</f>
        <v>-0.42781174013742646</v>
      </c>
      <c r="AM72" s="3">
        <f>SUM(AC72:AK72)+M72+$T$1</f>
        <v>18.840842032505861</v>
      </c>
      <c r="AN72" s="3">
        <f>SUM(AC72:AK72)+M72+$T$1-AF72-AI72</f>
        <v>16.56084203250586</v>
      </c>
      <c r="AP72" t="str">
        <f>A72&amp;B72</f>
        <v>45517B</v>
      </c>
      <c r="AQ72">
        <f>VLOOKUP(AP72,kut,4,0)</f>
        <v>0</v>
      </c>
      <c r="AS72" s="3">
        <f t="shared" ref="AS72:AS106" si="4">SUM(AC72:AK72)+$AA$1+$T$1</f>
        <v>19.50593325986258</v>
      </c>
      <c r="AT72" s="3">
        <f t="shared" ref="AT72:AT106" si="5">SUM(AC72:AK72)+$AA$1+$T$1-AF72-AI72</f>
        <v>17.225933259862579</v>
      </c>
    </row>
    <row r="73" spans="1:46" hidden="1" x14ac:dyDescent="0.3">
      <c r="A73" s="17">
        <v>45517</v>
      </c>
      <c r="B73" s="18" t="s">
        <v>18</v>
      </c>
      <c r="C73" s="19">
        <v>8.1999999999999993</v>
      </c>
      <c r="D73" s="19">
        <v>38.571428571428569</v>
      </c>
      <c r="E73" s="19">
        <v>27.928571428571431</v>
      </c>
      <c r="F73" s="19">
        <v>56.21</v>
      </c>
      <c r="G73" s="19">
        <v>3.585</v>
      </c>
      <c r="H73" s="19">
        <v>3.1914285714285708</v>
      </c>
      <c r="I73" s="19">
        <v>147.28571428571431</v>
      </c>
      <c r="J73" s="19">
        <v>9.6545944752824386</v>
      </c>
      <c r="K73" s="19">
        <v>9.6268279794244523E-3</v>
      </c>
      <c r="L73" s="19">
        <v>9.2943120224645723E-2</v>
      </c>
      <c r="M73" s="19">
        <v>23.601830053231001</v>
      </c>
      <c r="N73" s="19">
        <v>2.5853194675495889E-3</v>
      </c>
      <c r="O73" s="19">
        <v>5225</v>
      </c>
      <c r="P73" s="19">
        <v>81.323564097704889</v>
      </c>
      <c r="Q73" s="19">
        <v>28464.76</v>
      </c>
      <c r="R73" s="19">
        <v>21.024274181354951</v>
      </c>
      <c r="S73" s="20">
        <f>SUM(AM73:AN73)/2 + (AQ73/$X$1)</f>
        <v>22.435856943330613</v>
      </c>
      <c r="T73" s="20">
        <f>VLOOKUP(AP73,ggg,3,0)</f>
        <v>16.829999999999998</v>
      </c>
      <c r="U73" s="20">
        <f t="shared" si="3"/>
        <v>18.834026890099612</v>
      </c>
      <c r="V73" s="20">
        <f>VLOOKUP(AP73,ggg,12,0)</f>
        <v>8.1</v>
      </c>
      <c r="W73" s="20">
        <f>VLOOKUP(AP73,ggg,20,0)</f>
        <v>25.45</v>
      </c>
      <c r="X73" s="20">
        <f>VLOOKUP(AP73,ggg,32,0)</f>
        <v>3.21</v>
      </c>
      <c r="Y73" s="20">
        <f>VLOOKUP(AP73,ggg,28,0)</f>
        <v>3.59</v>
      </c>
      <c r="Z73" s="33"/>
      <c r="AA73" s="33"/>
      <c r="AC73">
        <f>C$3*(C$1-C73)/C$2</f>
        <v>-0.19999999999999574</v>
      </c>
      <c r="AD73">
        <f>D$3*(D$1-D73)/D$2</f>
        <v>0</v>
      </c>
      <c r="AE73">
        <f>E$3*(E$1-E73)/E$2</f>
        <v>-1.7185714285714297</v>
      </c>
      <c r="AF73">
        <f>F$3*(F$1-F73)/F$2</f>
        <v>2.2800000000000011</v>
      </c>
      <c r="AG73">
        <f>G$3*(G$1-G73)/G$2</f>
        <v>0.64285714285714302</v>
      </c>
      <c r="AH73">
        <f>H$3*(H$1-H73)/H$2</f>
        <v>1.0428571428571454</v>
      </c>
      <c r="AI73">
        <f>I$3*(I$1-I73)/I$2</f>
        <v>0</v>
      </c>
      <c r="AJ73">
        <f>(Q73-$M$1)/$M$2</f>
        <v>1.4930099999999997</v>
      </c>
      <c r="AK73">
        <f>(J73-$Q$1)/$Q$2</f>
        <v>-0.56612596704325091</v>
      </c>
      <c r="AM73" s="3">
        <f>SUM(AC73:AK73)+M73+$T$1</f>
        <v>23.575856943330614</v>
      </c>
      <c r="AN73" s="3">
        <f>SUM(AC73:AK73)+M73+$T$1-AF73-AI73</f>
        <v>21.295856943330612</v>
      </c>
      <c r="AP73" t="str">
        <f>A73&amp;B73</f>
        <v>45517C</v>
      </c>
      <c r="AQ73">
        <f>VLOOKUP(AP73,kut,4,0)</f>
        <v>0</v>
      </c>
      <c r="AS73" s="3">
        <f t="shared" si="4"/>
        <v>19.974026890099612</v>
      </c>
      <c r="AT73" s="3">
        <f t="shared" si="5"/>
        <v>17.694026890099611</v>
      </c>
    </row>
    <row r="74" spans="1:46" x14ac:dyDescent="0.3">
      <c r="A74" s="17">
        <v>45518</v>
      </c>
      <c r="B74" s="18" t="s">
        <v>19</v>
      </c>
      <c r="C74" s="19">
        <v>8.1</v>
      </c>
      <c r="D74" s="19">
        <v>38</v>
      </c>
      <c r="E74" s="19">
        <v>25.45</v>
      </c>
      <c r="F74" s="19">
        <v>56.21</v>
      </c>
      <c r="G74" s="19">
        <v>3.59</v>
      </c>
      <c r="H74" s="19">
        <v>3.21</v>
      </c>
      <c r="I74" s="19">
        <v>146.75</v>
      </c>
      <c r="J74" s="19">
        <v>7.9775124251713683</v>
      </c>
      <c r="K74" s="19">
        <v>6.1786672175395676E-3</v>
      </c>
      <c r="L74" s="19">
        <v>4.9290394498920913E-2</v>
      </c>
      <c r="M74" s="19">
        <v>24.00275518038173</v>
      </c>
      <c r="N74" s="19">
        <v>1.0530875595058611</v>
      </c>
      <c r="O74" s="19">
        <v>5225</v>
      </c>
      <c r="P74" s="19">
        <v>81.346052999468114</v>
      </c>
      <c r="Q74" s="19">
        <v>22816.080000000002</v>
      </c>
      <c r="R74" s="19">
        <v>21.446935187918911</v>
      </c>
      <c r="S74" s="20">
        <f>SUM(AM74:AN74)/2 + (AQ74/$X$1)</f>
        <v>27.138235042058007</v>
      </c>
      <c r="T74" s="20">
        <f>VLOOKUP(AP74,ggg,3,0)</f>
        <v>26.58</v>
      </c>
      <c r="U74" s="20">
        <f t="shared" si="3"/>
        <v>23.135479861676277</v>
      </c>
      <c r="V74" s="20">
        <f>VLOOKUP(AP74,ggg,12,0)</f>
        <v>8.15</v>
      </c>
      <c r="W74" s="20">
        <f>VLOOKUP(AP74,ggg,20,0)</f>
        <v>26.77</v>
      </c>
      <c r="X74" s="20">
        <f>VLOOKUP(AP74,ggg,32,0)</f>
        <v>3.49</v>
      </c>
      <c r="Y74" s="20">
        <f>VLOOKUP(AP74,ggg,28,0)</f>
        <v>3.63</v>
      </c>
      <c r="Z74" s="33"/>
      <c r="AA74" s="33"/>
      <c r="AC74">
        <f>C$3*(C$1-C74)/C$2</f>
        <v>0.20000000000000284</v>
      </c>
      <c r="AD74">
        <f>D$3*(D$1-D74)/D$2</f>
        <v>0</v>
      </c>
      <c r="AE74">
        <f>E$3*(E$1-E74)/E$2</f>
        <v>0.76000000000000156</v>
      </c>
      <c r="AF74">
        <f>F$3*(F$1-F74)/F$2</f>
        <v>2.2800000000000011</v>
      </c>
      <c r="AG74">
        <f>G$3*(G$1-G74)/G$2</f>
        <v>0.62857142857142911</v>
      </c>
      <c r="AH74">
        <f>H$3*(H$1-H74)/H$2</f>
        <v>0.94999999999999973</v>
      </c>
      <c r="AI74">
        <f>I$3*(I$1-I74)/I$2</f>
        <v>0</v>
      </c>
      <c r="AJ74">
        <f>(Q74-$M$1)/$M$2</f>
        <v>0.78692500000000021</v>
      </c>
      <c r="AK74">
        <f>(J74-$Q$1)/$Q$2</f>
        <v>1.6699834331048429</v>
      </c>
      <c r="AM74" s="3">
        <f>SUM(AC74:AK74)+M74+$T$1</f>
        <v>28.278235042058007</v>
      </c>
      <c r="AN74" s="3">
        <f>SUM(AC74:AK74)+M74+$T$1-AF74-AI74</f>
        <v>25.998235042058006</v>
      </c>
      <c r="AP74" t="str">
        <f>A74&amp;B74</f>
        <v>45518A</v>
      </c>
      <c r="AQ74">
        <f>VLOOKUP(AP74,kut,4,0)</f>
        <v>0</v>
      </c>
      <c r="AS74" s="3">
        <f t="shared" si="4"/>
        <v>24.275479861676278</v>
      </c>
      <c r="AT74" s="3">
        <f t="shared" si="5"/>
        <v>21.995479861676277</v>
      </c>
    </row>
    <row r="75" spans="1:46" hidden="1" x14ac:dyDescent="0.3">
      <c r="A75" s="17">
        <v>45518</v>
      </c>
      <c r="B75" s="18" t="s">
        <v>20</v>
      </c>
      <c r="C75" s="19">
        <v>8.0649999999999995</v>
      </c>
      <c r="D75" s="19">
        <v>38</v>
      </c>
      <c r="E75" s="19">
        <v>26.38333333333334</v>
      </c>
      <c r="F75" s="19">
        <v>55.77</v>
      </c>
      <c r="G75" s="19">
        <v>3.63</v>
      </c>
      <c r="H75" s="19">
        <v>3.413333333333334</v>
      </c>
      <c r="I75" s="19">
        <v>146.66666666666671</v>
      </c>
      <c r="J75" s="19">
        <v>11.480326272141239</v>
      </c>
      <c r="K75" s="19">
        <v>3.4536689093319179E-3</v>
      </c>
      <c r="L75" s="19">
        <v>3.9649245915080587E-2</v>
      </c>
      <c r="M75" s="19">
        <v>18.544465651719442</v>
      </c>
      <c r="N75" s="19">
        <v>7.4112068112906613</v>
      </c>
      <c r="O75" s="19">
        <v>5225</v>
      </c>
      <c r="P75" s="19">
        <v>108.5420255704576</v>
      </c>
      <c r="Q75" s="19">
        <v>10227.656800000001</v>
      </c>
      <c r="R75" s="19">
        <v>16.294297161879179</v>
      </c>
      <c r="S75" s="20">
        <f>SUM(AM75:AN75)/2 + (AQ75/$X$1)</f>
        <v>13.071688436483502</v>
      </c>
      <c r="T75" s="20">
        <f>VLOOKUP(AP75,ggg,3,0)</f>
        <v>22.23</v>
      </c>
      <c r="U75" s="20">
        <f t="shared" si="3"/>
        <v>14.52722278476406</v>
      </c>
      <c r="V75" s="20">
        <f>VLOOKUP(AP75,ggg,12,0)</f>
        <v>8.3000000000000007</v>
      </c>
      <c r="W75" s="20">
        <f>VLOOKUP(AP75,ggg,20,0)</f>
        <v>26.41</v>
      </c>
      <c r="X75" s="20">
        <f>VLOOKUP(AP75,ggg,32,0)</f>
        <v>3.36</v>
      </c>
      <c r="Y75" s="20">
        <f>VLOOKUP(AP75,ggg,28,0)</f>
        <v>3.63</v>
      </c>
      <c r="Z75" s="33"/>
      <c r="AA75" s="33"/>
      <c r="AC75">
        <f>C$3*(C$1-C75)/C$2</f>
        <v>0.34000000000000341</v>
      </c>
      <c r="AD75">
        <f>D$3*(D$1-D75)/D$2</f>
        <v>0</v>
      </c>
      <c r="AE75">
        <f>E$3*(E$1-E75)/E$2</f>
        <v>-0.17333333333333911</v>
      </c>
      <c r="AF75">
        <f>F$3*(F$1-F75)/F$2</f>
        <v>1.4000000000000057</v>
      </c>
      <c r="AG75">
        <f>G$3*(G$1-G75)/G$2</f>
        <v>0.51428571428571468</v>
      </c>
      <c r="AH75">
        <f>H$3*(H$1-H75)/H$2</f>
        <v>-6.6666666666670427E-2</v>
      </c>
      <c r="AI75">
        <f>I$3*(I$1-I75)/I$2</f>
        <v>0</v>
      </c>
      <c r="AJ75">
        <f>(Q75-$M$1)/$M$2</f>
        <v>-0.78662789999999994</v>
      </c>
      <c r="AK75">
        <f>(J75-$Q$1)/$Q$2</f>
        <v>-3.0004350295216518</v>
      </c>
      <c r="AM75" s="3">
        <f>SUM(AC75:AK75)+M75+$T$1</f>
        <v>13.771688436483505</v>
      </c>
      <c r="AN75" s="3">
        <f>SUM(AC75:AK75)+M75+$T$1-AF75-AI75</f>
        <v>12.371688436483499</v>
      </c>
      <c r="AP75" t="str">
        <f>A75&amp;B75</f>
        <v>45518B</v>
      </c>
      <c r="AQ75">
        <f>VLOOKUP(AP75,kut,4,0)</f>
        <v>0</v>
      </c>
      <c r="AS75" s="3">
        <f t="shared" si="4"/>
        <v>15.227222784764063</v>
      </c>
      <c r="AT75" s="3">
        <f t="shared" si="5"/>
        <v>13.827222784764057</v>
      </c>
    </row>
    <row r="76" spans="1:46" hidden="1" x14ac:dyDescent="0.3">
      <c r="A76" s="17">
        <v>45518</v>
      </c>
      <c r="B76" s="18" t="s">
        <v>18</v>
      </c>
      <c r="C76" s="19">
        <v>8.1679999999999993</v>
      </c>
      <c r="D76" s="19">
        <v>39.285714285714278</v>
      </c>
      <c r="E76" s="19">
        <v>25.874285714285719</v>
      </c>
      <c r="F76" s="19">
        <v>55.44</v>
      </c>
      <c r="G76" s="19">
        <v>3.63</v>
      </c>
      <c r="H76" s="19">
        <v>3.4485714285714288</v>
      </c>
      <c r="I76" s="19">
        <v>143.57142857142861</v>
      </c>
      <c r="J76" s="19">
        <v>10.650572656705689</v>
      </c>
      <c r="K76" s="19">
        <v>3.7044531790318119E-3</v>
      </c>
      <c r="L76" s="19">
        <v>3.9454547736642698E-2</v>
      </c>
      <c r="M76" s="19">
        <v>15.8137802663075</v>
      </c>
      <c r="N76" s="19">
        <v>5.9392412117159452</v>
      </c>
      <c r="O76" s="19">
        <v>5225</v>
      </c>
      <c r="P76" s="19">
        <v>103.26362359516961</v>
      </c>
      <c r="Q76" s="19">
        <v>18272.608800000002</v>
      </c>
      <c r="R76" s="19">
        <v>15.730396885225581</v>
      </c>
      <c r="S76" s="20">
        <f>SUM(AM76:AN76)/2 + (AQ76/$X$1)</f>
        <v>12.043817347842769</v>
      </c>
      <c r="T76" s="20">
        <f>VLOOKUP(AP76,ggg,3,0)</f>
        <v>16</v>
      </c>
      <c r="U76" s="20">
        <f t="shared" si="3"/>
        <v>16.230037081535269</v>
      </c>
      <c r="V76" s="20">
        <f>VLOOKUP(AP76,ggg,12,0)</f>
        <v>8.4</v>
      </c>
      <c r="W76" s="20">
        <f>VLOOKUP(AP76,ggg,20,0)</f>
        <v>26.96</v>
      </c>
      <c r="X76" s="20">
        <f>VLOOKUP(AP76,ggg,32,0)</f>
        <v>3.45</v>
      </c>
      <c r="Y76" s="20">
        <f>VLOOKUP(AP76,ggg,28,0)</f>
        <v>3.63</v>
      </c>
      <c r="Z76" s="33"/>
      <c r="AA76" s="33"/>
      <c r="AC76">
        <f>C$3*(C$1-C76)/C$2</f>
        <v>-7.1999999999995623E-2</v>
      </c>
      <c r="AD76">
        <f>D$3*(D$1-D76)/D$2</f>
        <v>0</v>
      </c>
      <c r="AE76">
        <f>E$3*(E$1-E76)/E$2</f>
        <v>0.33571428571428186</v>
      </c>
      <c r="AF76">
        <f>F$3*(F$1-F76)/F$2</f>
        <v>0.73999999999999488</v>
      </c>
      <c r="AG76">
        <f>G$3*(G$1-G76)/G$2</f>
        <v>0.51428571428571468</v>
      </c>
      <c r="AH76">
        <f>H$3*(H$1-H76)/H$2</f>
        <v>-0.24285714285714466</v>
      </c>
      <c r="AI76">
        <f>I$3*(I$1-I76)/I$2</f>
        <v>0</v>
      </c>
      <c r="AJ76">
        <f>(Q76-$M$1)/$M$2</f>
        <v>0.21899110000000019</v>
      </c>
      <c r="AK76">
        <f>(J76-$Q$1)/$Q$2</f>
        <v>-1.8940968756075851</v>
      </c>
      <c r="AM76" s="3">
        <f>SUM(AC76:AK76)+M76+$T$1</f>
        <v>12.413817347842766</v>
      </c>
      <c r="AN76" s="3">
        <f>SUM(AC76:AK76)+M76+$T$1-AF76-AI76</f>
        <v>11.673817347842771</v>
      </c>
      <c r="AP76" t="str">
        <f>A76&amp;B76</f>
        <v>45518C</v>
      </c>
      <c r="AQ76">
        <f>VLOOKUP(AP76,kut,4,0)</f>
        <v>0</v>
      </c>
      <c r="AS76" s="3">
        <f t="shared" si="4"/>
        <v>16.600037081535266</v>
      </c>
      <c r="AT76" s="3">
        <f t="shared" si="5"/>
        <v>15.860037081535271</v>
      </c>
    </row>
    <row r="77" spans="1:46" x14ac:dyDescent="0.3">
      <c r="A77" s="17">
        <v>45519</v>
      </c>
      <c r="B77" s="18" t="s">
        <v>19</v>
      </c>
      <c r="C77" s="19">
        <v>8.4</v>
      </c>
      <c r="D77" s="19">
        <v>40</v>
      </c>
      <c r="E77" s="19">
        <v>26.96</v>
      </c>
      <c r="F77" s="19">
        <v>55.44</v>
      </c>
      <c r="G77" s="19">
        <v>3.63</v>
      </c>
      <c r="H77" s="19">
        <v>3.45</v>
      </c>
      <c r="I77" s="19">
        <v>143.5</v>
      </c>
      <c r="J77" s="19">
        <v>9.2436775699054525</v>
      </c>
      <c r="K77" s="19">
        <v>1.187185686884026E-2</v>
      </c>
      <c r="L77" s="19">
        <v>0.1097396170516267</v>
      </c>
      <c r="M77" s="19">
        <v>14.4519196417315</v>
      </c>
      <c r="N77" s="19">
        <v>2.5807412015701621E-3</v>
      </c>
      <c r="O77" s="19">
        <v>5225</v>
      </c>
      <c r="P77" s="19">
        <v>81.181793150731565</v>
      </c>
      <c r="Q77" s="19">
        <v>30003.360000000001</v>
      </c>
      <c r="R77" s="19">
        <v>15.34623872784222</v>
      </c>
      <c r="S77" s="20">
        <f>SUM(AM77:AN77)/2 + (AQ77/$X$1)</f>
        <v>12.003303596143274</v>
      </c>
      <c r="T77" s="20">
        <f>VLOOKUP(AP77,ggg,3,0)</f>
        <v>15.34</v>
      </c>
      <c r="U77" s="20">
        <f t="shared" si="3"/>
        <v>17.551383954411776</v>
      </c>
      <c r="V77" s="20">
        <f>VLOOKUP(AP77,ggg,12,0)</f>
        <v>8</v>
      </c>
      <c r="W77" s="20">
        <f>VLOOKUP(AP77,ggg,20,0)</f>
        <v>27.77</v>
      </c>
      <c r="X77" s="20">
        <f>VLOOKUP(AP77,ggg,32,0)</f>
        <v>3.23</v>
      </c>
      <c r="Y77" s="20">
        <f>VLOOKUP(AP77,ggg,28,0)</f>
        <v>3.63</v>
      </c>
      <c r="Z77" s="33"/>
      <c r="AA77" s="33"/>
      <c r="AC77">
        <f>C$3*(C$1-C77)/C$2</f>
        <v>-1</v>
      </c>
      <c r="AD77">
        <f>D$3*(D$1-D77)/D$2</f>
        <v>0</v>
      </c>
      <c r="AE77">
        <f>E$3*(E$1-E77)/E$2</f>
        <v>-0.75000000000000011</v>
      </c>
      <c r="AF77">
        <f>F$3*(F$1-F77)/F$2</f>
        <v>0.73999999999999488</v>
      </c>
      <c r="AG77">
        <f>G$3*(G$1-G77)/G$2</f>
        <v>0.51428571428571468</v>
      </c>
      <c r="AH77">
        <f>H$3*(H$1-H77)/H$2</f>
        <v>-0.25000000000000133</v>
      </c>
      <c r="AI77">
        <f>I$3*(I$1-I77)/I$2</f>
        <v>0</v>
      </c>
      <c r="AJ77">
        <f>(Q77-$M$1)/$M$2</f>
        <v>1.685335</v>
      </c>
      <c r="AK77">
        <f>(J77-$Q$1)/$Q$2</f>
        <v>-1.8236759873936137E-2</v>
      </c>
      <c r="AM77" s="3">
        <f>SUM(AC77:AK77)+M77+$T$1</f>
        <v>12.373303596143272</v>
      </c>
      <c r="AN77" s="3">
        <f>SUM(AC77:AK77)+M77+$T$1-AF77-AI77</f>
        <v>11.633303596143277</v>
      </c>
      <c r="AP77" t="str">
        <f>A77&amp;B77</f>
        <v>45519A</v>
      </c>
      <c r="AQ77">
        <f>VLOOKUP(AP77,kut,4,0)</f>
        <v>0</v>
      </c>
      <c r="AS77" s="3">
        <f t="shared" si="4"/>
        <v>17.921383954411773</v>
      </c>
      <c r="AT77" s="3">
        <f t="shared" si="5"/>
        <v>17.181383954411778</v>
      </c>
    </row>
    <row r="78" spans="1:46" hidden="1" x14ac:dyDescent="0.3">
      <c r="A78" s="17">
        <v>45519</v>
      </c>
      <c r="B78" s="18" t="s">
        <v>20</v>
      </c>
      <c r="C78" s="19">
        <v>8.0860000000000003</v>
      </c>
      <c r="D78" s="19">
        <v>37.166666666666657</v>
      </c>
      <c r="E78" s="19">
        <v>28.086666666666659</v>
      </c>
      <c r="F78" s="19">
        <v>55.72</v>
      </c>
      <c r="G78" s="19">
        <v>3.63</v>
      </c>
      <c r="H78" s="19">
        <v>3.22</v>
      </c>
      <c r="I78" s="19">
        <v>138.83333333333329</v>
      </c>
      <c r="J78" s="19">
        <v>9.9609532417953943</v>
      </c>
      <c r="K78" s="19">
        <v>3.5510822862902369E-3</v>
      </c>
      <c r="L78" s="19">
        <v>3.5372164611504928E-2</v>
      </c>
      <c r="M78" s="19">
        <v>17.707686605018999</v>
      </c>
      <c r="N78" s="19">
        <v>2.582473655310405E-3</v>
      </c>
      <c r="O78" s="19">
        <v>5225</v>
      </c>
      <c r="P78" s="19">
        <v>81.232240009492514</v>
      </c>
      <c r="Q78" s="19">
        <v>10865.212799999999</v>
      </c>
      <c r="R78" s="19">
        <v>18.809597837630911</v>
      </c>
      <c r="S78" s="20">
        <f>SUM(AM78:AN78)/2 + (AQ78/$X$1)</f>
        <v>13.469767930244195</v>
      </c>
      <c r="T78" s="20">
        <f>VLOOKUP(AP78,ggg,3,0)</f>
        <v>15.21</v>
      </c>
      <c r="U78" s="20">
        <f t="shared" si="3"/>
        <v>15.762081325225196</v>
      </c>
      <c r="V78" s="20">
        <f>VLOOKUP(AP78,ggg,12,0)</f>
        <v>7.93</v>
      </c>
      <c r="W78" s="20">
        <f>VLOOKUP(AP78,ggg,20,0)</f>
        <v>26.5</v>
      </c>
      <c r="X78" s="20">
        <f>VLOOKUP(AP78,ggg,32,0)</f>
        <v>3.23</v>
      </c>
      <c r="Y78" s="20">
        <f>VLOOKUP(AP78,ggg,28,0)</f>
        <v>3.58</v>
      </c>
      <c r="Z78" s="33"/>
      <c r="AA78" s="33"/>
      <c r="AC78">
        <f>C$3*(C$1-C78)/C$2</f>
        <v>0.25600000000000023</v>
      </c>
      <c r="AD78">
        <f>D$3*(D$1-D78)/D$2</f>
        <v>0</v>
      </c>
      <c r="AE78">
        <f>E$3*(E$1-E78)/E$2</f>
        <v>-1.876666666666658</v>
      </c>
      <c r="AF78">
        <f>F$3*(F$1-F78)/F$2</f>
        <v>1.2999999999999972</v>
      </c>
      <c r="AG78">
        <f>G$3*(G$1-G78)/G$2</f>
        <v>0.51428571428571468</v>
      </c>
      <c r="AH78">
        <f>H$3*(H$1-H78)/H$2</f>
        <v>0.89999999999999858</v>
      </c>
      <c r="AI78">
        <f>I$3*(I$1-I78)/I$2</f>
        <v>0</v>
      </c>
      <c r="AJ78">
        <f>(Q78-$M$1)/$M$2</f>
        <v>-0.70693340000000016</v>
      </c>
      <c r="AK78">
        <f>(J78-$Q$1)/$Q$2</f>
        <v>-0.97460432239385852</v>
      </c>
      <c r="AM78" s="3">
        <f>SUM(AC78:AK78)+M78+$T$1</f>
        <v>14.119767930244194</v>
      </c>
      <c r="AN78" s="3">
        <f>SUM(AC78:AK78)+M78+$T$1-AF78-AI78</f>
        <v>12.819767930244197</v>
      </c>
      <c r="AP78" t="str">
        <f>A78&amp;B78</f>
        <v>45519B</v>
      </c>
      <c r="AQ78">
        <f>VLOOKUP(AP78,kut,4,0)</f>
        <v>0</v>
      </c>
      <c r="AS78" s="3">
        <f t="shared" si="4"/>
        <v>16.412081325225195</v>
      </c>
      <c r="AT78" s="3">
        <f t="shared" si="5"/>
        <v>15.112081325225198</v>
      </c>
    </row>
    <row r="79" spans="1:46" s="30" customFormat="1" x14ac:dyDescent="0.3">
      <c r="A79" s="26">
        <v>45520</v>
      </c>
      <c r="B79" s="27" t="s">
        <v>19</v>
      </c>
      <c r="C79" s="28">
        <v>7.9266666666666667</v>
      </c>
      <c r="D79" s="28">
        <v>39</v>
      </c>
      <c r="E79" s="28">
        <v>26.5</v>
      </c>
      <c r="F79" s="28">
        <v>55.74</v>
      </c>
      <c r="G79" s="28">
        <v>3.58</v>
      </c>
      <c r="H79" s="28">
        <v>3.2320000000000002</v>
      </c>
      <c r="I79" s="28">
        <v>146.19999999999999</v>
      </c>
      <c r="J79" s="28">
        <v>7.3595315908254673</v>
      </c>
      <c r="K79" s="28">
        <v>1.462589734942622E-3</v>
      </c>
      <c r="L79" s="28">
        <v>1.076397535872727E-2</v>
      </c>
      <c r="M79" s="28">
        <v>23.79931600361477</v>
      </c>
      <c r="N79" s="28">
        <v>2.585548240946207E-3</v>
      </c>
      <c r="O79" s="28">
        <v>5225</v>
      </c>
      <c r="P79" s="28">
        <v>81.326623997066889</v>
      </c>
      <c r="Q79" s="28">
        <v>4011.7919999999999</v>
      </c>
      <c r="R79" s="28">
        <v>23.04415064126032</v>
      </c>
      <c r="S79" s="35">
        <f>SUM(AM79:AN79)/2 + (AQ79/$X$1)</f>
        <v>24.50013907299034</v>
      </c>
      <c r="T79" s="35">
        <f>VLOOKUP(AP79,ggg,3,0)</f>
        <v>20.51</v>
      </c>
      <c r="U79" s="37">
        <f t="shared" si="3"/>
        <v>20.70082306937557</v>
      </c>
      <c r="V79" s="29">
        <f>VLOOKUP(AP79,ggg,12,0)</f>
        <v>7.98</v>
      </c>
      <c r="W79" s="29">
        <f>VLOOKUP(AP79,ggg,20,0)</f>
        <v>26.15</v>
      </c>
      <c r="X79" s="29">
        <f>VLOOKUP(AP79,ggg,32,0)</f>
        <v>3.31</v>
      </c>
      <c r="Y79" s="29">
        <f>VLOOKUP(AP79,ggg,28,0)</f>
        <v>3.61</v>
      </c>
      <c r="Z79" s="33">
        <f>VLOOKUP(AP79,fff,2,0)</f>
        <v>22.77</v>
      </c>
      <c r="AA79" s="33">
        <f>VLOOKUP(AP79,fff,3,0)</f>
        <v>20.83</v>
      </c>
      <c r="AC79" s="30">
        <f>C$3*(C$1-C79)/C$2</f>
        <v>0.89333333333333442</v>
      </c>
      <c r="AD79" s="30">
        <f>D$3*(D$1-D79)/D$2</f>
        <v>0</v>
      </c>
      <c r="AE79" s="30">
        <f>E$3*(E$1-E79)/E$2</f>
        <v>-0.28999999999999915</v>
      </c>
      <c r="AF79" s="30">
        <f>F$3*(F$1-F79)/F$2</f>
        <v>1.3400000000000034</v>
      </c>
      <c r="AG79" s="30">
        <f>G$3*(G$1-G79)/G$2</f>
        <v>0.65714285714285703</v>
      </c>
      <c r="AH79" s="30">
        <f>H$3*(H$1-H79)/H$2</f>
        <v>0.83999999999999853</v>
      </c>
      <c r="AI79" s="30">
        <f>I$3*(I$1-I79)/I$2</f>
        <v>0</v>
      </c>
      <c r="AJ79" s="30">
        <f>(Q79-$M$1)/$M$2</f>
        <v>-1.5636110000000001</v>
      </c>
      <c r="AK79" s="30">
        <f>(J79-$Q$1)/$Q$2</f>
        <v>2.4939578788993777</v>
      </c>
      <c r="AM79" s="31">
        <f>SUM(AC79:AK79)+M79+$T$1</f>
        <v>25.170139072990342</v>
      </c>
      <c r="AN79" s="31">
        <f>SUM(AC79:AK79)+M79+$T$1-AF79-AI79</f>
        <v>23.830139072990338</v>
      </c>
      <c r="AP79" s="30" t="str">
        <f>A79&amp;B79</f>
        <v>45520A</v>
      </c>
      <c r="AQ79" s="30">
        <f>VLOOKUP(AP79,kut,4,0)</f>
        <v>0</v>
      </c>
      <c r="AS79" s="3">
        <f t="shared" si="4"/>
        <v>21.370823069375572</v>
      </c>
      <c r="AT79" s="3">
        <f t="shared" si="5"/>
        <v>20.030823069375568</v>
      </c>
    </row>
    <row r="80" spans="1:46" hidden="1" x14ac:dyDescent="0.3">
      <c r="A80" s="17">
        <v>45520</v>
      </c>
      <c r="B80" s="18" t="s">
        <v>20</v>
      </c>
      <c r="C80" s="19">
        <v>7.9233333333333329</v>
      </c>
      <c r="D80" s="19">
        <v>37.666666666666657</v>
      </c>
      <c r="E80" s="19">
        <v>25.645555555555561</v>
      </c>
      <c r="F80" s="19">
        <v>55</v>
      </c>
      <c r="G80" s="19">
        <v>3.61</v>
      </c>
      <c r="H80" s="19">
        <v>3.342222222222222</v>
      </c>
      <c r="I80" s="19">
        <v>146.55555555555549</v>
      </c>
      <c r="J80" s="19">
        <v>9.652389297713535</v>
      </c>
      <c r="K80" s="19">
        <v>2.156223942478476E-3</v>
      </c>
      <c r="L80" s="19">
        <v>2.0812712905852921E-2</v>
      </c>
      <c r="M80" s="19">
        <v>16.935379146352751</v>
      </c>
      <c r="N80" s="19">
        <v>2.5888473344657672E-3</v>
      </c>
      <c r="O80" s="19">
        <v>5225</v>
      </c>
      <c r="P80" s="19">
        <v>81.220271998057797</v>
      </c>
      <c r="Q80" s="19">
        <v>7130.04</v>
      </c>
      <c r="R80" s="19">
        <v>18.546888675365761</v>
      </c>
      <c r="S80" s="20">
        <f>SUM(AM80:AN80)/2 + (AQ80/$X$1)</f>
        <v>14.459791987496612</v>
      </c>
      <c r="T80" s="20">
        <f>VLOOKUP(AP80,ggg,3,0)</f>
        <v>18.02</v>
      </c>
      <c r="U80" s="37">
        <f t="shared" si="3"/>
        <v>17.52441284114386</v>
      </c>
      <c r="V80" s="20">
        <f>VLOOKUP(AP80,ggg,12,0)</f>
        <v>8.3699999999999992</v>
      </c>
      <c r="W80" s="20">
        <f>VLOOKUP(AP80,ggg,20,0)</f>
        <v>27.03</v>
      </c>
      <c r="X80" s="20">
        <f>VLOOKUP(AP80,ggg,32,0)</f>
        <v>3.39</v>
      </c>
      <c r="Y80" s="20">
        <f>VLOOKUP(AP80,ggg,28,0)</f>
        <v>3.79</v>
      </c>
      <c r="Z80" s="33">
        <f>VLOOKUP(AP80,fff,2,0)</f>
        <v>15.72</v>
      </c>
      <c r="AA80" s="33">
        <f>VLOOKUP(AP80,fff,3,0)</f>
        <v>16.93</v>
      </c>
      <c r="AC80">
        <f>C$3*(C$1-C80)/C$2</f>
        <v>0.90666666666666984</v>
      </c>
      <c r="AD80">
        <f>D$3*(D$1-D80)/D$2</f>
        <v>0</v>
      </c>
      <c r="AE80">
        <f>E$3*(E$1-E80)/E$2</f>
        <v>0.56444444444444031</v>
      </c>
      <c r="AF80">
        <f>F$3*(F$1-F80)/F$2</f>
        <v>-0.14000000000000057</v>
      </c>
      <c r="AG80">
        <f>G$3*(G$1-G80)/G$2</f>
        <v>0.57142857142857184</v>
      </c>
      <c r="AH80">
        <f>H$3*(H$1-H80)/H$2</f>
        <v>0.28888888888888964</v>
      </c>
      <c r="AI80">
        <f>I$3*(I$1-I80)/I$2</f>
        <v>0</v>
      </c>
      <c r="AJ80">
        <f>(Q80-$M$1)/$M$2</f>
        <v>-1.1738299999999999</v>
      </c>
      <c r="AK80">
        <f>(J80-$Q$1)/$Q$2</f>
        <v>-0.56318573028471286</v>
      </c>
      <c r="AM80" s="3">
        <f>SUM(AC80:AK80)+M80+$T$1</f>
        <v>14.389791987496611</v>
      </c>
      <c r="AN80" s="3">
        <f>SUM(AC80:AK80)+M80+$T$1-AF80-AI80</f>
        <v>14.529791987496612</v>
      </c>
      <c r="AP80" t="str">
        <f>A80&amp;B80</f>
        <v>45520B</v>
      </c>
      <c r="AQ80">
        <f>VLOOKUP(AP80,kut,4,0)</f>
        <v>0</v>
      </c>
      <c r="AS80" s="3">
        <f t="shared" si="4"/>
        <v>17.45441284114386</v>
      </c>
      <c r="AT80" s="3">
        <f t="shared" si="5"/>
        <v>17.594412841143861</v>
      </c>
    </row>
    <row r="81" spans="1:46" hidden="1" x14ac:dyDescent="0.3">
      <c r="A81" s="17">
        <v>45520</v>
      </c>
      <c r="B81" s="18" t="s">
        <v>18</v>
      </c>
      <c r="C81" s="19">
        <v>8.3000000000000007</v>
      </c>
      <c r="D81" s="19">
        <v>38.428571428571431</v>
      </c>
      <c r="E81" s="19">
        <v>27.12857142857143</v>
      </c>
      <c r="F81" s="19">
        <v>55</v>
      </c>
      <c r="G81" s="19">
        <v>3.79</v>
      </c>
      <c r="H81" s="19">
        <v>3.32</v>
      </c>
      <c r="I81" s="19">
        <v>144.42857142857139</v>
      </c>
      <c r="J81" s="19">
        <v>11.061952303184031</v>
      </c>
      <c r="K81" s="19">
        <v>5.5088161329194113E-3</v>
      </c>
      <c r="L81" s="19">
        <v>6.0938261309365242E-2</v>
      </c>
      <c r="M81" s="19">
        <v>13.24720161470152</v>
      </c>
      <c r="N81" s="19">
        <v>2.5855531934385269E-3</v>
      </c>
      <c r="O81" s="19">
        <v>5225</v>
      </c>
      <c r="P81" s="19">
        <v>92.285658727356264</v>
      </c>
      <c r="Q81" s="19">
        <v>15783.68</v>
      </c>
      <c r="R81" s="19">
        <v>14.932263705682651</v>
      </c>
      <c r="S81" s="20">
        <f>SUM(AM81:AN81)/2 + (AQ81/$X$1)</f>
        <v>6.5810449723609068</v>
      </c>
      <c r="T81" s="20">
        <f>VLOOKUP(AP81,ggg,3,0)</f>
        <v>16.03</v>
      </c>
      <c r="U81" s="37">
        <f t="shared" si="3"/>
        <v>13.333843357659386</v>
      </c>
      <c r="V81" s="20">
        <f>VLOOKUP(AP81,ggg,12,0)</f>
        <v>8.43</v>
      </c>
      <c r="W81" s="20">
        <f>VLOOKUP(AP81,ggg,20,0)</f>
        <v>26.6</v>
      </c>
      <c r="X81" s="20">
        <f>VLOOKUP(AP81,ggg,32,0)</f>
        <v>3.46</v>
      </c>
      <c r="Y81" s="20">
        <f>VLOOKUP(AP81,ggg,28,0)</f>
        <v>3.79</v>
      </c>
      <c r="Z81" s="33" t="e">
        <f>VLOOKUP(AP81,fff,2,0)</f>
        <v>#N/A</v>
      </c>
      <c r="AA81" s="33" t="e">
        <f>VLOOKUP(AP81,fff,3,0)</f>
        <v>#N/A</v>
      </c>
      <c r="AC81">
        <f>C$3*(C$1-C81)/C$2</f>
        <v>-0.60000000000000142</v>
      </c>
      <c r="AD81">
        <f>D$3*(D$1-D81)/D$2</f>
        <v>0</v>
      </c>
      <c r="AE81">
        <f>E$3*(E$1-E81)/E$2</f>
        <v>-0.91857142857142915</v>
      </c>
      <c r="AF81">
        <f>F$3*(F$1-F81)/F$2</f>
        <v>-0.14000000000000057</v>
      </c>
      <c r="AG81">
        <f>G$3*(G$1-G81)/G$2</f>
        <v>5.714285714285719E-2</v>
      </c>
      <c r="AH81">
        <f>H$3*(H$1-H81)/H$2</f>
        <v>0.40000000000000036</v>
      </c>
      <c r="AI81">
        <f>I$3*(I$1-I81)/I$2</f>
        <v>0</v>
      </c>
      <c r="AJ81">
        <f>(Q81-$M$1)/$M$2</f>
        <v>-9.2124999999999999E-2</v>
      </c>
      <c r="AK81">
        <f>(J81-$Q$1)/$Q$2</f>
        <v>-2.4426030709120403</v>
      </c>
      <c r="AM81" s="3">
        <f>SUM(AC81:AK81)+M81+$T$1</f>
        <v>6.5110449723609065</v>
      </c>
      <c r="AN81" s="3">
        <f>SUM(AC81:AK81)+M81+$T$1-AF81-AI81</f>
        <v>6.6510449723609071</v>
      </c>
      <c r="AP81" t="str">
        <f>A81&amp;B81</f>
        <v>45520C</v>
      </c>
      <c r="AQ81">
        <f>VLOOKUP(AP81,kut,4,0)</f>
        <v>0</v>
      </c>
      <c r="AS81" s="3">
        <f t="shared" si="4"/>
        <v>13.263843357659386</v>
      </c>
      <c r="AT81" s="3">
        <f t="shared" si="5"/>
        <v>13.403843357659387</v>
      </c>
    </row>
    <row r="82" spans="1:46" x14ac:dyDescent="0.3">
      <c r="A82" s="17">
        <v>45523</v>
      </c>
      <c r="B82" s="18" t="s">
        <v>19</v>
      </c>
      <c r="C82" s="19">
        <v>8.4250000000000007</v>
      </c>
      <c r="D82" s="19">
        <v>38.799999999999997</v>
      </c>
      <c r="E82" s="19">
        <v>26.52</v>
      </c>
      <c r="F82" s="19">
        <v>55</v>
      </c>
      <c r="G82" s="19">
        <v>3.79</v>
      </c>
      <c r="H82" s="19">
        <v>3.4359999999999999</v>
      </c>
      <c r="I82" s="19">
        <v>151.80000000000001</v>
      </c>
      <c r="J82" s="19">
        <v>8.9054512273790181</v>
      </c>
      <c r="K82" s="19">
        <v>8.3200541042557155E-3</v>
      </c>
      <c r="L82" s="19">
        <v>7.4093836034603913E-2</v>
      </c>
      <c r="M82" s="19">
        <v>13.22125857945203</v>
      </c>
      <c r="N82" s="19">
        <v>2.5804699207323798E-3</v>
      </c>
      <c r="O82" s="19">
        <v>5225</v>
      </c>
      <c r="P82" s="19">
        <v>81.914392620027201</v>
      </c>
      <c r="Q82" s="19">
        <v>25728.639999999999</v>
      </c>
      <c r="R82" s="19">
        <v>13.22059769091552</v>
      </c>
      <c r="S82" s="35">
        <f>SUM(AM82:AN82)/2 + (AQ82/$X$1)</f>
        <v>10.202128133422864</v>
      </c>
      <c r="T82" s="35">
        <f>VLOOKUP(AP82,ggg,3,0)</f>
        <v>15.4</v>
      </c>
      <c r="U82" s="37">
        <f t="shared" si="3"/>
        <v>16.980869553970834</v>
      </c>
      <c r="V82" s="20">
        <f>VLOOKUP(AP82,ggg,12,0)</f>
        <v>8.43</v>
      </c>
      <c r="W82" s="20">
        <f>VLOOKUP(AP82,ggg,20,0)</f>
        <v>28.38</v>
      </c>
      <c r="X82" s="20">
        <f>VLOOKUP(AP82,ggg,32,0)</f>
        <v>3.51</v>
      </c>
      <c r="Y82" s="20">
        <f>VLOOKUP(AP82,ggg,28,0)</f>
        <v>3.96</v>
      </c>
      <c r="Z82" s="33">
        <f>VLOOKUP(AP82,fff,2,0)</f>
        <v>14.66</v>
      </c>
      <c r="AA82" s="33">
        <f>VLOOKUP(AP82,fff,3,0)</f>
        <v>15.1</v>
      </c>
      <c r="AC82">
        <f>C$3*(C$1-C82)/C$2</f>
        <v>-1.1000000000000014</v>
      </c>
      <c r="AD82">
        <f>D$3*(D$1-D82)/D$2</f>
        <v>0</v>
      </c>
      <c r="AE82">
        <f>E$3*(E$1-E82)/E$2</f>
        <v>-0.30999999999999872</v>
      </c>
      <c r="AF82">
        <f>F$3*(F$1-F82)/F$2</f>
        <v>-0.14000000000000057</v>
      </c>
      <c r="AG82">
        <f>G$3*(G$1-G82)/G$2</f>
        <v>5.714285714285719E-2</v>
      </c>
      <c r="AH82">
        <f>H$3*(H$1-H82)/H$2</f>
        <v>-0.18000000000000016</v>
      </c>
      <c r="AI82">
        <f>I$3*(I$1-I82)/I$2</f>
        <v>0</v>
      </c>
      <c r="AJ82">
        <f>(Q82-$M$1)/$M$2</f>
        <v>1.150995</v>
      </c>
      <c r="AK82">
        <f>(J82-$Q$1)/$Q$2</f>
        <v>0.43273169682797646</v>
      </c>
      <c r="AM82" s="3">
        <f>SUM(AC82:AK82)+M82+$T$1</f>
        <v>10.132128133422864</v>
      </c>
      <c r="AN82" s="3">
        <f>SUM(AC82:AK82)+M82+$T$1-AF82-AI82</f>
        <v>10.272128133422864</v>
      </c>
      <c r="AP82" t="str">
        <f>A82&amp;B82</f>
        <v>45523A</v>
      </c>
      <c r="AQ82">
        <f>VLOOKUP(AP82,kut,4,0)</f>
        <v>0</v>
      </c>
      <c r="AS82" s="3">
        <f t="shared" si="4"/>
        <v>16.910869553970834</v>
      </c>
      <c r="AT82" s="3">
        <f t="shared" si="5"/>
        <v>17.050869553970834</v>
      </c>
    </row>
    <row r="83" spans="1:46" hidden="1" x14ac:dyDescent="0.3">
      <c r="A83" s="17">
        <v>45523</v>
      </c>
      <c r="B83" s="18" t="s">
        <v>20</v>
      </c>
      <c r="C83" s="19">
        <v>8.418000000000001</v>
      </c>
      <c r="D83" s="19">
        <v>37.714285714285722</v>
      </c>
      <c r="E83" s="19">
        <v>27.76857142857143</v>
      </c>
      <c r="F83" s="19">
        <v>55.77</v>
      </c>
      <c r="G83" s="19">
        <v>3.96</v>
      </c>
      <c r="H83" s="19">
        <v>3.5371428571428569</v>
      </c>
      <c r="I83" s="19">
        <v>142.42857142857139</v>
      </c>
      <c r="J83" s="19">
        <v>8.7983604397963564</v>
      </c>
      <c r="K83" s="19">
        <v>3.7581421215423258E-4</v>
      </c>
      <c r="L83" s="19">
        <v>3.3065488969310358E-3</v>
      </c>
      <c r="M83" s="19">
        <v>13.32355952971105</v>
      </c>
      <c r="N83" s="19">
        <v>2.64822666676148</v>
      </c>
      <c r="O83" s="19">
        <v>5225</v>
      </c>
      <c r="P83" s="19">
        <v>120.3309396016098</v>
      </c>
      <c r="Q83" s="19">
        <v>1293.76</v>
      </c>
      <c r="R83" s="19">
        <v>13.31681562850474</v>
      </c>
      <c r="S83" s="20">
        <f>SUM(AM83:AN83)/2 + (AQ83/$X$1)</f>
        <v>5.9508568004587659</v>
      </c>
      <c r="T83" s="20">
        <f>VLOOKUP(AP83,ggg,3,0)</f>
        <v>12.94</v>
      </c>
      <c r="U83" s="37">
        <f t="shared" si="3"/>
        <v>12.627297270747718</v>
      </c>
      <c r="V83" s="20">
        <f>VLOOKUP(AP83,ggg,12,0)</f>
        <v>8.6999999999999993</v>
      </c>
      <c r="W83" s="20">
        <f>VLOOKUP(AP83,ggg,20,0)</f>
        <v>27.63</v>
      </c>
      <c r="X83" s="20">
        <f>VLOOKUP(AP83,ggg,32,0)</f>
        <v>3.59</v>
      </c>
      <c r="Y83" s="20">
        <f>VLOOKUP(AP83,ggg,28,0)</f>
        <v>4.04</v>
      </c>
      <c r="Z83" s="33">
        <f>VLOOKUP(AP83,fff,2,0)</f>
        <v>10.5</v>
      </c>
      <c r="AA83" s="33">
        <f>VLOOKUP(AP83,fff,3,0)</f>
        <v>10.97</v>
      </c>
      <c r="AC83">
        <f>C$3*(C$1-C83)/C$2</f>
        <v>-1.0720000000000027</v>
      </c>
      <c r="AD83">
        <f>D$3*(D$1-D83)/D$2</f>
        <v>0</v>
      </c>
      <c r="AE83">
        <f>E$3*(E$1-E83)/E$2</f>
        <v>-1.5585714285714296</v>
      </c>
      <c r="AF83">
        <f>F$3*(F$1-F83)/F$2</f>
        <v>1.4000000000000057</v>
      </c>
      <c r="AG83">
        <f>G$3*(G$1-G83)/G$2</f>
        <v>-0.42857142857142833</v>
      </c>
      <c r="AH83">
        <f>H$3*(H$1-H83)/H$2</f>
        <v>-0.68571428571428505</v>
      </c>
      <c r="AI83">
        <f>I$3*(I$1-I83)/I$2</f>
        <v>0</v>
      </c>
      <c r="AJ83">
        <f>(Q83-$M$1)/$M$2</f>
        <v>-1.903365</v>
      </c>
      <c r="AK83">
        <f>(J83-$Q$1)/$Q$2</f>
        <v>0.5755194136048587</v>
      </c>
      <c r="AM83" s="3">
        <f>SUM(AC83:AK83)+M83+$T$1</f>
        <v>6.6508568004587687</v>
      </c>
      <c r="AN83" s="3">
        <f>SUM(AC83:AK83)+M83+$T$1-AF83-AI83</f>
        <v>5.250856800458763</v>
      </c>
      <c r="AP83" t="str">
        <f>A83&amp;B83</f>
        <v>45523B</v>
      </c>
      <c r="AQ83">
        <f>VLOOKUP(AP83,kut,4,0)</f>
        <v>0</v>
      </c>
      <c r="AS83" s="3">
        <f t="shared" si="4"/>
        <v>13.327297270747721</v>
      </c>
      <c r="AT83" s="3">
        <f t="shared" si="5"/>
        <v>11.927297270747715</v>
      </c>
    </row>
    <row r="84" spans="1:46" hidden="1" x14ac:dyDescent="0.3">
      <c r="A84" s="17">
        <v>45523</v>
      </c>
      <c r="B84" s="18" t="s">
        <v>18</v>
      </c>
      <c r="C84" s="19">
        <v>8.6575000000000006</v>
      </c>
      <c r="D84" s="19">
        <v>38.142857142857153</v>
      </c>
      <c r="E84" s="19">
        <v>27.87142857142857</v>
      </c>
      <c r="F84" s="19">
        <v>54.98</v>
      </c>
      <c r="G84" s="19">
        <v>4.04</v>
      </c>
      <c r="H84" s="19">
        <v>3.5657142857142858</v>
      </c>
      <c r="I84" s="19">
        <v>146</v>
      </c>
      <c r="J84" s="19">
        <v>10.436053469383589</v>
      </c>
      <c r="K84" s="19">
        <v>6.3139311876013442E-3</v>
      </c>
      <c r="L84" s="19">
        <v>6.5892523475816242E-2</v>
      </c>
      <c r="M84" s="19">
        <v>13.31681514441644</v>
      </c>
      <c r="N84" s="19">
        <v>2.6057290162954192E-3</v>
      </c>
      <c r="O84" s="19">
        <v>5225</v>
      </c>
      <c r="P84" s="19">
        <v>120.270043771179</v>
      </c>
      <c r="Q84" s="19">
        <v>19360.080000000002</v>
      </c>
      <c r="R84" s="19">
        <v>13.31681518302068</v>
      </c>
      <c r="S84" s="20">
        <f>SUM(AM84:AN84)/2 + (AQ84/$X$1)</f>
        <v>3.7965259947621286</v>
      </c>
      <c r="T84" s="20">
        <f>VLOOKUP(AP84,ggg,3,0)</f>
        <v>11.08</v>
      </c>
      <c r="U84" s="37">
        <f t="shared" si="3"/>
        <v>10.47971085034569</v>
      </c>
      <c r="V84" s="20">
        <f>VLOOKUP(AP84,ggg,12,0)</f>
        <v>8.4700000000000006</v>
      </c>
      <c r="W84" s="20">
        <f>VLOOKUP(AP84,ggg,20,0)</f>
        <v>26.59</v>
      </c>
      <c r="X84" s="20">
        <f>VLOOKUP(AP84,ggg,32,0)</f>
        <v>3.44</v>
      </c>
      <c r="Y84" s="20">
        <f>VLOOKUP(AP84,ggg,28,0)</f>
        <v>4.04</v>
      </c>
      <c r="Z84" s="33" t="e">
        <f>VLOOKUP(AP84,fff,2,0)</f>
        <v>#N/A</v>
      </c>
      <c r="AA84" s="33" t="e">
        <f>VLOOKUP(AP84,fff,3,0)</f>
        <v>#N/A</v>
      </c>
      <c r="AC84">
        <f>C$3*(C$1-C84)/C$2</f>
        <v>-2.0300000000000011</v>
      </c>
      <c r="AD84">
        <f>D$3*(D$1-D84)/D$2</f>
        <v>0</v>
      </c>
      <c r="AE84">
        <f>E$3*(E$1-E84)/E$2</f>
        <v>-1.6614285714285693</v>
      </c>
      <c r="AF84">
        <f>F$3*(F$1-F84)/F$2</f>
        <v>-0.18000000000000682</v>
      </c>
      <c r="AG84">
        <f>G$3*(G$1-G84)/G$2</f>
        <v>-0.65714285714285703</v>
      </c>
      <c r="AH84">
        <f>H$3*(H$1-H84)/H$2</f>
        <v>-0.82857142857142974</v>
      </c>
      <c r="AI84">
        <f>I$3*(I$1-I84)/I$2</f>
        <v>0</v>
      </c>
      <c r="AJ84">
        <f>(Q84-$M$1)/$M$2</f>
        <v>0.35492500000000016</v>
      </c>
      <c r="AK84">
        <f>(J84-$Q$1)/$Q$2</f>
        <v>-1.6080712925114515</v>
      </c>
      <c r="AM84" s="3">
        <f>SUM(AC84:AK84)+M84+$T$1</f>
        <v>3.7065259947621252</v>
      </c>
      <c r="AN84" s="3">
        <f>SUM(AC84:AK84)+M84+$T$1-AF84-AI84</f>
        <v>3.886525994762132</v>
      </c>
      <c r="AP84" t="str">
        <f>A84&amp;B84</f>
        <v>45523C</v>
      </c>
      <c r="AQ84">
        <f>VLOOKUP(AP84,kut,4,0)</f>
        <v>0</v>
      </c>
      <c r="AS84" s="3">
        <f t="shared" si="4"/>
        <v>10.389710850345686</v>
      </c>
      <c r="AT84" s="3">
        <f t="shared" si="5"/>
        <v>10.569710850345693</v>
      </c>
    </row>
    <row r="85" spans="1:46" x14ac:dyDescent="0.3">
      <c r="A85" s="17">
        <v>45524</v>
      </c>
      <c r="B85" s="18" t="s">
        <v>19</v>
      </c>
      <c r="C85" s="19">
        <v>8.4666666666666668</v>
      </c>
      <c r="D85" s="19">
        <v>38.833333333333343</v>
      </c>
      <c r="E85" s="19">
        <v>26.59333333333333</v>
      </c>
      <c r="F85" s="19">
        <v>54.98</v>
      </c>
      <c r="G85" s="19">
        <v>4.04</v>
      </c>
      <c r="H85" s="19">
        <v>3.436666666666667</v>
      </c>
      <c r="I85" s="19">
        <v>148.5</v>
      </c>
      <c r="J85" s="19">
        <v>6.4726133495870144</v>
      </c>
      <c r="K85" s="19">
        <v>4.1169729628379734E-3</v>
      </c>
      <c r="L85" s="19">
        <v>2.6647574159153871E-2</v>
      </c>
      <c r="M85" s="19">
        <v>13.252646523819291</v>
      </c>
      <c r="N85" s="19">
        <v>2.5866063732768599E-3</v>
      </c>
      <c r="O85" s="19">
        <v>5225</v>
      </c>
      <c r="P85" s="19">
        <v>94.51272689825494</v>
      </c>
      <c r="Q85" s="19">
        <v>12766.08</v>
      </c>
      <c r="R85" s="19">
        <v>13.241294265552231</v>
      </c>
      <c r="S85" s="35">
        <f>SUM(AM85:AN85)/2 + (AQ85/$X$1)</f>
        <v>10.879360867227081</v>
      </c>
      <c r="T85" s="35">
        <f>VLOOKUP(AP85,ggg,3,0)</f>
        <v>13.73</v>
      </c>
      <c r="U85" s="37">
        <f t="shared" si="3"/>
        <v>17.626714343407791</v>
      </c>
      <c r="V85" s="20">
        <f>VLOOKUP(AP85,ggg,12,0)</f>
        <v>8.15</v>
      </c>
      <c r="W85" s="20">
        <f>VLOOKUP(AP85,ggg,20,0)</f>
        <v>26.4</v>
      </c>
      <c r="X85" s="20">
        <f>VLOOKUP(AP85,ggg,32,0)</f>
        <v>3.34</v>
      </c>
      <c r="Y85" s="20">
        <f>VLOOKUP(AP85,ggg,28,0)</f>
        <v>4.0599999999999996</v>
      </c>
      <c r="Z85" s="33">
        <f>VLOOKUP(AP85,fff,2,0)</f>
        <v>13.72</v>
      </c>
      <c r="AA85" s="33">
        <f>VLOOKUP(AP85,fff,3,0)</f>
        <v>13.73</v>
      </c>
      <c r="AC85">
        <f>C$3*(C$1-C85)/C$2</f>
        <v>-1.2666666666666655</v>
      </c>
      <c r="AD85">
        <f>D$3*(D$1-D85)/D$2</f>
        <v>0</v>
      </c>
      <c r="AE85">
        <f>E$3*(E$1-E85)/E$2</f>
        <v>-0.38333333333332931</v>
      </c>
      <c r="AF85">
        <f>F$3*(F$1-F85)/F$2</f>
        <v>-0.18000000000000682</v>
      </c>
      <c r="AG85">
        <f>G$3*(G$1-G85)/G$2</f>
        <v>-0.65714285714285703</v>
      </c>
      <c r="AH85">
        <f>H$3*(H$1-H85)/H$2</f>
        <v>-0.18333333333333535</v>
      </c>
      <c r="AI85">
        <f>I$3*(I$1-I85)/I$2</f>
        <v>0</v>
      </c>
      <c r="AJ85">
        <f>(Q85-$M$1)/$M$2</f>
        <v>-0.46932500000000005</v>
      </c>
      <c r="AK85">
        <f>(J85-$Q$1)/$Q$2</f>
        <v>3.6765155338839812</v>
      </c>
      <c r="AM85" s="3">
        <f>SUM(AC85:AK85)+M85+$T$1</f>
        <v>10.789360867227078</v>
      </c>
      <c r="AN85" s="3">
        <f>SUM(AC85:AK85)+M85+$T$1-AF85-AI85</f>
        <v>10.969360867227085</v>
      </c>
      <c r="AP85" t="str">
        <f>A85&amp;B85</f>
        <v>45524A</v>
      </c>
      <c r="AQ85">
        <f>VLOOKUP(AP85,kut,4,0)</f>
        <v>0</v>
      </c>
      <c r="AS85" s="3">
        <f t="shared" si="4"/>
        <v>17.536714343407787</v>
      </c>
      <c r="AT85" s="3">
        <f t="shared" si="5"/>
        <v>17.716714343407794</v>
      </c>
    </row>
    <row r="86" spans="1:46" hidden="1" x14ac:dyDescent="0.3">
      <c r="A86" s="17">
        <v>45524</v>
      </c>
      <c r="B86" s="18" t="s">
        <v>20</v>
      </c>
      <c r="C86" s="19">
        <v>8.1980000000000004</v>
      </c>
      <c r="D86" s="19">
        <v>38.714285714285722</v>
      </c>
      <c r="E86" s="19">
        <v>26.12285714285715</v>
      </c>
      <c r="F86" s="19">
        <v>54.44</v>
      </c>
      <c r="G86" s="19">
        <v>4.0599999999999996</v>
      </c>
      <c r="H86" s="19">
        <v>3.4</v>
      </c>
      <c r="I86" s="19">
        <v>142.57142857142861</v>
      </c>
      <c r="J86" s="19">
        <v>9.0261075997455773</v>
      </c>
      <c r="K86" s="19">
        <v>8.4356627102759232E-3</v>
      </c>
      <c r="L86" s="19">
        <v>7.6141199298111889E-2</v>
      </c>
      <c r="M86" s="19">
        <v>13.29464637005267</v>
      </c>
      <c r="N86" s="19">
        <v>2.5948204946623032E-3</v>
      </c>
      <c r="O86" s="19">
        <v>5225</v>
      </c>
      <c r="P86" s="19">
        <v>111.3464311704714</v>
      </c>
      <c r="Q86" s="19">
        <v>30765.08</v>
      </c>
      <c r="R86" s="19">
        <v>16.498684685425861</v>
      </c>
      <c r="S86" s="20">
        <f>SUM(AM86:AN86)/2 + (AQ86/$X$1)</f>
        <v>10.89791004658237</v>
      </c>
      <c r="T86" s="20">
        <f>VLOOKUP(AP86,ggg,3,0)</f>
        <v>13.62</v>
      </c>
      <c r="U86" s="37">
        <f t="shared" si="3"/>
        <v>17.6032636765297</v>
      </c>
      <c r="V86" s="20">
        <f>VLOOKUP(AP86,ggg,12,0)</f>
        <v>8.0500000000000007</v>
      </c>
      <c r="W86" s="20">
        <f>VLOOKUP(AP86,ggg,20,0)</f>
        <v>26.8</v>
      </c>
      <c r="X86" s="20">
        <f>VLOOKUP(AP86,ggg,32,0)</f>
        <v>3.27</v>
      </c>
      <c r="Y86" s="20">
        <f>VLOOKUP(AP86,ggg,28,0)</f>
        <v>3.65</v>
      </c>
      <c r="Z86" s="33">
        <f>VLOOKUP(AP86,fff,2,0)</f>
        <v>13.94</v>
      </c>
      <c r="AA86" s="33">
        <f>VLOOKUP(AP86,fff,3,0)</f>
        <v>13.91</v>
      </c>
      <c r="AC86">
        <f>C$3*(C$1-C86)/C$2</f>
        <v>-0.19200000000000017</v>
      </c>
      <c r="AD86">
        <f>D$3*(D$1-D86)/D$2</f>
        <v>0</v>
      </c>
      <c r="AE86">
        <f>E$3*(E$1-E86)/E$2</f>
        <v>8.7142857142850957E-2</v>
      </c>
      <c r="AF86">
        <f>F$3*(F$1-F86)/F$2</f>
        <v>-1.2600000000000051</v>
      </c>
      <c r="AG86">
        <f>G$3*(G$1-G86)/G$2</f>
        <v>-0.71428571428571297</v>
      </c>
      <c r="AH86">
        <f>H$3*(H$1-H86)/H$2</f>
        <v>0</v>
      </c>
      <c r="AI86">
        <f>I$3*(I$1-I86)/I$2</f>
        <v>0</v>
      </c>
      <c r="AJ86">
        <f>(Q86-$M$1)/$M$2</f>
        <v>1.7805500000000001</v>
      </c>
      <c r="AK86">
        <f>(J86-$Q$1)/$Q$2</f>
        <v>0.27185653367256418</v>
      </c>
      <c r="AM86" s="3">
        <f>SUM(AC86:AK86)+M86+$T$1</f>
        <v>10.267910046582367</v>
      </c>
      <c r="AN86" s="3">
        <f>SUM(AC86:AK86)+M86+$T$1-AF86-AI86</f>
        <v>11.527910046582372</v>
      </c>
      <c r="AP86" t="str">
        <f>A86&amp;B86</f>
        <v>45524B</v>
      </c>
      <c r="AQ86">
        <f>VLOOKUP(AP86,kut,4,0)</f>
        <v>0</v>
      </c>
      <c r="AS86" s="3">
        <f t="shared" si="4"/>
        <v>16.973263676529697</v>
      </c>
      <c r="AT86" s="3">
        <f t="shared" si="5"/>
        <v>18.233263676529702</v>
      </c>
    </row>
    <row r="87" spans="1:46" hidden="1" x14ac:dyDescent="0.3">
      <c r="A87" s="17">
        <v>45524</v>
      </c>
      <c r="B87" s="18" t="s">
        <v>18</v>
      </c>
      <c r="C87" s="19">
        <v>8.0499999999999989</v>
      </c>
      <c r="D87" s="19">
        <v>38.166666666666657</v>
      </c>
      <c r="E87" s="19">
        <v>26.783333333333331</v>
      </c>
      <c r="F87" s="19">
        <v>56.44</v>
      </c>
      <c r="G87" s="19">
        <v>3.65</v>
      </c>
      <c r="H87" s="19">
        <v>3.2433333333333341</v>
      </c>
      <c r="I87" s="19">
        <v>149</v>
      </c>
      <c r="J87" s="19">
        <v>9.9725815645606151</v>
      </c>
      <c r="K87" s="19">
        <v>1.8763595766833111E-3</v>
      </c>
      <c r="L87" s="19">
        <v>1.871214892291875E-2</v>
      </c>
      <c r="M87" s="19">
        <v>23.1281299457061</v>
      </c>
      <c r="N87" s="19">
        <v>4.3367414224947787</v>
      </c>
      <c r="O87" s="19">
        <v>5225</v>
      </c>
      <c r="P87" s="19">
        <v>81.383379919121921</v>
      </c>
      <c r="Q87" s="19">
        <v>7571.1600000000008</v>
      </c>
      <c r="R87" s="19">
        <v>18.92741508743082</v>
      </c>
      <c r="S87" s="20">
        <f>SUM(AM87:AN87)/2 + (AQ87/$X$1)</f>
        <v>20.456474050101473</v>
      </c>
      <c r="T87" s="20">
        <f>VLOOKUP(AP87,ggg,3,0)</f>
        <v>14.1</v>
      </c>
      <c r="U87" s="37">
        <f t="shared" si="3"/>
        <v>17.328344104395374</v>
      </c>
      <c r="V87" s="20">
        <f>VLOOKUP(AP87,ggg,12,0)</f>
        <v>8.15</v>
      </c>
      <c r="W87" s="20">
        <f>VLOOKUP(AP87,ggg,20,0)</f>
        <v>26.16</v>
      </c>
      <c r="X87" s="20">
        <f>VLOOKUP(AP87,ggg,32,0)</f>
        <v>3.25</v>
      </c>
      <c r="Y87" s="20">
        <f>VLOOKUP(AP87,ggg,28,0)</f>
        <v>3.65</v>
      </c>
      <c r="Z87" s="33" t="e">
        <f>VLOOKUP(AP87,fff,2,0)</f>
        <v>#N/A</v>
      </c>
      <c r="AA87" s="33" t="e">
        <f>VLOOKUP(AP87,fff,3,0)</f>
        <v>#N/A</v>
      </c>
      <c r="AC87">
        <f>C$3*(C$1-C87)/C$2</f>
        <v>0.40000000000000568</v>
      </c>
      <c r="AD87">
        <f>D$3*(D$1-D87)/D$2</f>
        <v>0</v>
      </c>
      <c r="AE87">
        <f>E$3*(E$1-E87)/E$2</f>
        <v>-0.57333333333333059</v>
      </c>
      <c r="AF87">
        <f>F$3*(F$1-F87)/F$2</f>
        <v>2.7399999999999949</v>
      </c>
      <c r="AG87">
        <f>G$3*(G$1-G87)/G$2</f>
        <v>0.45714285714285752</v>
      </c>
      <c r="AH87">
        <f>H$3*(H$1-H87)/H$2</f>
        <v>0.78333333333332922</v>
      </c>
      <c r="AI87">
        <f>I$3*(I$1-I87)/I$2</f>
        <v>0</v>
      </c>
      <c r="AJ87">
        <f>(Q87-$M$1)/$M$2</f>
        <v>-1.11869</v>
      </c>
      <c r="AK87">
        <f>(J87-$Q$1)/$Q$2</f>
        <v>-0.99010875274748622</v>
      </c>
      <c r="AM87" s="3">
        <f>SUM(AC87:AK87)+M87+$T$1</f>
        <v>21.826474050101471</v>
      </c>
      <c r="AN87" s="3">
        <f>SUM(AC87:AK87)+M87+$T$1-AF87-AI87</f>
        <v>19.086474050101476</v>
      </c>
      <c r="AP87" t="str">
        <f>A87&amp;B87</f>
        <v>45524C</v>
      </c>
      <c r="AQ87">
        <f>VLOOKUP(AP87,kut,4,0)</f>
        <v>0</v>
      </c>
      <c r="AS87" s="3">
        <f t="shared" si="4"/>
        <v>18.698344104395371</v>
      </c>
      <c r="AT87" s="3">
        <f t="shared" si="5"/>
        <v>15.958344104395376</v>
      </c>
    </row>
    <row r="88" spans="1:46" x14ac:dyDescent="0.3">
      <c r="A88" s="17">
        <v>45525</v>
      </c>
      <c r="B88" s="18" t="s">
        <v>19</v>
      </c>
      <c r="C88" s="19">
        <v>8.15</v>
      </c>
      <c r="D88" s="19">
        <v>37.833333333333343</v>
      </c>
      <c r="E88" s="19">
        <v>26.158333333333331</v>
      </c>
      <c r="F88" s="19">
        <v>56.43</v>
      </c>
      <c r="G88" s="19">
        <v>3.65</v>
      </c>
      <c r="H88" s="19">
        <v>3.246666666666667</v>
      </c>
      <c r="I88" s="19">
        <v>147.33333333333329</v>
      </c>
      <c r="J88" s="19">
        <v>6.5827179589794893</v>
      </c>
      <c r="K88" s="19">
        <v>1.6939277308347369E-3</v>
      </c>
      <c r="L88" s="19">
        <v>1.1150648494979201E-2</v>
      </c>
      <c r="M88" s="19">
        <v>23.048764941891161</v>
      </c>
      <c r="N88" s="19">
        <v>1.1472832844946459</v>
      </c>
      <c r="O88" s="19">
        <v>5225</v>
      </c>
      <c r="P88" s="19">
        <v>81.332731048773553</v>
      </c>
      <c r="Q88" s="19">
        <v>4569.4799999999996</v>
      </c>
      <c r="R88" s="19">
        <v>19.61365467900459</v>
      </c>
      <c r="S88" s="35">
        <f>SUM(AM88:AN88)/2 + (AQ88/$X$1)</f>
        <v>24.7200505203947</v>
      </c>
      <c r="T88" s="35">
        <f>VLOOKUP(AP88,ggg,3,0)</f>
        <v>22.8</v>
      </c>
      <c r="U88" s="37">
        <f t="shared" si="3"/>
        <v>21.671285578503539</v>
      </c>
      <c r="V88" s="20">
        <f>VLOOKUP(AP88,ggg,12,0)</f>
        <v>7.9</v>
      </c>
      <c r="W88" s="20">
        <f>VLOOKUP(AP88,ggg,20,0)</f>
        <v>25.9</v>
      </c>
      <c r="X88" s="20">
        <f>VLOOKUP(AP88,ggg,32,0)</f>
        <v>3.32</v>
      </c>
      <c r="Y88" s="20">
        <f>VLOOKUP(AP88,ggg,28,0)</f>
        <v>3.65</v>
      </c>
      <c r="Z88" s="33">
        <f>VLOOKUP(AP88,fff,2,0)</f>
        <v>22.68</v>
      </c>
      <c r="AA88" s="33">
        <f>VLOOKUP(AP88,fff,3,0)</f>
        <v>23.05</v>
      </c>
      <c r="AC88">
        <f>C$3*(C$1-C88)/C$2</f>
        <v>0</v>
      </c>
      <c r="AD88">
        <f>D$3*(D$1-D88)/D$2</f>
        <v>0</v>
      </c>
      <c r="AE88">
        <f>E$3*(E$1-E88)/E$2</f>
        <v>5.1666666666669414E-2</v>
      </c>
      <c r="AF88">
        <f>F$3*(F$1-F88)/F$2</f>
        <v>2.7199999999999989</v>
      </c>
      <c r="AG88">
        <f>G$3*(G$1-G88)/G$2</f>
        <v>0.45714285714285752</v>
      </c>
      <c r="AH88">
        <f>H$3*(H$1-H88)/H$2</f>
        <v>0.76666666666666439</v>
      </c>
      <c r="AI88">
        <f>I$3*(I$1-I88)/I$2</f>
        <v>0</v>
      </c>
      <c r="AJ88">
        <f>(Q88-$M$1)/$M$2</f>
        <v>-1.4939</v>
      </c>
      <c r="AK88">
        <f>(J88-$Q$1)/$Q$2</f>
        <v>3.529709388027348</v>
      </c>
      <c r="AM88" s="3">
        <f>SUM(AC88:AK88)+M88+$T$1</f>
        <v>26.0800505203947</v>
      </c>
      <c r="AN88" s="3">
        <f>SUM(AC88:AK88)+M88+$T$1-AF88-AI88</f>
        <v>23.360050520394701</v>
      </c>
      <c r="AP88" t="str">
        <f>A88&amp;B88</f>
        <v>45525A</v>
      </c>
      <c r="AQ88">
        <f>VLOOKUP(AP88,kut,4,0)</f>
        <v>0</v>
      </c>
      <c r="AS88" s="3">
        <f t="shared" si="4"/>
        <v>23.031285578503539</v>
      </c>
      <c r="AT88" s="3">
        <f t="shared" si="5"/>
        <v>20.31128557850354</v>
      </c>
    </row>
    <row r="89" spans="1:46" hidden="1" x14ac:dyDescent="0.3">
      <c r="A89" s="17">
        <v>45525</v>
      </c>
      <c r="B89" s="18" t="s">
        <v>20</v>
      </c>
      <c r="C89" s="19">
        <v>7.9249999999999998</v>
      </c>
      <c r="D89" s="19">
        <v>38.200000000000003</v>
      </c>
      <c r="E89" s="19">
        <v>25.582000000000001</v>
      </c>
      <c r="F89" s="19">
        <v>55.79</v>
      </c>
      <c r="G89" s="19">
        <v>3.65</v>
      </c>
      <c r="H89" s="19">
        <v>3.351999999999999</v>
      </c>
      <c r="I89" s="19">
        <v>145</v>
      </c>
      <c r="J89" s="19">
        <v>11.622310993163699</v>
      </c>
      <c r="K89" s="19">
        <v>2.9094549099118001E-3</v>
      </c>
      <c r="L89" s="19">
        <v>3.3814589783582032E-2</v>
      </c>
      <c r="M89" s="19">
        <v>20.626338895823981</v>
      </c>
      <c r="N89" s="19">
        <v>7.9342907893482684</v>
      </c>
      <c r="O89" s="19">
        <v>5225</v>
      </c>
      <c r="P89" s="19">
        <v>105.3862345323075</v>
      </c>
      <c r="Q89" s="19">
        <v>8715.44</v>
      </c>
      <c r="R89" s="19">
        <v>18.594758347659269</v>
      </c>
      <c r="S89" s="20">
        <f>SUM(AM89:AN89)/2 + (AQ89/$X$1)</f>
        <v>16.406078762081911</v>
      </c>
      <c r="T89" s="20">
        <f>VLOOKUP(AP89,ggg,3,0)</f>
        <v>18.84</v>
      </c>
      <c r="U89" s="37">
        <f t="shared" si="3"/>
        <v>15.77973986625793</v>
      </c>
      <c r="V89" s="20">
        <f>VLOOKUP(AP89,ggg,12,0)</f>
        <v>8.08</v>
      </c>
      <c r="W89" s="20">
        <f>VLOOKUP(AP89,ggg,20,0)</f>
        <v>26.9</v>
      </c>
      <c r="X89" s="20">
        <f>VLOOKUP(AP89,ggg,32,0)</f>
        <v>3.39</v>
      </c>
      <c r="Y89" s="20">
        <f>VLOOKUP(AP89,ggg,28,0)</f>
        <v>3.65</v>
      </c>
      <c r="Z89" s="33">
        <f>VLOOKUP(AP89,fff,2,0)</f>
        <v>14.13</v>
      </c>
      <c r="AA89" s="33">
        <f>VLOOKUP(AP89,fff,3,0)</f>
        <v>16.170000000000002</v>
      </c>
      <c r="AC89">
        <f>C$3*(C$1-C89)/C$2</f>
        <v>0.90000000000000213</v>
      </c>
      <c r="AD89">
        <f>D$3*(D$1-D89)/D$2</f>
        <v>0</v>
      </c>
      <c r="AE89">
        <f>E$3*(E$1-E89)/E$2</f>
        <v>0.628</v>
      </c>
      <c r="AF89">
        <f>F$3*(F$1-F89)/F$2</f>
        <v>1.4399999999999975</v>
      </c>
      <c r="AG89">
        <f>G$3*(G$1-G89)/G$2</f>
        <v>0.45714285714285752</v>
      </c>
      <c r="AH89">
        <f>H$3*(H$1-H89)/H$2</f>
        <v>0.24000000000000465</v>
      </c>
      <c r="AI89">
        <f>I$3*(I$1-I89)/I$2</f>
        <v>0</v>
      </c>
      <c r="AJ89">
        <f>(Q89-$M$1)/$M$2</f>
        <v>-0.97565499999999994</v>
      </c>
      <c r="AK89">
        <f>(J89-$Q$1)/$Q$2</f>
        <v>-3.189747990884932</v>
      </c>
      <c r="AM89" s="3">
        <f>SUM(AC89:AK89)+M89+$T$1</f>
        <v>17.12607876208191</v>
      </c>
      <c r="AN89" s="3">
        <f>SUM(AC89:AK89)+M89+$T$1-AF89-AI89</f>
        <v>15.686078762081912</v>
      </c>
      <c r="AP89" t="str">
        <f>A89&amp;B89</f>
        <v>45525B</v>
      </c>
      <c r="AQ89">
        <f>VLOOKUP(AP89,kut,4,0)</f>
        <v>0</v>
      </c>
      <c r="AS89" s="3">
        <f t="shared" si="4"/>
        <v>16.499739866257929</v>
      </c>
      <c r="AT89" s="3">
        <f t="shared" si="5"/>
        <v>15.059739866257932</v>
      </c>
    </row>
    <row r="90" spans="1:46" hidden="1" x14ac:dyDescent="0.3">
      <c r="A90" s="17">
        <v>45525</v>
      </c>
      <c r="B90" s="18" t="s">
        <v>18</v>
      </c>
      <c r="C90" s="19">
        <v>8.086666666666666</v>
      </c>
      <c r="D90" s="19">
        <v>38.4</v>
      </c>
      <c r="E90" s="19">
        <v>26.033333333333331</v>
      </c>
      <c r="F90" s="19">
        <v>55.09</v>
      </c>
      <c r="G90" s="19">
        <v>3.65</v>
      </c>
      <c r="H90" s="19">
        <v>3.3879999999999999</v>
      </c>
      <c r="I90" s="19">
        <v>142.6</v>
      </c>
      <c r="J90" s="19">
        <v>10.10217486372099</v>
      </c>
      <c r="K90" s="19">
        <v>8.9673818912667513E-3</v>
      </c>
      <c r="L90" s="19">
        <v>9.0590059935341735E-2</v>
      </c>
      <c r="M90" s="19">
        <v>15.37794368756253</v>
      </c>
      <c r="N90" s="19">
        <v>2.5832048155099122E-3</v>
      </c>
      <c r="O90" s="19">
        <v>5225</v>
      </c>
      <c r="P90" s="19">
        <v>81.196219931192715</v>
      </c>
      <c r="Q90" s="19">
        <v>29730.48</v>
      </c>
      <c r="R90" s="19">
        <v>17.649333901445509</v>
      </c>
      <c r="S90" s="20">
        <f>SUM(AM90:AN90)/2 + (AQ90/$X$1)</f>
        <v>13.833411726410745</v>
      </c>
      <c r="T90" s="20">
        <f>VLOOKUP(AP90,ggg,3,0)</f>
        <v>16.22</v>
      </c>
      <c r="U90" s="37">
        <f t="shared" si="3"/>
        <v>18.455468038848217</v>
      </c>
      <c r="V90" s="20">
        <f>VLOOKUP(AP90,ggg,12,0)</f>
        <v>8.33</v>
      </c>
      <c r="W90" s="20">
        <f>VLOOKUP(AP90,ggg,20,0)</f>
        <v>26.5</v>
      </c>
      <c r="X90" s="20">
        <f>VLOOKUP(AP90,ggg,32,0)</f>
        <v>3.45</v>
      </c>
      <c r="Y90" s="20">
        <f>VLOOKUP(AP90,ggg,28,0)</f>
        <v>3.65</v>
      </c>
      <c r="Z90" s="33" t="e">
        <f>VLOOKUP(AP90,fff,2,0)</f>
        <v>#N/A</v>
      </c>
      <c r="AA90" s="33" t="e">
        <f>VLOOKUP(AP90,fff,3,0)</f>
        <v>#N/A</v>
      </c>
      <c r="AC90">
        <f>C$3*(C$1-C90)/C$2</f>
        <v>0.25333333333333741</v>
      </c>
      <c r="AD90">
        <f>D$3*(D$1-D90)/D$2</f>
        <v>0</v>
      </c>
      <c r="AE90">
        <f>E$3*(E$1-E90)/E$2</f>
        <v>0.17666666666666941</v>
      </c>
      <c r="AF90">
        <f>F$3*(F$1-F90)/F$2</f>
        <v>4.0000000000006253E-2</v>
      </c>
      <c r="AG90">
        <f>G$3*(G$1-G90)/G$2</f>
        <v>0.45714285714285752</v>
      </c>
      <c r="AH90">
        <f>H$3*(H$1-H90)/H$2</f>
        <v>6.000000000000006E-2</v>
      </c>
      <c r="AI90">
        <f>I$3*(I$1-I90)/I$2</f>
        <v>0</v>
      </c>
      <c r="AJ90">
        <f>(Q90-$M$1)/$M$2</f>
        <v>1.6512249999999999</v>
      </c>
      <c r="AK90">
        <f>(J90-$Q$1)/$Q$2</f>
        <v>-1.1628998182946522</v>
      </c>
      <c r="AM90" s="3">
        <f>SUM(AC90:AK90)+M90+$T$1</f>
        <v>13.853411726410748</v>
      </c>
      <c r="AN90" s="3">
        <f>SUM(AC90:AK90)+M90+$T$1-AF90-AI90</f>
        <v>13.813411726410742</v>
      </c>
      <c r="AP90" t="str">
        <f>A90&amp;B90</f>
        <v>45525C</v>
      </c>
      <c r="AQ90">
        <f>VLOOKUP(AP90,kut,4,0)</f>
        <v>0</v>
      </c>
      <c r="AS90" s="3">
        <f t="shared" si="4"/>
        <v>18.47546803884822</v>
      </c>
      <c r="AT90" s="3">
        <f t="shared" si="5"/>
        <v>18.435468038848214</v>
      </c>
    </row>
    <row r="91" spans="1:46" x14ac:dyDescent="0.3">
      <c r="A91" s="17">
        <v>45526</v>
      </c>
      <c r="B91" s="18" t="s">
        <v>19</v>
      </c>
      <c r="C91" s="19">
        <v>8.3333333333333339</v>
      </c>
      <c r="D91" s="19">
        <v>38.666666666666657</v>
      </c>
      <c r="E91" s="19">
        <v>26.5</v>
      </c>
      <c r="F91" s="19">
        <v>55.08</v>
      </c>
      <c r="G91" s="19">
        <v>3.65</v>
      </c>
      <c r="H91" s="19">
        <v>3.4533333333333331</v>
      </c>
      <c r="I91" s="19">
        <v>148.66666666666671</v>
      </c>
      <c r="J91" s="19">
        <v>8.3437362277361213</v>
      </c>
      <c r="K91" s="19">
        <v>3.7298000013672649E-3</v>
      </c>
      <c r="L91" s="19">
        <v>3.1120467393618279E-2</v>
      </c>
      <c r="M91" s="19">
        <v>13.22072403242084</v>
      </c>
      <c r="N91" s="19">
        <v>2.58177013477255E-3</v>
      </c>
      <c r="O91" s="19">
        <v>5225</v>
      </c>
      <c r="P91" s="19">
        <v>81.646668054126224</v>
      </c>
      <c r="Q91" s="19">
        <v>5262.72</v>
      </c>
      <c r="R91" s="19">
        <v>13.69728600108683</v>
      </c>
      <c r="S91" s="25">
        <f>SUM(AM91:AN91)/2 + (AQ91/$X$1)</f>
        <v>9.172306919248868</v>
      </c>
      <c r="T91" s="25">
        <f>VLOOKUP(AP91,ggg,3,0)</f>
        <v>21.37</v>
      </c>
      <c r="U91" s="37">
        <f t="shared" si="3"/>
        <v>15.951582886828028</v>
      </c>
      <c r="V91" s="20">
        <f>VLOOKUP(AP91,ggg,12,0)</f>
        <v>7.85</v>
      </c>
      <c r="W91" s="20">
        <f>VLOOKUP(AP91,ggg,20,0)</f>
        <v>25</v>
      </c>
      <c r="X91" s="20">
        <f>VLOOKUP(AP91,ggg,32,0)</f>
        <v>3.37</v>
      </c>
      <c r="Y91" s="20">
        <f>VLOOKUP(AP91,ggg,28,0)</f>
        <v>3.65</v>
      </c>
      <c r="Z91" s="33">
        <f>VLOOKUP(AP91,fff,2,0)</f>
        <v>17.88</v>
      </c>
      <c r="AA91" s="33">
        <f>VLOOKUP(AP91,fff,3,0)</f>
        <v>20.72</v>
      </c>
      <c r="AC91">
        <f>C$3*(C$1-C91)/C$2</f>
        <v>-0.73333333333333428</v>
      </c>
      <c r="AD91">
        <f>D$3*(D$1-D91)/D$2</f>
        <v>0</v>
      </c>
      <c r="AE91">
        <f>E$3*(E$1-E91)/E$2</f>
        <v>-0.28999999999999915</v>
      </c>
      <c r="AF91">
        <f>F$3*(F$1-F91)/F$2</f>
        <v>1.9999999999996021E-2</v>
      </c>
      <c r="AG91">
        <f>G$3*(G$1-G91)/G$2</f>
        <v>0.45714285714285752</v>
      </c>
      <c r="AH91">
        <f>H$3*(H$1-H91)/H$2</f>
        <v>-0.26666666666666616</v>
      </c>
      <c r="AI91">
        <f>I$3*(I$1-I91)/I$2</f>
        <v>0</v>
      </c>
      <c r="AJ91">
        <f>(Q91-$M$1)/$M$2</f>
        <v>-1.4072449999999999</v>
      </c>
      <c r="AK91">
        <f>(J91-$Q$1)/$Q$2</f>
        <v>1.1816850296851722</v>
      </c>
      <c r="AM91" s="3">
        <f>SUM(AC91:AK91)+M91+$T$1</f>
        <v>9.182306919248866</v>
      </c>
      <c r="AN91" s="3">
        <f>SUM(AC91:AK91)+M91+$T$1-AF91-AI91</f>
        <v>9.16230691924887</v>
      </c>
      <c r="AP91" t="str">
        <f>A91&amp;B91</f>
        <v>45526A</v>
      </c>
      <c r="AQ91">
        <f>VLOOKUP(AP91,kut,4,0)</f>
        <v>0</v>
      </c>
      <c r="AS91" s="3">
        <f t="shared" si="4"/>
        <v>15.961582886828026</v>
      </c>
      <c r="AT91" s="3">
        <f t="shared" si="5"/>
        <v>15.94158288682803</v>
      </c>
    </row>
    <row r="92" spans="1:46" hidden="1" x14ac:dyDescent="0.3">
      <c r="A92" s="17">
        <v>45526</v>
      </c>
      <c r="B92" s="18" t="s">
        <v>20</v>
      </c>
      <c r="C92" s="19">
        <v>7.9124999999999996</v>
      </c>
      <c r="D92" s="19">
        <v>38.75</v>
      </c>
      <c r="E92" s="19">
        <v>25</v>
      </c>
      <c r="F92" s="19">
        <v>55.08</v>
      </c>
      <c r="G92" s="19">
        <v>3.65</v>
      </c>
      <c r="H92" s="19">
        <v>3.38</v>
      </c>
      <c r="I92" s="19">
        <v>145.5</v>
      </c>
      <c r="J92" s="19">
        <v>8.2222470909462846</v>
      </c>
      <c r="K92" s="19">
        <v>2.3433587234429208E-3</v>
      </c>
      <c r="L92" s="19">
        <v>1.9267674446872159E-2</v>
      </c>
      <c r="M92" s="19">
        <v>17.87760471191589</v>
      </c>
      <c r="N92" s="19">
        <v>2.5832053303796688E-3</v>
      </c>
      <c r="O92" s="19">
        <v>5225</v>
      </c>
      <c r="P92" s="19">
        <v>81.234872932478268</v>
      </c>
      <c r="Q92" s="19">
        <v>6499.16</v>
      </c>
      <c r="R92" s="19">
        <v>19.47947548397477</v>
      </c>
      <c r="S92" s="20">
        <f>SUM(AM92:AN92)/2 + (AQ92/$X$1)</f>
        <v>17.695728114463705</v>
      </c>
      <c r="T92" s="20">
        <f>VLOOKUP(AP92,ggg,3,0)</f>
        <v>18.79</v>
      </c>
      <c r="U92" s="37">
        <f t="shared" si="3"/>
        <v>19.818123402547812</v>
      </c>
      <c r="V92" s="20">
        <f>VLOOKUP(AP92,ggg,12,0)</f>
        <v>7.98</v>
      </c>
      <c r="W92" s="20">
        <f>VLOOKUP(AP92,ggg,20,0)</f>
        <v>27.9</v>
      </c>
      <c r="X92" s="20">
        <f>VLOOKUP(AP92,ggg,32,0)</f>
        <v>3.42</v>
      </c>
      <c r="Y92" s="20">
        <f>VLOOKUP(AP92,ggg,28,0)</f>
        <v>3.84</v>
      </c>
      <c r="Z92" s="33">
        <f>VLOOKUP(AP92,fff,2,0)</f>
        <v>17.32</v>
      </c>
      <c r="AA92" s="33">
        <f>VLOOKUP(AP92,fff,3,0)</f>
        <v>17.5</v>
      </c>
      <c r="AC92">
        <f>C$3*(C$1-C92)/C$2</f>
        <v>0.95000000000000284</v>
      </c>
      <c r="AD92">
        <f>D$3*(D$1-D92)/D$2</f>
        <v>0</v>
      </c>
      <c r="AE92">
        <f>E$3*(E$1-E92)/E$2</f>
        <v>1.2100000000000009</v>
      </c>
      <c r="AF92">
        <f>F$3*(F$1-F92)/F$2</f>
        <v>1.9999999999996021E-2</v>
      </c>
      <c r="AG92">
        <f>G$3*(G$1-G92)/G$2</f>
        <v>0.45714285714285752</v>
      </c>
      <c r="AH92">
        <f>H$3*(H$1-H92)/H$2</f>
        <v>0.10000000000000009</v>
      </c>
      <c r="AI92">
        <f>I$3*(I$1-I92)/I$2</f>
        <v>0</v>
      </c>
      <c r="AJ92">
        <f>(Q92-$M$1)/$M$2</f>
        <v>-1.2526900000000001</v>
      </c>
      <c r="AK92">
        <f>(J92-$Q$1)/$Q$2</f>
        <v>1.3436705454049545</v>
      </c>
      <c r="AM92" s="3">
        <f>SUM(AC92:AK92)+M92+$T$1</f>
        <v>17.705728114463703</v>
      </c>
      <c r="AN92" s="3">
        <f>SUM(AC92:AK92)+M92+$T$1-AF92-AI92</f>
        <v>17.685728114463707</v>
      </c>
      <c r="AP92" t="str">
        <f>A92&amp;B92</f>
        <v>45526B</v>
      </c>
      <c r="AQ92">
        <f>VLOOKUP(AP92,kut,4,0)</f>
        <v>0</v>
      </c>
      <c r="AS92" s="3">
        <f t="shared" si="4"/>
        <v>19.82812340254781</v>
      </c>
      <c r="AT92" s="3">
        <f t="shared" si="5"/>
        <v>19.808123402547814</v>
      </c>
    </row>
    <row r="93" spans="1:46" hidden="1" x14ac:dyDescent="0.3">
      <c r="A93" s="17">
        <v>45526</v>
      </c>
      <c r="B93" s="18" t="s">
        <v>18</v>
      </c>
      <c r="C93" s="19">
        <v>8.07</v>
      </c>
      <c r="D93" s="19">
        <v>37.666666666666657</v>
      </c>
      <c r="E93" s="19">
        <v>26.233333333333331</v>
      </c>
      <c r="F93" s="19">
        <v>55.45333333333334</v>
      </c>
      <c r="G93" s="19">
        <v>3.8450000000000002</v>
      </c>
      <c r="H93" s="19">
        <v>3.5066666666666659</v>
      </c>
      <c r="I93" s="19">
        <v>143</v>
      </c>
      <c r="J93" s="19">
        <v>11.164041483129029</v>
      </c>
      <c r="K93" s="19">
        <v>1.1479230034270239E-2</v>
      </c>
      <c r="L93" s="19">
        <v>0.1281546002969737</v>
      </c>
      <c r="M93" s="19">
        <v>15.531383566983131</v>
      </c>
      <c r="N93" s="19">
        <v>2.5971392376256631E-3</v>
      </c>
      <c r="O93" s="19">
        <v>5225</v>
      </c>
      <c r="P93" s="19">
        <v>113.5238384551314</v>
      </c>
      <c r="Q93" s="19">
        <v>41254.76</v>
      </c>
      <c r="R93" s="19">
        <v>16.313391812202241</v>
      </c>
      <c r="S93" s="20">
        <f>SUM(AM93:AN93)/2 + (AQ93/$X$1)</f>
        <v>13.091088256144438</v>
      </c>
      <c r="T93" s="20">
        <f>VLOOKUP(AP93,ggg,3,0)</f>
        <v>16.95</v>
      </c>
      <c r="U93" s="37">
        <f t="shared" si="3"/>
        <v>17.559704689161308</v>
      </c>
      <c r="V93" s="20">
        <f>VLOOKUP(AP93,ggg,12,0)</f>
        <v>8.5500000000000007</v>
      </c>
      <c r="W93" s="20">
        <f>VLOOKUP(AP93,ggg,20,0)</f>
        <v>25.61</v>
      </c>
      <c r="X93" s="20">
        <f>VLOOKUP(AP93,ggg,32,0)</f>
        <v>3.59</v>
      </c>
      <c r="Y93" s="20">
        <f>VLOOKUP(AP93,ggg,28,0)</f>
        <v>3.84</v>
      </c>
      <c r="Z93" s="33" t="e">
        <f>VLOOKUP(AP93,fff,2,0)</f>
        <v>#N/A</v>
      </c>
      <c r="AA93" s="33" t="e">
        <f>VLOOKUP(AP93,fff,3,0)</f>
        <v>#N/A</v>
      </c>
      <c r="AC93">
        <f>C$3*(C$1-C93)/C$2</f>
        <v>0.32000000000000028</v>
      </c>
      <c r="AD93">
        <f>D$3*(D$1-D93)/D$2</f>
        <v>0</v>
      </c>
      <c r="AE93">
        <f>E$3*(E$1-E93)/E$2</f>
        <v>-2.3333333333329872E-2</v>
      </c>
      <c r="AF93">
        <f>F$3*(F$1-F93)/F$2</f>
        <v>0.76666666666667993</v>
      </c>
      <c r="AG93">
        <f>G$3*(G$1-G93)/G$2</f>
        <v>-0.10000000000000041</v>
      </c>
      <c r="AH93">
        <f>H$3*(H$1-H93)/H$2</f>
        <v>-0.53333333333333011</v>
      </c>
      <c r="AI93">
        <f>I$3*(I$1-I93)/I$2</f>
        <v>0</v>
      </c>
      <c r="AJ93">
        <f>(Q93-$M$1)/$M$2</f>
        <v>3.0917600000000003</v>
      </c>
      <c r="AK93">
        <f>(J93-$Q$1)/$Q$2</f>
        <v>-2.578721977505372</v>
      </c>
      <c r="AM93" s="3">
        <f>SUM(AC93:AK93)+M93+$T$1</f>
        <v>13.474421589477778</v>
      </c>
      <c r="AN93" s="3">
        <f>SUM(AC93:AK93)+M93+$T$1-AF93-AI93</f>
        <v>12.707754922811098</v>
      </c>
      <c r="AP93" t="str">
        <f>A93&amp;B93</f>
        <v>45526C</v>
      </c>
      <c r="AQ93">
        <f>VLOOKUP(AP93,kut,4,0)</f>
        <v>0</v>
      </c>
      <c r="AS93" s="3">
        <f t="shared" si="4"/>
        <v>17.943038022494648</v>
      </c>
      <c r="AT93" s="3">
        <f t="shared" si="5"/>
        <v>17.176371355827968</v>
      </c>
    </row>
    <row r="94" spans="1:46" x14ac:dyDescent="0.3">
      <c r="A94" s="17">
        <v>45530</v>
      </c>
      <c r="B94" s="18" t="s">
        <v>19</v>
      </c>
      <c r="C94" s="19">
        <v>8.5500000000000007</v>
      </c>
      <c r="D94" s="19">
        <v>38.666666666666657</v>
      </c>
      <c r="E94" s="19">
        <v>25.61</v>
      </c>
      <c r="F94" s="19">
        <v>55.24</v>
      </c>
      <c r="G94" s="19">
        <v>3.84</v>
      </c>
      <c r="H94" s="19">
        <v>3.586666666666666</v>
      </c>
      <c r="I94" s="19">
        <v>147.33333333333329</v>
      </c>
      <c r="J94" s="19">
        <v>6.9524741128099539</v>
      </c>
      <c r="K94" s="19">
        <v>5.5308730113705256E-3</v>
      </c>
      <c r="L94" s="19">
        <v>3.8453251432792823E-2</v>
      </c>
      <c r="M94" s="19">
        <v>13.27378218910003</v>
      </c>
      <c r="N94" s="19">
        <v>0.38689338544139568</v>
      </c>
      <c r="O94" s="19">
        <v>5225</v>
      </c>
      <c r="P94" s="19">
        <v>102.61268762990051</v>
      </c>
      <c r="Q94" s="19">
        <v>17853.96</v>
      </c>
      <c r="R94" s="19">
        <v>13.26385753974184</v>
      </c>
      <c r="S94" s="35">
        <f>SUM(AM94:AN94)/2 + (AQ94/$X$1)</f>
        <v>12.19086850297248</v>
      </c>
      <c r="T94" s="35">
        <f>VLOOKUP(AP94,ggg,3,0)</f>
        <v>17.36</v>
      </c>
      <c r="U94" s="37">
        <f t="shared" si="3"/>
        <v>18.917086313872449</v>
      </c>
      <c r="V94" s="20">
        <f>VLOOKUP(AP94,ggg,12,0)</f>
        <v>9.1</v>
      </c>
      <c r="W94" s="20">
        <f>VLOOKUP(AP94,ggg,20,0)</f>
        <v>28.8</v>
      </c>
      <c r="X94" s="20">
        <f>VLOOKUP(AP94,ggg,32,0)</f>
        <v>3.7</v>
      </c>
      <c r="Y94" s="20">
        <f>VLOOKUP(AP94,ggg,28,0)</f>
        <v>3.75</v>
      </c>
      <c r="Z94" s="33">
        <f>VLOOKUP(AP94,fff,2,0)</f>
        <v>18.989999999999998</v>
      </c>
      <c r="AA94" s="33">
        <f>VLOOKUP(AP94,fff,3,0)</f>
        <v>17.43</v>
      </c>
      <c r="AC94">
        <f>C$3*(C$1-C94)/C$2</f>
        <v>-1.6000000000000014</v>
      </c>
      <c r="AD94">
        <f>D$3*(D$1-D94)/D$2</f>
        <v>0</v>
      </c>
      <c r="AE94">
        <f>E$3*(E$1-E94)/E$2</f>
        <v>0.60000000000000142</v>
      </c>
      <c r="AF94">
        <f>F$3*(F$1-F94)/F$2</f>
        <v>0.34000000000000341</v>
      </c>
      <c r="AG94">
        <f>G$3*(G$1-G94)/G$2</f>
        <v>-8.5714285714285146E-2</v>
      </c>
      <c r="AH94">
        <f>H$3*(H$1-H94)/H$2</f>
        <v>-0.93333333333333046</v>
      </c>
      <c r="AI94">
        <f>I$3*(I$1-I94)/I$2</f>
        <v>0</v>
      </c>
      <c r="AJ94">
        <f>(Q94-$M$1)/$M$2</f>
        <v>0.16665999999999986</v>
      </c>
      <c r="AK94">
        <f>(J94-$Q$1)/$Q$2</f>
        <v>3.0367011829200621</v>
      </c>
      <c r="AM94" s="3">
        <f>SUM(AC94:AK94)+M94+$T$1</f>
        <v>11.798095752972481</v>
      </c>
      <c r="AN94" s="3">
        <f>SUM(AC94:AK94)+M94+$T$1-AF94-AI94</f>
        <v>11.458095752972477</v>
      </c>
      <c r="AP94" t="str">
        <f>A94&amp;B94</f>
        <v>45530A</v>
      </c>
      <c r="AQ94">
        <f>VLOOKUP(AP94,kut,4,0)</f>
        <v>4502.1820000000007</v>
      </c>
      <c r="AS94" s="3">
        <f t="shared" si="4"/>
        <v>18.52431356387245</v>
      </c>
      <c r="AT94" s="3">
        <f t="shared" si="5"/>
        <v>18.184313563872447</v>
      </c>
    </row>
    <row r="95" spans="1:46" hidden="1" x14ac:dyDescent="0.3">
      <c r="A95" s="17">
        <v>45530</v>
      </c>
      <c r="B95" s="18" t="s">
        <v>20</v>
      </c>
      <c r="C95" s="19">
        <v>8.548</v>
      </c>
      <c r="D95" s="19">
        <v>38.666666666666657</v>
      </c>
      <c r="E95" s="19">
        <v>26.535</v>
      </c>
      <c r="F95" s="19">
        <v>56.12</v>
      </c>
      <c r="G95" s="19">
        <v>3.75</v>
      </c>
      <c r="H95" s="19">
        <v>3.5783333333333331</v>
      </c>
      <c r="I95" s="19">
        <v>133.66666666666671</v>
      </c>
      <c r="J95" s="19">
        <v>10.14654040753889</v>
      </c>
      <c r="K95" s="19">
        <v>4.4453492004987191E-4</v>
      </c>
      <c r="L95" s="19">
        <v>4.5104915288480974E-3</v>
      </c>
      <c r="M95" s="19">
        <v>13.339704236628251</v>
      </c>
      <c r="N95" s="19">
        <v>8.9834115034611042</v>
      </c>
      <c r="O95" s="19">
        <v>5225</v>
      </c>
      <c r="P95" s="19">
        <v>120.4767653530422</v>
      </c>
      <c r="Q95" s="19">
        <v>1250.2</v>
      </c>
      <c r="R95" s="19">
        <v>13.33970436711442</v>
      </c>
      <c r="S95" s="20">
        <f>SUM(AM95:AN95)/2 + (AQ95/$X$1)</f>
        <v>6.6997915146716363</v>
      </c>
      <c r="T95" s="20">
        <f>VLOOKUP(AP95,ggg,3,0)</f>
        <v>9.7100000000000009</v>
      </c>
      <c r="U95" s="37">
        <f t="shared" si="3"/>
        <v>13.360087278043386</v>
      </c>
      <c r="V95" s="20">
        <f>VLOOKUP(AP95,ggg,12,0)</f>
        <v>8.61</v>
      </c>
      <c r="W95" s="20">
        <f>VLOOKUP(AP95,ggg,20,0)</f>
        <v>25.5</v>
      </c>
      <c r="X95" s="20">
        <f>VLOOKUP(AP95,ggg,32,0)</f>
        <v>3.66</v>
      </c>
      <c r="Y95" s="20">
        <f>VLOOKUP(AP95,ggg,28,0)</f>
        <v>4.29</v>
      </c>
      <c r="Z95" s="33">
        <f>VLOOKUP(AP95,fff,2,0)</f>
        <v>8.6</v>
      </c>
      <c r="AA95" s="33">
        <f>VLOOKUP(AP95,fff,3,0)</f>
        <v>9.3800000000000008</v>
      </c>
      <c r="AC95">
        <f>C$3*(C$1-C95)/C$2</f>
        <v>-1.591999999999999</v>
      </c>
      <c r="AD95">
        <f>D$3*(D$1-D95)/D$2</f>
        <v>0</v>
      </c>
      <c r="AE95">
        <f>E$3*(E$1-E95)/E$2</f>
        <v>-0.32499999999999929</v>
      </c>
      <c r="AF95">
        <f>F$3*(F$1-F95)/F$2</f>
        <v>2.0999999999999943</v>
      </c>
      <c r="AG95">
        <f>G$3*(G$1-G95)/G$2</f>
        <v>0.17142857142857157</v>
      </c>
      <c r="AH95">
        <f>H$3*(H$1-H95)/H$2</f>
        <v>-0.89166666666666616</v>
      </c>
      <c r="AI95">
        <f>I$3*(I$1-I95)/I$2</f>
        <v>0</v>
      </c>
      <c r="AJ95">
        <f>(Q95-$M$1)/$M$2</f>
        <v>-1.9088099999999999</v>
      </c>
      <c r="AK95">
        <f>(J95-$Q$1)/$Q$2</f>
        <v>-1.2220538767185189</v>
      </c>
      <c r="AM95" s="3">
        <f>SUM(AC95:AK95)+M95+$T$1</f>
        <v>6.671602264671634</v>
      </c>
      <c r="AN95" s="3">
        <f>SUM(AC95:AK95)+M95+$T$1-AF95-AI95</f>
        <v>4.5716022646716397</v>
      </c>
      <c r="AP95" t="str">
        <f>A95&amp;B95</f>
        <v>45530B</v>
      </c>
      <c r="AQ95">
        <f>VLOOKUP(AP95,kut,4,0)</f>
        <v>8625.5139999999992</v>
      </c>
      <c r="AS95" s="3">
        <f t="shared" si="4"/>
        <v>13.331898028043383</v>
      </c>
      <c r="AT95" s="3">
        <f t="shared" si="5"/>
        <v>11.231898028043389</v>
      </c>
    </row>
    <row r="96" spans="1:46" hidden="1" x14ac:dyDescent="0.3">
      <c r="A96" s="17">
        <v>45530</v>
      </c>
      <c r="B96" s="18" t="s">
        <v>18</v>
      </c>
      <c r="C96" s="19">
        <v>8.7700000000000014</v>
      </c>
      <c r="D96" s="19">
        <v>38.5</v>
      </c>
      <c r="E96" s="19">
        <v>27.333333333333329</v>
      </c>
      <c r="F96" s="19">
        <v>56.47</v>
      </c>
      <c r="G96" s="19">
        <v>4.29</v>
      </c>
      <c r="H96" s="19">
        <v>3.6933333333333329</v>
      </c>
      <c r="I96" s="19">
        <v>143</v>
      </c>
      <c r="J96" s="19">
        <v>10.40971356935877</v>
      </c>
      <c r="K96" s="19">
        <v>4.9215894991794986E-3</v>
      </c>
      <c r="L96" s="19">
        <v>5.1232336992422488E-2</v>
      </c>
      <c r="M96" s="19">
        <v>13.334274511576609</v>
      </c>
      <c r="N96" s="19">
        <v>6.8529287213482064</v>
      </c>
      <c r="O96" s="19">
        <v>5225</v>
      </c>
      <c r="P96" s="19">
        <v>120.4277256488115</v>
      </c>
      <c r="Q96" s="19">
        <v>17450.400000000001</v>
      </c>
      <c r="R96" s="19">
        <v>13.31701195167204</v>
      </c>
      <c r="S96" s="20">
        <f>SUM(AM96:AN96)/2 + (AQ96/$X$1)</f>
        <v>4.6381087643363461</v>
      </c>
      <c r="T96" s="20">
        <f>VLOOKUP(AP96,ggg,3,0)</f>
        <v>9.23</v>
      </c>
      <c r="U96" s="37">
        <f t="shared" si="3"/>
        <v>11.303834252759737</v>
      </c>
      <c r="V96" s="20">
        <f>VLOOKUP(AP96,ggg,12,0)</f>
        <v>8.5</v>
      </c>
      <c r="W96" s="20">
        <f>VLOOKUP(AP96,ggg,20,0)</f>
        <v>25.75</v>
      </c>
      <c r="X96" s="20">
        <f>VLOOKUP(AP96,ggg,32,0)</f>
        <v>3.58</v>
      </c>
      <c r="Y96" s="20">
        <f>VLOOKUP(AP96,ggg,28,0)</f>
        <v>4.29</v>
      </c>
      <c r="Z96" s="33" t="e">
        <f>VLOOKUP(AP96,fff,2,0)</f>
        <v>#N/A</v>
      </c>
      <c r="AA96" s="33" t="e">
        <f>VLOOKUP(AP96,fff,3,0)</f>
        <v>#N/A</v>
      </c>
      <c r="AC96">
        <f>C$3*(C$1-C96)/C$2</f>
        <v>-2.480000000000004</v>
      </c>
      <c r="AD96">
        <f>D$3*(D$1-D96)/D$2</f>
        <v>0</v>
      </c>
      <c r="AE96">
        <f>E$3*(E$1-E96)/E$2</f>
        <v>-1.1233333333333277</v>
      </c>
      <c r="AF96">
        <f>F$3*(F$1-F96)/F$2</f>
        <v>2.7999999999999972</v>
      </c>
      <c r="AG96">
        <f>G$3*(G$1-G96)/G$2</f>
        <v>-1.3714285714285712</v>
      </c>
      <c r="AH96">
        <f>H$3*(H$1-H96)/H$2</f>
        <v>-1.466666666666665</v>
      </c>
      <c r="AI96">
        <f>I$3*(I$1-I96)/I$2</f>
        <v>0</v>
      </c>
      <c r="AJ96">
        <f>(Q96-$M$1)/$M$2</f>
        <v>0.11621500000000015</v>
      </c>
      <c r="AK96">
        <f>(J96-$Q$1)/$Q$2</f>
        <v>-1.5729514258116926</v>
      </c>
      <c r="AM96" s="3">
        <f>SUM(AC96:AK96)+M96+$T$1</f>
        <v>5.236109514336345</v>
      </c>
      <c r="AN96" s="3">
        <f>SUM(AC96:AK96)+M96+$T$1-AF96-AI96</f>
        <v>2.4361095143363478</v>
      </c>
      <c r="AP96" t="str">
        <f>A96&amp;B96</f>
        <v>45530C</v>
      </c>
      <c r="AQ96">
        <f>VLOOKUP(AP96,kut,4,0)</f>
        <v>6415.9939999999988</v>
      </c>
      <c r="AS96" s="3">
        <f t="shared" si="4"/>
        <v>11.901835002759736</v>
      </c>
      <c r="AT96" s="3">
        <f t="shared" si="5"/>
        <v>9.1018350027597386</v>
      </c>
    </row>
    <row r="97" spans="1:46" x14ac:dyDescent="0.3">
      <c r="A97" s="17">
        <v>45531</v>
      </c>
      <c r="B97" s="18" t="s">
        <v>19</v>
      </c>
      <c r="C97" s="19">
        <v>8.5</v>
      </c>
      <c r="D97" s="19">
        <v>38.333333333333343</v>
      </c>
      <c r="E97" s="19">
        <v>25.75333333333333</v>
      </c>
      <c r="F97" s="19">
        <v>56.46</v>
      </c>
      <c r="G97" s="19">
        <v>4.29</v>
      </c>
      <c r="H97" s="19">
        <v>3.583333333333333</v>
      </c>
      <c r="I97" s="19">
        <v>144.83333333333329</v>
      </c>
      <c r="J97" s="19">
        <v>8.6528920092482942</v>
      </c>
      <c r="K97" s="19">
        <v>9.2048380774260134E-3</v>
      </c>
      <c r="L97" s="19">
        <v>7.9648469846583983E-2</v>
      </c>
      <c r="M97" s="19">
        <v>13.317352959262269</v>
      </c>
      <c r="N97" s="19">
        <v>0.21336274711676609</v>
      </c>
      <c r="O97" s="19">
        <v>5225</v>
      </c>
      <c r="P97" s="19">
        <v>120.2748951735079</v>
      </c>
      <c r="Q97" s="19">
        <v>26835.72</v>
      </c>
      <c r="R97" s="19">
        <v>13.31681539450449</v>
      </c>
      <c r="S97" s="35">
        <f>SUM(AM97:AN97)/2 + (AQ97/$X$1)</f>
        <v>11.857522958835981</v>
      </c>
      <c r="T97" s="35">
        <f>VLOOKUP(AP97,ggg,3,0)</f>
        <v>16.239999999999998</v>
      </c>
      <c r="U97" s="37">
        <f t="shared" si="3"/>
        <v>18.54016999957371</v>
      </c>
      <c r="V97" s="20">
        <f>VLOOKUP(AP97,ggg,12,0)</f>
        <v>8.5</v>
      </c>
      <c r="W97" s="20">
        <f>VLOOKUP(AP97,ggg,20,0)</f>
        <v>26.43</v>
      </c>
      <c r="X97" s="20">
        <f>VLOOKUP(AP97,ggg,32,0)</f>
        <v>3.29</v>
      </c>
      <c r="Y97" s="20">
        <f>VLOOKUP(AP97,ggg,28,0)</f>
        <v>4.29</v>
      </c>
      <c r="Z97" s="33">
        <f>VLOOKUP(AP97,fff,2,0)</f>
        <v>15.34</v>
      </c>
      <c r="AA97" s="33">
        <f>VLOOKUP(AP97,fff,3,0)</f>
        <v>16.5</v>
      </c>
      <c r="AC97">
        <f>C$3*(C$1-C97)/C$2</f>
        <v>-1.3999999999999986</v>
      </c>
      <c r="AD97">
        <f>D$3*(D$1-D97)/D$2</f>
        <v>0</v>
      </c>
      <c r="AE97">
        <f>E$3*(E$1-E97)/E$2</f>
        <v>0.45666666666667055</v>
      </c>
      <c r="AF97">
        <f>F$3*(F$1-F97)/F$2</f>
        <v>2.7800000000000011</v>
      </c>
      <c r="AG97">
        <f>G$3*(G$1-G97)/G$2</f>
        <v>-1.3714285714285712</v>
      </c>
      <c r="AH97">
        <f>H$3*(H$1-H97)/H$2</f>
        <v>-0.91666666666666563</v>
      </c>
      <c r="AI97">
        <f>I$3*(I$1-I97)/I$2</f>
        <v>0</v>
      </c>
      <c r="AJ97">
        <f>(Q97-$M$1)/$M$2</f>
        <v>1.2893800000000002</v>
      </c>
      <c r="AK97">
        <f>(J97-$Q$1)/$Q$2</f>
        <v>0.76947732100227506</v>
      </c>
      <c r="AM97" s="3">
        <f>SUM(AC97:AK97)+M97+$T$1</f>
        <v>11.924781708835981</v>
      </c>
      <c r="AN97" s="3">
        <f>SUM(AC97:AK97)+M97+$T$1-AF97-AI97</f>
        <v>9.1447817088359802</v>
      </c>
      <c r="AP97" t="str">
        <f>A97&amp;B97</f>
        <v>45531A</v>
      </c>
      <c r="AQ97">
        <f>VLOOKUP(AP97,kut,4,0)</f>
        <v>10581.929999999998</v>
      </c>
      <c r="AS97" s="3">
        <f t="shared" si="4"/>
        <v>18.60742874957371</v>
      </c>
      <c r="AT97" s="3">
        <f t="shared" si="5"/>
        <v>15.827428749573709</v>
      </c>
    </row>
    <row r="98" spans="1:46" hidden="1" x14ac:dyDescent="0.3">
      <c r="A98" s="17">
        <v>45531</v>
      </c>
      <c r="B98" s="18" t="s">
        <v>20</v>
      </c>
      <c r="C98" s="19">
        <v>8.4160000000000004</v>
      </c>
      <c r="D98" s="19">
        <v>37.333333333333343</v>
      </c>
      <c r="E98" s="19">
        <v>25.51</v>
      </c>
      <c r="F98" s="19">
        <v>57.09</v>
      </c>
      <c r="G98" s="19">
        <v>4.29</v>
      </c>
      <c r="H98" s="19">
        <v>3.3666666666666671</v>
      </c>
      <c r="I98" s="19">
        <v>136.33333333333329</v>
      </c>
      <c r="J98" s="19">
        <v>10.109163054529541</v>
      </c>
      <c r="K98" s="19">
        <v>5.145335148023393E-3</v>
      </c>
      <c r="L98" s="19">
        <v>5.2015031981570377E-2</v>
      </c>
      <c r="M98" s="19">
        <v>15.42157179000294</v>
      </c>
      <c r="N98" s="19">
        <v>7.0401184423675716</v>
      </c>
      <c r="O98" s="19">
        <v>5225</v>
      </c>
      <c r="P98" s="19">
        <v>120.47990851709871</v>
      </c>
      <c r="Q98" s="19">
        <v>16166.48</v>
      </c>
      <c r="R98" s="19">
        <v>13.316842538836131</v>
      </c>
      <c r="S98" s="20">
        <f>SUM(AM98:AN98)/2 + (AQ98/$X$1)</f>
        <v>13.052093604201646</v>
      </c>
      <c r="T98" s="20">
        <f>VLOOKUP(AP98,ggg,3,0)</f>
        <v>14.24</v>
      </c>
      <c r="U98" s="37">
        <f t="shared" si="3"/>
        <v>17.630521814198708</v>
      </c>
      <c r="V98" s="20">
        <f>VLOOKUP(AP98,ggg,12,0)</f>
        <v>8.4600000000000009</v>
      </c>
      <c r="W98" s="20">
        <f>VLOOKUP(AP98,ggg,20,0)</f>
        <v>27.3</v>
      </c>
      <c r="X98" s="20">
        <f>VLOOKUP(AP98,ggg,32,0)</f>
        <v>3.4</v>
      </c>
      <c r="Y98" s="20">
        <f>VLOOKUP(AP98,ggg,28,0)</f>
        <v>4.29</v>
      </c>
      <c r="Z98" s="33">
        <f>VLOOKUP(AP98,fff,2,0)</f>
        <v>10.42</v>
      </c>
      <c r="AA98" s="33">
        <f>VLOOKUP(AP98,fff,3,0)</f>
        <v>13.37</v>
      </c>
      <c r="AC98">
        <f>C$3*(C$1-C98)/C$2</f>
        <v>-1.0640000000000001</v>
      </c>
      <c r="AD98">
        <f>D$3*(D$1-D98)/D$2</f>
        <v>0</v>
      </c>
      <c r="AE98">
        <f>E$3*(E$1-E98)/E$2</f>
        <v>0.69999999999999929</v>
      </c>
      <c r="AF98">
        <f>F$3*(F$1-F98)/F$2</f>
        <v>4.0400000000000063</v>
      </c>
      <c r="AG98">
        <f>G$3*(G$1-G98)/G$2</f>
        <v>-1.3714285714285712</v>
      </c>
      <c r="AH98">
        <f>H$3*(H$1-H98)/H$2</f>
        <v>0.16666666666666385</v>
      </c>
      <c r="AI98">
        <f>I$3*(I$1-I98)/I$2</f>
        <v>0</v>
      </c>
      <c r="AJ98">
        <f>(Q98-$M$1)/$M$2</f>
        <v>-4.4275000000000092E-2</v>
      </c>
      <c r="AK98">
        <f>(J98-$Q$1)/$Q$2</f>
        <v>-1.1722174060393868</v>
      </c>
      <c r="AM98" s="3">
        <f>SUM(AC98:AK98)+M98+$T$1</f>
        <v>13.67631747920165</v>
      </c>
      <c r="AN98" s="3">
        <f>SUM(AC98:AK98)+M98+$T$1-AF98-AI98</f>
        <v>9.6363174792016437</v>
      </c>
      <c r="AP98" t="str">
        <f>A98&amp;B98</f>
        <v>45531B</v>
      </c>
      <c r="AQ98">
        <f>VLOOKUP(AP98,kut,4,0)</f>
        <v>11166.208999999999</v>
      </c>
      <c r="AS98" s="3">
        <f t="shared" si="4"/>
        <v>18.25474568919871</v>
      </c>
      <c r="AT98" s="3">
        <f t="shared" si="5"/>
        <v>14.214745689198704</v>
      </c>
    </row>
    <row r="99" spans="1:46" hidden="1" x14ac:dyDescent="0.3">
      <c r="A99" s="17">
        <v>45531</v>
      </c>
      <c r="B99" s="18" t="s">
        <v>18</v>
      </c>
      <c r="C99" s="19">
        <v>8.41</v>
      </c>
      <c r="D99" s="19">
        <v>38.428571428571431</v>
      </c>
      <c r="E99" s="19">
        <v>26.957142857142859</v>
      </c>
      <c r="F99" s="19">
        <v>57.78</v>
      </c>
      <c r="G99" s="19">
        <v>4.29</v>
      </c>
      <c r="H99" s="19">
        <v>3.4</v>
      </c>
      <c r="I99" s="19">
        <v>146.57142857142861</v>
      </c>
      <c r="J99" s="19">
        <v>10.371704447417031</v>
      </c>
      <c r="K99" s="19">
        <v>8.9702515560100473E-3</v>
      </c>
      <c r="L99" s="19">
        <v>9.3036797957918901E-2</v>
      </c>
      <c r="M99" s="19">
        <v>20.81861450902738</v>
      </c>
      <c r="N99" s="19">
        <v>3.1281568570700302</v>
      </c>
      <c r="O99" s="19">
        <v>5225</v>
      </c>
      <c r="P99" s="19">
        <v>118.9948257793952</v>
      </c>
      <c r="Q99" s="19">
        <v>30324.6</v>
      </c>
      <c r="R99" s="19">
        <v>13.449348177881021</v>
      </c>
      <c r="S99" s="20">
        <f>SUM(AM99:AN99)/2 + (AQ99/$X$1)</f>
        <v>18.509147858899912</v>
      </c>
      <c r="T99" s="20">
        <f>VLOOKUP(AP99,ggg,3,0)</f>
        <v>13.62</v>
      </c>
      <c r="U99" s="37">
        <f t="shared" si="3"/>
        <v>17.690533349872531</v>
      </c>
      <c r="V99" s="20">
        <f>VLOOKUP(AP99,ggg,12,0)</f>
        <v>8.23</v>
      </c>
      <c r="W99" s="20">
        <f>VLOOKUP(AP99,ggg,20,0)</f>
        <v>26.3</v>
      </c>
      <c r="X99" s="20">
        <f>VLOOKUP(AP99,ggg,32,0)</f>
        <v>3.4</v>
      </c>
      <c r="Y99" s="20">
        <f>VLOOKUP(AP99,ggg,28,0)</f>
        <v>4.29</v>
      </c>
      <c r="Z99" s="33" t="e">
        <f>VLOOKUP(AP99,fff,2,0)</f>
        <v>#N/A</v>
      </c>
      <c r="AA99" s="33" t="e">
        <f>VLOOKUP(AP99,fff,3,0)</f>
        <v>#N/A</v>
      </c>
      <c r="AC99">
        <f>C$3*(C$1-C99)/C$2</f>
        <v>-1.0399999999999991</v>
      </c>
      <c r="AD99">
        <f>D$3*(D$1-D99)/D$2</f>
        <v>0</v>
      </c>
      <c r="AE99">
        <f>E$3*(E$1-E99)/E$2</f>
        <v>-0.74714285714285822</v>
      </c>
      <c r="AF99">
        <f>F$3*(F$1-F99)/F$2</f>
        <v>5.4200000000000008</v>
      </c>
      <c r="AG99">
        <f>G$3*(G$1-G99)/G$2</f>
        <v>-1.3714285714285712</v>
      </c>
      <c r="AH99">
        <f>H$3*(H$1-H99)/H$2</f>
        <v>0</v>
      </c>
      <c r="AI99">
        <f>I$3*(I$1-I99)/I$2</f>
        <v>0</v>
      </c>
      <c r="AJ99">
        <f>(Q99-$M$1)/$M$2</f>
        <v>1.7254899999999997</v>
      </c>
      <c r="AK99">
        <f>(J99-$Q$1)/$Q$2</f>
        <v>-1.5222725965560404</v>
      </c>
      <c r="AM99" s="3">
        <f>SUM(AC99:AK99)+M99+$T$1</f>
        <v>20.283260483899912</v>
      </c>
      <c r="AN99" s="3">
        <f>SUM(AC99:AK99)+M99+$T$1-AF99-AI99</f>
        <v>14.863260483899911</v>
      </c>
      <c r="AP99" t="str">
        <f>A99&amp;B99</f>
        <v>45531C</v>
      </c>
      <c r="AQ99">
        <f>VLOOKUP(AP99,kut,4,0)</f>
        <v>7487.0989999999993</v>
      </c>
      <c r="AS99" s="3">
        <f t="shared" si="4"/>
        <v>19.464645974872532</v>
      </c>
      <c r="AT99" s="3">
        <f t="shared" si="5"/>
        <v>14.04464597487253</v>
      </c>
    </row>
    <row r="100" spans="1:46" x14ac:dyDescent="0.3">
      <c r="A100" s="17">
        <v>45532</v>
      </c>
      <c r="B100" s="18" t="s">
        <v>19</v>
      </c>
      <c r="C100" s="19">
        <v>8.2333333333333325</v>
      </c>
      <c r="D100" s="19">
        <v>38.333333333333343</v>
      </c>
      <c r="E100" s="19">
        <v>26.298333333333328</v>
      </c>
      <c r="F100" s="19">
        <v>57.78</v>
      </c>
      <c r="G100" s="19">
        <v>4.29</v>
      </c>
      <c r="H100" s="19">
        <v>3.3966666666666669</v>
      </c>
      <c r="I100" s="19">
        <v>143.66666666666671</v>
      </c>
      <c r="J100" s="19">
        <v>6.9350617452476513</v>
      </c>
      <c r="K100" s="19">
        <v>3.7339164481322721E-3</v>
      </c>
      <c r="L100" s="19">
        <v>2.5894941119393111E-2</v>
      </c>
      <c r="M100" s="19">
        <v>22.50453110406913</v>
      </c>
      <c r="N100" s="19">
        <v>1.5060594176702271</v>
      </c>
      <c r="O100" s="19">
        <v>5225</v>
      </c>
      <c r="P100" s="19">
        <v>109.2445777182848</v>
      </c>
      <c r="Q100" s="19">
        <v>11742.32</v>
      </c>
      <c r="R100" s="19">
        <v>15.62254294089961</v>
      </c>
      <c r="S100" s="36">
        <f>SUM(AM100:AN100)/2 + (AQ100/$X$1)</f>
        <v>24.300844455643702</v>
      </c>
      <c r="T100" s="36">
        <f>VLOOKUP(AP100,ggg,3,0)</f>
        <v>19.86</v>
      </c>
      <c r="U100" s="37">
        <f t="shared" si="3"/>
        <v>21.796313351574572</v>
      </c>
      <c r="V100" s="20">
        <f>VLOOKUP(AP100,ggg,12,0)</f>
        <v>8.33</v>
      </c>
      <c r="W100" s="20">
        <f>VLOOKUP(AP100,ggg,20,0)</f>
        <v>25.6</v>
      </c>
      <c r="X100" s="20">
        <f>VLOOKUP(AP100,ggg,32,0)</f>
        <v>3.41</v>
      </c>
      <c r="Y100" s="20">
        <f>VLOOKUP(AP100,ggg,28,0)</f>
        <v>4.0199999999999996</v>
      </c>
      <c r="Z100" s="33">
        <f>VLOOKUP(AP100,fff,2,0)</f>
        <v>20.399999999999999</v>
      </c>
      <c r="AA100" s="33">
        <f>VLOOKUP(AP100,fff,3,0)</f>
        <v>20.02</v>
      </c>
      <c r="AC100">
        <f>C$3*(C$1-C100)/C$2</f>
        <v>-0.3333333333333286</v>
      </c>
      <c r="AD100">
        <f>D$3*(D$1-D100)/D$2</f>
        <v>0</v>
      </c>
      <c r="AE100">
        <f>E$3*(E$1-E100)/E$2</f>
        <v>-8.8333333333327602E-2</v>
      </c>
      <c r="AF100">
        <f>F$3*(F$1-F100)/F$2</f>
        <v>5.4200000000000008</v>
      </c>
      <c r="AG100">
        <f>G$3*(G$1-G100)/G$2</f>
        <v>-1.3714285714285712</v>
      </c>
      <c r="AH100">
        <f>H$3*(H$1-H100)/H$2</f>
        <v>1.6666666666664831E-2</v>
      </c>
      <c r="AI100">
        <f>I$3*(I$1-I100)/I$2</f>
        <v>0</v>
      </c>
      <c r="AJ100">
        <f>(Q100-$M$1)/$M$2</f>
        <v>-0.59729500000000002</v>
      </c>
      <c r="AK100">
        <f>(J100-$Q$1)/$Q$2</f>
        <v>3.0599176730031323</v>
      </c>
      <c r="AM100" s="3">
        <f>SUM(AC100:AK100)+M100+$T$1</f>
        <v>25.610725205643703</v>
      </c>
      <c r="AN100" s="3">
        <f>SUM(AC100:AK100)+M100+$T$1-AF100-AI100</f>
        <v>20.190725205643702</v>
      </c>
      <c r="AP100" t="str">
        <f>A100&amp;B100</f>
        <v>45532A</v>
      </c>
      <c r="AQ100">
        <f>VLOOKUP(AP100,kut,4,0)</f>
        <v>11200.954</v>
      </c>
      <c r="AS100" s="3">
        <f t="shared" si="4"/>
        <v>23.106194101574573</v>
      </c>
      <c r="AT100" s="3">
        <f t="shared" si="5"/>
        <v>17.686194101574571</v>
      </c>
    </row>
    <row r="101" spans="1:46" hidden="1" x14ac:dyDescent="0.3">
      <c r="A101" s="17">
        <v>45532</v>
      </c>
      <c r="B101" s="18" t="s">
        <v>20</v>
      </c>
      <c r="C101" s="19">
        <v>8.3140000000000001</v>
      </c>
      <c r="D101" s="19">
        <v>37.571428571428569</v>
      </c>
      <c r="E101" s="19">
        <v>25.48714285714286</v>
      </c>
      <c r="F101" s="19">
        <v>56.04</v>
      </c>
      <c r="G101" s="19">
        <v>4.0199999999999996</v>
      </c>
      <c r="H101" s="19">
        <v>3.4085714285714279</v>
      </c>
      <c r="I101" s="19">
        <v>139</v>
      </c>
      <c r="J101" s="19">
        <v>10.72862830764825</v>
      </c>
      <c r="K101" s="19">
        <v>8.5313788432172834E-3</v>
      </c>
      <c r="L101" s="19">
        <v>9.1529992560612339E-2</v>
      </c>
      <c r="M101" s="19">
        <v>15.01415627707356</v>
      </c>
      <c r="N101" s="19">
        <v>3.5695478136860439</v>
      </c>
      <c r="O101" s="19">
        <v>5225</v>
      </c>
      <c r="P101" s="19">
        <v>120.39089808747519</v>
      </c>
      <c r="Q101" s="19">
        <v>29405.200000000001</v>
      </c>
      <c r="R101" s="19">
        <v>14.39640855060104</v>
      </c>
      <c r="S101" s="20">
        <f>SUM(AM101:AN101)/2 + (AQ101/$X$1)</f>
        <v>13.272415325209229</v>
      </c>
      <c r="T101" s="20">
        <f>VLOOKUP(AP101,ggg,3,0)</f>
        <v>20.45</v>
      </c>
      <c r="U101" s="37">
        <f t="shared" si="3"/>
        <v>18.25825904813567</v>
      </c>
      <c r="V101" s="20">
        <f>VLOOKUP(AP101,ggg,12,0)</f>
        <v>8.6</v>
      </c>
      <c r="W101" s="20">
        <f>VLOOKUP(AP101,ggg,20,0)</f>
        <v>26.6</v>
      </c>
      <c r="X101" s="20">
        <f>VLOOKUP(AP101,ggg,32,0)</f>
        <v>3.52</v>
      </c>
      <c r="Y101" s="20">
        <f>VLOOKUP(AP101,ggg,28,0)</f>
        <v>4.0199999999999996</v>
      </c>
      <c r="Z101" s="33">
        <f>VLOOKUP(AP101,fff,2,0)</f>
        <v>14.04</v>
      </c>
      <c r="AA101" s="33">
        <f>VLOOKUP(AP101,fff,3,0)</f>
        <v>14.23</v>
      </c>
      <c r="AC101">
        <f>C$3*(C$1-C101)/C$2</f>
        <v>-0.65599999999999881</v>
      </c>
      <c r="AD101">
        <f>D$3*(D$1-D101)/D$2</f>
        <v>0</v>
      </c>
      <c r="AE101">
        <f>E$3*(E$1-E101)/E$2</f>
        <v>0.72285714285714064</v>
      </c>
      <c r="AF101">
        <f>F$3*(F$1-F101)/F$2</f>
        <v>1.9399999999999977</v>
      </c>
      <c r="AG101">
        <f>G$3*(G$1-G101)/G$2</f>
        <v>-0.59999999999999865</v>
      </c>
      <c r="AH101">
        <f>H$3*(H$1-H101)/H$2</f>
        <v>-4.285714285714004E-2</v>
      </c>
      <c r="AI101">
        <f>I$3*(I$1-I101)/I$2</f>
        <v>0</v>
      </c>
      <c r="AJ101">
        <f>(Q101-$M$1)/$M$2</f>
        <v>1.610565</v>
      </c>
      <c r="AK101">
        <f>(J101-$Q$1)/$Q$2</f>
        <v>-1.9981710768643335</v>
      </c>
      <c r="AM101" s="3">
        <f>SUM(AC101:AK101)+M101+$T$1</f>
        <v>12.990550200209228</v>
      </c>
      <c r="AN101" s="3">
        <f>SUM(AC101:AK101)+M101+$T$1-AF101-AI101</f>
        <v>11.05055020020923</v>
      </c>
      <c r="AP101" t="str">
        <f>A101&amp;B101</f>
        <v>45532B</v>
      </c>
      <c r="AQ101">
        <f>VLOOKUP(AP101,kut,4,0)</f>
        <v>10014.921000000002</v>
      </c>
      <c r="AS101" s="3">
        <f t="shared" si="4"/>
        <v>17.976393923135667</v>
      </c>
      <c r="AT101" s="3">
        <f t="shared" si="5"/>
        <v>16.03639392313567</v>
      </c>
    </row>
    <row r="102" spans="1:46" hidden="1" x14ac:dyDescent="0.3">
      <c r="A102" s="17">
        <v>45532</v>
      </c>
      <c r="B102" s="18" t="s">
        <v>18</v>
      </c>
      <c r="C102" s="19">
        <v>8.6033333333333335</v>
      </c>
      <c r="D102" s="19">
        <v>37.6</v>
      </c>
      <c r="E102" s="19">
        <v>27.22</v>
      </c>
      <c r="F102" s="19">
        <v>56.57</v>
      </c>
      <c r="G102" s="19">
        <v>4.0199999999999996</v>
      </c>
      <c r="H102" s="19">
        <v>3.52</v>
      </c>
      <c r="I102" s="19">
        <v>144.6</v>
      </c>
      <c r="J102" s="19">
        <v>12.05256465078554</v>
      </c>
      <c r="K102" s="19">
        <v>9.2013701007024641E-4</v>
      </c>
      <c r="L102" s="19">
        <v>1.109001080145215E-2</v>
      </c>
      <c r="M102" s="19">
        <v>13.33970439398685</v>
      </c>
      <c r="N102" s="19">
        <v>8.9834114520138204</v>
      </c>
      <c r="O102" s="19">
        <v>5225</v>
      </c>
      <c r="P102" s="19">
        <v>120.4767656299199</v>
      </c>
      <c r="Q102" s="19">
        <v>2844</v>
      </c>
      <c r="R102" s="19">
        <v>13.336107153572041</v>
      </c>
      <c r="S102" s="20">
        <f>SUM(AM102:AN102)/2 + (AQ102/$X$1)</f>
        <v>2.8099234012728012</v>
      </c>
      <c r="T102" s="20">
        <f>VLOOKUP(AP102,ggg,3,0)</f>
        <v>14.23</v>
      </c>
      <c r="U102" s="37">
        <f t="shared" si="3"/>
        <v>9.4702190072859516</v>
      </c>
      <c r="V102" s="20">
        <f>VLOOKUP(AP102,ggg,12,0)</f>
        <v>9</v>
      </c>
      <c r="W102" s="20">
        <f>VLOOKUP(AP102,ggg,20,0)</f>
        <v>25.85</v>
      </c>
      <c r="X102" s="20">
        <f>VLOOKUP(AP102,ggg,32,0)</f>
        <v>3.78</v>
      </c>
      <c r="Y102" s="20">
        <f>VLOOKUP(AP102,ggg,28,0)</f>
        <v>4.0199999999999996</v>
      </c>
      <c r="Z102" s="33" t="e">
        <f>VLOOKUP(AP102,fff,2,0)</f>
        <v>#N/A</v>
      </c>
      <c r="AA102" s="33" t="e">
        <f>VLOOKUP(AP102,fff,3,0)</f>
        <v>#N/A</v>
      </c>
      <c r="AC102">
        <f>C$3*(C$1-C102)/C$2</f>
        <v>-1.8133333333333326</v>
      </c>
      <c r="AD102">
        <f>D$3*(D$1-D102)/D$2</f>
        <v>0</v>
      </c>
      <c r="AE102">
        <f>E$3*(E$1-E102)/E$2</f>
        <v>-1.009999999999998</v>
      </c>
      <c r="AF102">
        <f>F$3*(F$1-F102)/F$2</f>
        <v>3.0000000000000004</v>
      </c>
      <c r="AG102">
        <f>G$3*(G$1-G102)/G$2</f>
        <v>-0.59999999999999865</v>
      </c>
      <c r="AH102">
        <f>H$3*(H$1-H102)/H$2</f>
        <v>-0.60000000000000053</v>
      </c>
      <c r="AI102">
        <f>I$3*(I$1-I102)/I$2</f>
        <v>0</v>
      </c>
      <c r="AJ102">
        <f>(Q102-$M$1)/$M$2</f>
        <v>-1.7095850000000001</v>
      </c>
      <c r="AK102">
        <f>(J102-$Q$1)/$Q$2</f>
        <v>-3.7634195343807186</v>
      </c>
      <c r="AM102" s="3">
        <f>SUM(AC102:AK102)+M102+$T$1</f>
        <v>3.843366526272801</v>
      </c>
      <c r="AN102" s="3">
        <f>SUM(AC102:AK102)+M102+$T$1-AF102-AI102</f>
        <v>0.84336652627280051</v>
      </c>
      <c r="AP102" t="str">
        <f>A102&amp;B102</f>
        <v>45532C</v>
      </c>
      <c r="AQ102">
        <f>VLOOKUP(AP102,kut,4,0)</f>
        <v>3732.4549999999999</v>
      </c>
      <c r="AS102" s="3">
        <f t="shared" si="4"/>
        <v>10.503662132285951</v>
      </c>
      <c r="AT102" s="3">
        <f t="shared" si="5"/>
        <v>7.5036621322859514</v>
      </c>
    </row>
    <row r="103" spans="1:46" x14ac:dyDescent="0.3">
      <c r="A103" s="17">
        <v>45533</v>
      </c>
      <c r="B103" s="18" t="s">
        <v>19</v>
      </c>
      <c r="C103" s="19">
        <v>9</v>
      </c>
      <c r="D103" s="19">
        <v>39</v>
      </c>
      <c r="E103" s="19">
        <v>25.85</v>
      </c>
      <c r="F103" s="19">
        <v>56.57</v>
      </c>
      <c r="G103" s="19">
        <v>4.0199999999999996</v>
      </c>
      <c r="H103" s="19">
        <v>3.78</v>
      </c>
      <c r="I103" s="19">
        <v>152</v>
      </c>
      <c r="J103" s="19">
        <v>6.8978723665005948</v>
      </c>
      <c r="K103" s="19">
        <v>2.1497235202657949E-3</v>
      </c>
      <c r="L103" s="19">
        <v>1.4828518466057801E-2</v>
      </c>
      <c r="M103" s="19">
        <v>13.3397082029469</v>
      </c>
      <c r="N103" s="19">
        <v>8.9834071303846361</v>
      </c>
      <c r="O103" s="19">
        <v>5225</v>
      </c>
      <c r="P103" s="19">
        <v>120.476752592629</v>
      </c>
      <c r="Q103" s="19">
        <v>2407.84</v>
      </c>
      <c r="R103" s="19">
        <v>13.334550412282709</v>
      </c>
      <c r="S103" s="25">
        <f>SUM(AM103:AN103)/2 + (AQ103/$X$1)</f>
        <v>8.9877710892794429</v>
      </c>
      <c r="T103" s="25">
        <f>VLOOKUP(AP103,ggg,3,0)</f>
        <v>10.5</v>
      </c>
      <c r="U103" s="37">
        <f t="shared" si="3"/>
        <v>15.648062886332545</v>
      </c>
      <c r="V103" s="20">
        <f>VLOOKUP(AP103,ggg,12,0)</f>
        <v>8.6</v>
      </c>
      <c r="W103" s="20">
        <f>VLOOKUP(AP103,ggg,20,0)</f>
        <v>25.4</v>
      </c>
      <c r="X103" s="20">
        <f>VLOOKUP(AP103,ggg,32,0)</f>
        <v>3.36</v>
      </c>
      <c r="Y103" s="20">
        <f>VLOOKUP(AP103,ggg,28,0)</f>
        <v>4.0199999999999996</v>
      </c>
      <c r="Z103" s="33">
        <f>VLOOKUP(AP103,fff,2,0)</f>
        <v>9.4600000000000009</v>
      </c>
      <c r="AA103" s="33">
        <f>VLOOKUP(AP103,fff,3,0)</f>
        <v>10.19</v>
      </c>
      <c r="AC103">
        <f>C$3*(C$1-C103)/C$2</f>
        <v>-3.3999999999999986</v>
      </c>
      <c r="AD103">
        <f>D$3*(D$1-D103)/D$2</f>
        <v>0</v>
      </c>
      <c r="AE103">
        <f>E$3*(E$1-E103)/E$2</f>
        <v>0.35999999999999938</v>
      </c>
      <c r="AF103">
        <f>F$3*(F$1-F103)/F$2</f>
        <v>3.0000000000000004</v>
      </c>
      <c r="AG103">
        <f>G$3*(G$1-G103)/G$2</f>
        <v>-0.59999999999999865</v>
      </c>
      <c r="AH103">
        <f>H$3*(H$1-H103)/H$2</f>
        <v>-1.8999999999999995</v>
      </c>
      <c r="AI103">
        <f>I$3*(I$1-I103)/I$2</f>
        <v>0</v>
      </c>
      <c r="AJ103">
        <f>(Q103-$M$1)/$M$2</f>
        <v>-1.764105</v>
      </c>
      <c r="AK103">
        <f>(J103-$Q$1)/$Q$2</f>
        <v>3.1095035113325409</v>
      </c>
      <c r="AM103" s="3">
        <f>SUM(AC103:AK103)+M103+$T$1</f>
        <v>9.1451067142794429</v>
      </c>
      <c r="AN103" s="3">
        <f>SUM(AC103:AK103)+M103+$T$1-AF103-AI103</f>
        <v>6.1451067142794429</v>
      </c>
      <c r="AP103" t="str">
        <f>A103&amp;B103</f>
        <v>45533A</v>
      </c>
      <c r="AQ103">
        <f>VLOOKUP(AP103,kut,4,0)</f>
        <v>10741.315000000001</v>
      </c>
      <c r="AS103" s="3">
        <f t="shared" si="4"/>
        <v>15.805398511332545</v>
      </c>
      <c r="AT103" s="3">
        <f t="shared" si="5"/>
        <v>12.805398511332545</v>
      </c>
    </row>
    <row r="104" spans="1:46" hidden="1" x14ac:dyDescent="0.3">
      <c r="A104" s="17">
        <v>45533</v>
      </c>
      <c r="B104" s="18" t="s">
        <v>20</v>
      </c>
      <c r="C104" s="19">
        <v>8.6</v>
      </c>
      <c r="D104" s="19">
        <v>38.5</v>
      </c>
      <c r="E104" s="19">
        <v>26.563333333333329</v>
      </c>
      <c r="F104" s="19">
        <v>53.19</v>
      </c>
      <c r="G104" s="19">
        <v>4.0199999999999996</v>
      </c>
      <c r="H104" s="19">
        <v>3.4816666666666669</v>
      </c>
      <c r="I104" s="19">
        <v>139.83333333333329</v>
      </c>
      <c r="J104" s="19">
        <v>9.1985811274123446</v>
      </c>
      <c r="K104" s="19">
        <v>3.057679062202643E-3</v>
      </c>
      <c r="L104" s="19">
        <v>2.8126308915261109E-2</v>
      </c>
      <c r="M104" s="19">
        <v>13.31681503638039</v>
      </c>
      <c r="N104" s="19">
        <v>2.5992346672786448E-3</v>
      </c>
      <c r="O104" s="19">
        <v>5225</v>
      </c>
      <c r="P104" s="19">
        <v>120.2700437383734</v>
      </c>
      <c r="Q104" s="19">
        <v>9992.0400000000009</v>
      </c>
      <c r="R104" s="19">
        <v>13.319845275286671</v>
      </c>
      <c r="S104" s="20">
        <f>SUM(AM104:AN104)/2 + (AQ104/$X$1)</f>
        <v>5.8827880748306027</v>
      </c>
      <c r="T104" s="20">
        <f>VLOOKUP(AP104,ggg,3,0)</f>
        <v>12.01</v>
      </c>
      <c r="U104" s="37">
        <f t="shared" si="3"/>
        <v>12.565973038450213</v>
      </c>
      <c r="V104" s="20">
        <f>VLOOKUP(AP104,ggg,12,0)</f>
        <v>8.1</v>
      </c>
      <c r="W104" s="20">
        <f>VLOOKUP(AP104,ggg,20,0)</f>
        <v>26.96</v>
      </c>
      <c r="X104" s="20">
        <f>VLOOKUP(AP104,ggg,32,0)</f>
        <v>3.29</v>
      </c>
      <c r="Y104" s="20">
        <f>VLOOKUP(AP104,ggg,28,0)</f>
        <v>4.0199999999999996</v>
      </c>
      <c r="Z104" s="33">
        <f>VLOOKUP(AP104,fff,2,0)</f>
        <v>14.65</v>
      </c>
      <c r="AA104" s="33">
        <f>VLOOKUP(AP104,fff,3,0)</f>
        <v>14.69</v>
      </c>
      <c r="AC104">
        <f>C$3*(C$1-C104)/C$2</f>
        <v>-1.7999999999999972</v>
      </c>
      <c r="AD104">
        <f>D$3*(D$1-D104)/D$2</f>
        <v>0</v>
      </c>
      <c r="AE104">
        <f>E$3*(E$1-E104)/E$2</f>
        <v>-0.35333333333332817</v>
      </c>
      <c r="AF104">
        <f>F$3*(F$1-F104)/F$2</f>
        <v>-3.7600000000000056</v>
      </c>
      <c r="AG104">
        <f>G$3*(G$1-G104)/G$2</f>
        <v>-0.59999999999999865</v>
      </c>
      <c r="AH104">
        <f>H$3*(H$1-H104)/H$2</f>
        <v>-0.40833333333333499</v>
      </c>
      <c r="AI104">
        <f>I$3*(I$1-I104)/I$2</f>
        <v>0</v>
      </c>
      <c r="AJ104">
        <f>(Q104-$M$1)/$M$2</f>
        <v>-0.81607999999999992</v>
      </c>
      <c r="AK104">
        <f>(J104-$Q$1)/$Q$2</f>
        <v>4.1891830116874473E-2</v>
      </c>
      <c r="AM104" s="3">
        <f>SUM(AC104:AK104)+M104+$T$1</f>
        <v>2.6209601998306002</v>
      </c>
      <c r="AN104" s="3">
        <f>SUM(AC104:AK104)+M104+$T$1-AF104-AI104</f>
        <v>6.3809601998306054</v>
      </c>
      <c r="AP104" t="str">
        <f>A104&amp;B104</f>
        <v>45533B</v>
      </c>
      <c r="AQ104">
        <f>VLOOKUP(AP104,kut,4,0)</f>
        <v>11054.623000000001</v>
      </c>
      <c r="AS104" s="3">
        <f t="shared" si="4"/>
        <v>9.3041451634502099</v>
      </c>
      <c r="AT104" s="3">
        <f t="shared" si="5"/>
        <v>13.064145163450215</v>
      </c>
    </row>
    <row r="105" spans="1:46" hidden="1" x14ac:dyDescent="0.3">
      <c r="A105" s="17">
        <v>45533</v>
      </c>
      <c r="B105" s="18" t="s">
        <v>18</v>
      </c>
      <c r="C105" s="19">
        <v>8.1</v>
      </c>
      <c r="D105" s="19">
        <v>36.833333333333343</v>
      </c>
      <c r="E105" s="19">
        <v>26.75</v>
      </c>
      <c r="F105" s="19">
        <v>53.19</v>
      </c>
      <c r="G105" s="19">
        <v>4.0199999999999996</v>
      </c>
      <c r="H105" s="19">
        <v>3.273333333333333</v>
      </c>
      <c r="I105" s="19">
        <v>143.83333333333329</v>
      </c>
      <c r="J105" s="19">
        <v>8.983901567392989</v>
      </c>
      <c r="K105" s="19">
        <v>5.1112774529737531E-3</v>
      </c>
      <c r="L105" s="19">
        <v>4.5919213521151338E-2</v>
      </c>
      <c r="M105" s="19">
        <v>13.282738567093061</v>
      </c>
      <c r="N105" s="19">
        <v>2.5924676342209811E-3</v>
      </c>
      <c r="O105" s="19">
        <v>5225</v>
      </c>
      <c r="P105" s="19">
        <v>106.5919037306</v>
      </c>
      <c r="Q105" s="19">
        <v>16833.8</v>
      </c>
      <c r="R105" s="19">
        <v>16.966880293450551</v>
      </c>
      <c r="S105" s="20">
        <f>SUM(AM105:AN105)/2 + (AQ105/$X$1)</f>
        <v>9.2442061439024137</v>
      </c>
      <c r="T105" s="20">
        <f>VLOOKUP(AP105,ggg,3,0)</f>
        <v>14.83</v>
      </c>
      <c r="U105" s="37">
        <f t="shared" si="3"/>
        <v>15.961467576809351</v>
      </c>
      <c r="V105" s="20">
        <f>VLOOKUP(AP105,ggg,12,0)</f>
        <v>7.8</v>
      </c>
      <c r="W105" s="20">
        <f>VLOOKUP(AP105,ggg,20,0)</f>
        <v>26.77</v>
      </c>
      <c r="X105" s="20">
        <f>VLOOKUP(AP105,ggg,32,0)</f>
        <v>3.34</v>
      </c>
      <c r="Y105" s="20">
        <f>VLOOKUP(AP105,ggg,28,0)</f>
        <v>4.0199999999999996</v>
      </c>
      <c r="Z105" s="33" t="e">
        <f>VLOOKUP(AP105,fff,2,0)</f>
        <v>#N/A</v>
      </c>
      <c r="AA105" s="33" t="e">
        <f>VLOOKUP(AP105,fff,3,0)</f>
        <v>#N/A</v>
      </c>
      <c r="AC105">
        <f>C$3*(C$1-C105)/C$2</f>
        <v>0.20000000000000284</v>
      </c>
      <c r="AD105">
        <f>D$3*(D$1-D105)/D$2</f>
        <v>0</v>
      </c>
      <c r="AE105">
        <f>E$3*(E$1-E105)/E$2</f>
        <v>-0.53999999999999915</v>
      </c>
      <c r="AF105">
        <f>F$3*(F$1-F105)/F$2</f>
        <v>-3.7600000000000056</v>
      </c>
      <c r="AG105">
        <f>G$3*(G$1-G105)/G$2</f>
        <v>-0.59999999999999865</v>
      </c>
      <c r="AH105">
        <f>H$3*(H$1-H105)/H$2</f>
        <v>0.63333333333333475</v>
      </c>
      <c r="AI105">
        <f>I$3*(I$1-I105)/I$2</f>
        <v>0</v>
      </c>
      <c r="AJ105">
        <f>(Q105-$M$1)/$M$2</f>
        <v>3.9139999999999869E-2</v>
      </c>
      <c r="AK105">
        <f>(J105-$Q$1)/$Q$2</f>
        <v>0.3281312434760153</v>
      </c>
      <c r="AM105" s="3">
        <f>SUM(AC105:AK105)+M105+$T$1</f>
        <v>6.583343143902411</v>
      </c>
      <c r="AN105" s="3">
        <f>SUM(AC105:AK105)+M105+$T$1-AF105-AI105</f>
        <v>10.343343143902416</v>
      </c>
      <c r="AP105" t="str">
        <f>A105&amp;B105</f>
        <v>45533C</v>
      </c>
      <c r="AQ105">
        <f>VLOOKUP(AP105,kut,4,0)</f>
        <v>6246.9040000000005</v>
      </c>
      <c r="AS105" s="3">
        <f t="shared" si="4"/>
        <v>13.300604576809349</v>
      </c>
      <c r="AT105" s="3">
        <f t="shared" si="5"/>
        <v>17.060604576809354</v>
      </c>
    </row>
    <row r="106" spans="1:46" x14ac:dyDescent="0.3">
      <c r="A106" s="17">
        <v>45534</v>
      </c>
      <c r="B106" s="18" t="s">
        <v>19</v>
      </c>
      <c r="C106" s="19">
        <v>7.8</v>
      </c>
      <c r="D106" s="19">
        <v>37.75</v>
      </c>
      <c r="E106" s="19">
        <v>26.135000000000002</v>
      </c>
      <c r="F106" s="19">
        <v>53.19</v>
      </c>
      <c r="G106" s="19">
        <v>4.0199999999999996</v>
      </c>
      <c r="H106" s="19">
        <v>3.3</v>
      </c>
      <c r="I106" s="19">
        <v>143.75</v>
      </c>
      <c r="J106" s="19">
        <v>9.6136977584661825</v>
      </c>
      <c r="K106" s="19">
        <v>1.086045542035332E-2</v>
      </c>
      <c r="L106" s="19">
        <v>0.10440913593057261</v>
      </c>
      <c r="M106" s="19">
        <v>14.134626598343431</v>
      </c>
      <c r="N106" s="19">
        <v>2.588707171301028E-3</v>
      </c>
      <c r="O106" s="19">
        <v>5225</v>
      </c>
      <c r="P106" s="19">
        <v>97.954415837189714</v>
      </c>
      <c r="Q106" s="19">
        <v>35418.920000000013</v>
      </c>
      <c r="R106" s="19">
        <v>21.620903112029399</v>
      </c>
      <c r="S106" s="20">
        <f>SUM(AM106:AN106)/2 + (AQ106/$X$1)</f>
        <v>12.480309587055189</v>
      </c>
      <c r="T106" s="20"/>
      <c r="U106" s="37">
        <f t="shared" si="3"/>
        <v>18.345682988711758</v>
      </c>
      <c r="V106" s="20"/>
      <c r="W106" s="20"/>
      <c r="X106" s="20"/>
      <c r="Y106" s="20"/>
      <c r="Z106" s="33"/>
      <c r="AA106" s="33"/>
      <c r="AC106">
        <f>C$3*(C$1-C106)/C$2</f>
        <v>1.4000000000000019</v>
      </c>
      <c r="AD106">
        <f>D$3*(D$1-D106)/D$2</f>
        <v>0</v>
      </c>
      <c r="AE106">
        <f>E$3*(E$1-E106)/E$2</f>
        <v>7.4999999999999289E-2</v>
      </c>
      <c r="AF106">
        <f>F$3*(F$1-F106)/F$2</f>
        <v>-3.7600000000000056</v>
      </c>
      <c r="AG106">
        <f>G$3*(G$1-G106)/G$2</f>
        <v>-0.59999999999999865</v>
      </c>
      <c r="AH106">
        <f>H$3*(H$1-H106)/H$2</f>
        <v>0.50000000000000044</v>
      </c>
      <c r="AI106">
        <f>I$3*(I$1-I106)/I$2</f>
        <v>0</v>
      </c>
      <c r="AJ106">
        <f>(Q106-$M$1)/$M$2</f>
        <v>2.3622800000000015</v>
      </c>
      <c r="AK106">
        <f>(J106-$Q$1)/$Q$2</f>
        <v>-0.51159701128824275</v>
      </c>
      <c r="AM106" s="3">
        <f>SUM(AC106:AK106)+M106+$T$1</f>
        <v>10.600309587055186</v>
      </c>
      <c r="AN106" s="3">
        <f>SUM(AC106:AK106)+M106+$T$1-AF106-AI106</f>
        <v>14.360309587055191</v>
      </c>
      <c r="AP106" t="str">
        <f>A106&amp;B106</f>
        <v>45534A</v>
      </c>
      <c r="AQ106">
        <v>0</v>
      </c>
      <c r="AS106" s="3">
        <f t="shared" si="4"/>
        <v>16.465682988711755</v>
      </c>
      <c r="AT106" s="3">
        <f t="shared" si="5"/>
        <v>20.22568298871176</v>
      </c>
    </row>
  </sheetData>
  <autoFilter ref="A6:AT106" xr:uid="{6E9F67E8-AF5B-46AB-A7AB-E6FA85A0BABC}">
    <filterColumn colId="1">
      <filters>
        <filter val="A"/>
      </filters>
    </filterColumn>
  </autoFilter>
  <mergeCells count="3">
    <mergeCell ref="C5:I5"/>
    <mergeCell ref="J5:L5"/>
    <mergeCell ref="M5:R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ACCEB-19B3-4E9C-AB6D-8E99C88C001A}">
  <dimension ref="A1:C18"/>
  <sheetViews>
    <sheetView workbookViewId="0">
      <selection sqref="A1:C18"/>
    </sheetView>
  </sheetViews>
  <sheetFormatPr defaultRowHeight="14.4" x14ac:dyDescent="0.3"/>
  <sheetData>
    <row r="1" spans="1:3" x14ac:dyDescent="0.3">
      <c r="A1" t="s">
        <v>664</v>
      </c>
      <c r="B1">
        <v>14.65</v>
      </c>
      <c r="C1">
        <v>14.69</v>
      </c>
    </row>
    <row r="2" spans="1:3" x14ac:dyDescent="0.3">
      <c r="A2" t="s">
        <v>665</v>
      </c>
      <c r="B2">
        <v>9.4600000000000009</v>
      </c>
      <c r="C2">
        <v>10.19</v>
      </c>
    </row>
    <row r="3" spans="1:3" x14ac:dyDescent="0.3">
      <c r="A3" t="s">
        <v>666</v>
      </c>
      <c r="B3">
        <v>14.04</v>
      </c>
      <c r="C3">
        <v>14.23</v>
      </c>
    </row>
    <row r="4" spans="1:3" x14ac:dyDescent="0.3">
      <c r="A4" t="s">
        <v>667</v>
      </c>
      <c r="B4">
        <v>20.399999999999999</v>
      </c>
      <c r="C4">
        <v>20.02</v>
      </c>
    </row>
    <row r="5" spans="1:3" x14ac:dyDescent="0.3">
      <c r="A5" t="s">
        <v>668</v>
      </c>
      <c r="B5">
        <v>10.42</v>
      </c>
      <c r="C5">
        <v>13.37</v>
      </c>
    </row>
    <row r="6" spans="1:3" x14ac:dyDescent="0.3">
      <c r="A6" t="s">
        <v>669</v>
      </c>
      <c r="B6">
        <v>15.34</v>
      </c>
      <c r="C6">
        <v>16.5</v>
      </c>
    </row>
    <row r="7" spans="1:3" x14ac:dyDescent="0.3">
      <c r="A7" t="s">
        <v>670</v>
      </c>
      <c r="B7">
        <v>8.6</v>
      </c>
      <c r="C7">
        <v>9.3800000000000008</v>
      </c>
    </row>
    <row r="8" spans="1:3" x14ac:dyDescent="0.3">
      <c r="A8" t="s">
        <v>671</v>
      </c>
      <c r="B8">
        <v>18.989999999999998</v>
      </c>
      <c r="C8">
        <v>17.43</v>
      </c>
    </row>
    <row r="9" spans="1:3" x14ac:dyDescent="0.3">
      <c r="A9" t="s">
        <v>672</v>
      </c>
      <c r="B9">
        <v>17.32</v>
      </c>
      <c r="C9">
        <v>17.5</v>
      </c>
    </row>
    <row r="10" spans="1:3" x14ac:dyDescent="0.3">
      <c r="A10" t="s">
        <v>673</v>
      </c>
      <c r="B10">
        <v>17.88</v>
      </c>
      <c r="C10">
        <v>20.72</v>
      </c>
    </row>
    <row r="11" spans="1:3" x14ac:dyDescent="0.3">
      <c r="A11" t="s">
        <v>674</v>
      </c>
      <c r="B11">
        <v>14.13</v>
      </c>
      <c r="C11">
        <v>16.170000000000002</v>
      </c>
    </row>
    <row r="12" spans="1:3" x14ac:dyDescent="0.3">
      <c r="A12" t="s">
        <v>675</v>
      </c>
      <c r="B12">
        <v>22.68</v>
      </c>
      <c r="C12">
        <v>23.05</v>
      </c>
    </row>
    <row r="13" spans="1:3" x14ac:dyDescent="0.3">
      <c r="A13" t="s">
        <v>676</v>
      </c>
      <c r="B13">
        <v>13.94</v>
      </c>
      <c r="C13">
        <v>13.91</v>
      </c>
    </row>
    <row r="14" spans="1:3" x14ac:dyDescent="0.3">
      <c r="A14" t="s">
        <v>677</v>
      </c>
      <c r="B14">
        <v>13.72</v>
      </c>
      <c r="C14">
        <v>13.73</v>
      </c>
    </row>
    <row r="15" spans="1:3" x14ac:dyDescent="0.3">
      <c r="A15" t="s">
        <v>678</v>
      </c>
      <c r="B15">
        <v>10.5</v>
      </c>
      <c r="C15">
        <v>10.97</v>
      </c>
    </row>
    <row r="16" spans="1:3" x14ac:dyDescent="0.3">
      <c r="A16" t="s">
        <v>679</v>
      </c>
      <c r="B16">
        <v>14.66</v>
      </c>
      <c r="C16">
        <v>15.1</v>
      </c>
    </row>
    <row r="17" spans="1:3" x14ac:dyDescent="0.3">
      <c r="A17" t="s">
        <v>680</v>
      </c>
      <c r="B17">
        <v>15.72</v>
      </c>
      <c r="C17">
        <v>16.93</v>
      </c>
    </row>
    <row r="18" spans="1:3" x14ac:dyDescent="0.3">
      <c r="A18" t="s">
        <v>681</v>
      </c>
      <c r="B18">
        <v>22.77</v>
      </c>
      <c r="C18">
        <v>20.83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8206D-7F8A-4D32-93BB-D93DABB844EC}">
  <dimension ref="A1:D105"/>
  <sheetViews>
    <sheetView workbookViewId="0">
      <selection activeCell="A2" sqref="A2:D105"/>
    </sheetView>
  </sheetViews>
  <sheetFormatPr defaultRowHeight="14.4" x14ac:dyDescent="0.3"/>
  <sheetData>
    <row r="1" spans="1:4" x14ac:dyDescent="0.3">
      <c r="B1" s="22" t="s">
        <v>97</v>
      </c>
      <c r="C1" s="22" t="s">
        <v>98</v>
      </c>
      <c r="D1" s="22" t="s">
        <v>662</v>
      </c>
    </row>
    <row r="2" spans="1:4" x14ac:dyDescent="0.3">
      <c r="A2" t="str">
        <f>B2&amp;C2</f>
        <v>45482A</v>
      </c>
      <c r="B2" s="23">
        <v>45482</v>
      </c>
      <c r="C2" t="s">
        <v>19</v>
      </c>
      <c r="D2">
        <v>1036.68</v>
      </c>
    </row>
    <row r="3" spans="1:4" x14ac:dyDescent="0.3">
      <c r="A3" t="str">
        <f t="shared" ref="A3:A66" si="0">B3&amp;C3</f>
        <v>45482B</v>
      </c>
      <c r="B3" s="23">
        <v>45482</v>
      </c>
      <c r="C3" t="s">
        <v>20</v>
      </c>
      <c r="D3">
        <v>3997.2719999999999</v>
      </c>
    </row>
    <row r="4" spans="1:4" x14ac:dyDescent="0.3">
      <c r="A4" t="str">
        <f t="shared" si="0"/>
        <v>45482C</v>
      </c>
      <c r="B4" s="24">
        <v>45482</v>
      </c>
      <c r="C4" t="s">
        <v>18</v>
      </c>
      <c r="D4">
        <v>0</v>
      </c>
    </row>
    <row r="5" spans="1:4" x14ac:dyDescent="0.3">
      <c r="A5" t="str">
        <f t="shared" si="0"/>
        <v>45483A</v>
      </c>
      <c r="B5" s="23">
        <v>45483</v>
      </c>
      <c r="C5" t="s">
        <v>19</v>
      </c>
      <c r="D5">
        <v>0</v>
      </c>
    </row>
    <row r="6" spans="1:4" x14ac:dyDescent="0.3">
      <c r="A6" t="str">
        <f t="shared" si="0"/>
        <v>45483B</v>
      </c>
      <c r="B6" s="23">
        <v>45483</v>
      </c>
      <c r="C6" t="s">
        <v>20</v>
      </c>
      <c r="D6">
        <v>0</v>
      </c>
    </row>
    <row r="7" spans="1:4" x14ac:dyDescent="0.3">
      <c r="A7" t="str">
        <f t="shared" si="0"/>
        <v>45483C</v>
      </c>
      <c r="B7" s="24">
        <v>45483</v>
      </c>
      <c r="C7" t="s">
        <v>18</v>
      </c>
      <c r="D7">
        <v>0</v>
      </c>
    </row>
    <row r="8" spans="1:4" x14ac:dyDescent="0.3">
      <c r="A8" t="str">
        <f t="shared" si="0"/>
        <v>45484A</v>
      </c>
      <c r="B8" s="23">
        <v>45484</v>
      </c>
      <c r="C8" t="s">
        <v>19</v>
      </c>
      <c r="D8">
        <v>0</v>
      </c>
    </row>
    <row r="9" spans="1:4" x14ac:dyDescent="0.3">
      <c r="A9" t="str">
        <f t="shared" si="0"/>
        <v>45484B</v>
      </c>
      <c r="B9" s="23">
        <v>45484</v>
      </c>
      <c r="C9" t="s">
        <v>20</v>
      </c>
      <c r="D9">
        <v>0</v>
      </c>
    </row>
    <row r="10" spans="1:4" x14ac:dyDescent="0.3">
      <c r="A10" t="str">
        <f t="shared" si="0"/>
        <v>45484C</v>
      </c>
      <c r="B10" s="24">
        <v>45484</v>
      </c>
      <c r="C10" t="s">
        <v>18</v>
      </c>
      <c r="D10">
        <v>0</v>
      </c>
    </row>
    <row r="11" spans="1:4" x14ac:dyDescent="0.3">
      <c r="A11" t="str">
        <f t="shared" si="0"/>
        <v>45485A</v>
      </c>
      <c r="B11" s="23">
        <v>45485</v>
      </c>
      <c r="C11" t="s">
        <v>19</v>
      </c>
      <c r="D11">
        <v>0</v>
      </c>
    </row>
    <row r="12" spans="1:4" x14ac:dyDescent="0.3">
      <c r="A12" t="str">
        <f t="shared" si="0"/>
        <v>45485B</v>
      </c>
      <c r="B12" s="23">
        <v>45485</v>
      </c>
      <c r="C12" t="s">
        <v>20</v>
      </c>
      <c r="D12">
        <v>0</v>
      </c>
    </row>
    <row r="13" spans="1:4" x14ac:dyDescent="0.3">
      <c r="A13" t="str">
        <f t="shared" si="0"/>
        <v>45485C</v>
      </c>
      <c r="B13" s="24">
        <v>45485</v>
      </c>
      <c r="C13" t="s">
        <v>18</v>
      </c>
      <c r="D13">
        <v>0</v>
      </c>
    </row>
    <row r="14" spans="1:4" x14ac:dyDescent="0.3">
      <c r="A14" t="str">
        <f t="shared" si="0"/>
        <v>45488A</v>
      </c>
      <c r="B14" s="23">
        <v>45488</v>
      </c>
      <c r="C14" t="s">
        <v>19</v>
      </c>
      <c r="D14">
        <v>0</v>
      </c>
    </row>
    <row r="15" spans="1:4" x14ac:dyDescent="0.3">
      <c r="A15" t="str">
        <f t="shared" si="0"/>
        <v>45488B</v>
      </c>
      <c r="B15" s="23">
        <v>45488</v>
      </c>
      <c r="C15" t="s">
        <v>20</v>
      </c>
      <c r="D15">
        <v>0</v>
      </c>
    </row>
    <row r="16" spans="1:4" x14ac:dyDescent="0.3">
      <c r="A16" t="str">
        <f t="shared" si="0"/>
        <v>45488C</v>
      </c>
      <c r="B16" s="24">
        <v>45488</v>
      </c>
      <c r="C16" t="s">
        <v>18</v>
      </c>
      <c r="D16">
        <v>0</v>
      </c>
    </row>
    <row r="17" spans="1:4" x14ac:dyDescent="0.3">
      <c r="A17" t="str">
        <f t="shared" si="0"/>
        <v>45489A</v>
      </c>
      <c r="B17" s="23">
        <v>45489</v>
      </c>
      <c r="C17" t="s">
        <v>19</v>
      </c>
      <c r="D17">
        <v>0</v>
      </c>
    </row>
    <row r="18" spans="1:4" x14ac:dyDescent="0.3">
      <c r="A18" t="str">
        <f t="shared" si="0"/>
        <v>45489B</v>
      </c>
      <c r="B18" s="23">
        <v>45489</v>
      </c>
      <c r="C18" t="s">
        <v>20</v>
      </c>
      <c r="D18">
        <v>0</v>
      </c>
    </row>
    <row r="19" spans="1:4" x14ac:dyDescent="0.3">
      <c r="A19" t="str">
        <f t="shared" si="0"/>
        <v>45489C</v>
      </c>
      <c r="B19" s="24">
        <v>45489</v>
      </c>
      <c r="C19" t="s">
        <v>18</v>
      </c>
      <c r="D19">
        <v>0</v>
      </c>
    </row>
    <row r="20" spans="1:4" x14ac:dyDescent="0.3">
      <c r="A20" t="str">
        <f t="shared" si="0"/>
        <v>45490A</v>
      </c>
      <c r="B20" s="23">
        <v>45490</v>
      </c>
      <c r="C20" t="s">
        <v>19</v>
      </c>
      <c r="D20">
        <v>0</v>
      </c>
    </row>
    <row r="21" spans="1:4" x14ac:dyDescent="0.3">
      <c r="A21" t="str">
        <f t="shared" si="0"/>
        <v>45490B</v>
      </c>
      <c r="B21" s="23">
        <v>45490</v>
      </c>
      <c r="C21" t="s">
        <v>20</v>
      </c>
      <c r="D21">
        <v>0</v>
      </c>
    </row>
    <row r="22" spans="1:4" x14ac:dyDescent="0.3">
      <c r="A22" t="str">
        <f t="shared" si="0"/>
        <v>45490C</v>
      </c>
      <c r="B22" s="24">
        <v>45490</v>
      </c>
      <c r="C22" t="s">
        <v>18</v>
      </c>
      <c r="D22">
        <v>0</v>
      </c>
    </row>
    <row r="23" spans="1:4" x14ac:dyDescent="0.3">
      <c r="A23" t="str">
        <f t="shared" si="0"/>
        <v>45491A</v>
      </c>
      <c r="B23" s="23">
        <v>45491</v>
      </c>
      <c r="C23" t="s">
        <v>19</v>
      </c>
      <c r="D23">
        <v>0</v>
      </c>
    </row>
    <row r="24" spans="1:4" x14ac:dyDescent="0.3">
      <c r="A24" t="str">
        <f t="shared" si="0"/>
        <v>45491B</v>
      </c>
      <c r="B24" s="23">
        <v>45491</v>
      </c>
      <c r="C24" t="s">
        <v>20</v>
      </c>
      <c r="D24">
        <v>0</v>
      </c>
    </row>
    <row r="25" spans="1:4" x14ac:dyDescent="0.3">
      <c r="A25" t="str">
        <f t="shared" si="0"/>
        <v>45491C</v>
      </c>
      <c r="B25" s="24">
        <v>45491</v>
      </c>
      <c r="C25" t="s">
        <v>18</v>
      </c>
      <c r="D25">
        <v>0</v>
      </c>
    </row>
    <row r="26" spans="1:4" x14ac:dyDescent="0.3">
      <c r="A26" t="str">
        <f t="shared" si="0"/>
        <v>45492A</v>
      </c>
      <c r="B26" s="23">
        <v>45492</v>
      </c>
      <c r="C26" t="s">
        <v>19</v>
      </c>
      <c r="D26">
        <v>0</v>
      </c>
    </row>
    <row r="27" spans="1:4" x14ac:dyDescent="0.3">
      <c r="A27" t="str">
        <f t="shared" si="0"/>
        <v>45492B</v>
      </c>
      <c r="B27" s="23">
        <v>45492</v>
      </c>
      <c r="C27" t="s">
        <v>20</v>
      </c>
      <c r="D27">
        <v>0</v>
      </c>
    </row>
    <row r="28" spans="1:4" x14ac:dyDescent="0.3">
      <c r="A28" t="str">
        <f t="shared" si="0"/>
        <v>45492C</v>
      </c>
      <c r="B28" s="24">
        <v>45492</v>
      </c>
      <c r="C28" t="s">
        <v>18</v>
      </c>
      <c r="D28">
        <v>0</v>
      </c>
    </row>
    <row r="29" spans="1:4" x14ac:dyDescent="0.3">
      <c r="A29" t="str">
        <f t="shared" si="0"/>
        <v>45495A</v>
      </c>
      <c r="B29" s="23">
        <v>45495</v>
      </c>
      <c r="C29" t="s">
        <v>19</v>
      </c>
      <c r="D29">
        <v>14310.327000000001</v>
      </c>
    </row>
    <row r="30" spans="1:4" x14ac:dyDescent="0.3">
      <c r="A30" t="str">
        <f t="shared" si="0"/>
        <v>45495B</v>
      </c>
      <c r="B30" s="23">
        <v>45495</v>
      </c>
      <c r="C30" t="s">
        <v>20</v>
      </c>
      <c r="D30">
        <v>7141.4410000000007</v>
      </c>
    </row>
    <row r="31" spans="1:4" x14ac:dyDescent="0.3">
      <c r="A31" t="str">
        <f t="shared" si="0"/>
        <v>45495C</v>
      </c>
      <c r="B31" s="24">
        <v>45495</v>
      </c>
      <c r="C31" t="s">
        <v>18</v>
      </c>
      <c r="D31">
        <v>0</v>
      </c>
    </row>
    <row r="32" spans="1:4" x14ac:dyDescent="0.3">
      <c r="A32" t="str">
        <f t="shared" si="0"/>
        <v>45496A</v>
      </c>
      <c r="B32" s="23">
        <v>45496</v>
      </c>
      <c r="C32" t="s">
        <v>19</v>
      </c>
      <c r="D32">
        <v>0</v>
      </c>
    </row>
    <row r="33" spans="1:4" x14ac:dyDescent="0.3">
      <c r="A33" t="str">
        <f t="shared" si="0"/>
        <v>45496B</v>
      </c>
      <c r="B33" s="23">
        <v>45496</v>
      </c>
      <c r="C33" t="s">
        <v>20</v>
      </c>
      <c r="D33">
        <v>0</v>
      </c>
    </row>
    <row r="34" spans="1:4" x14ac:dyDescent="0.3">
      <c r="A34" t="str">
        <f t="shared" si="0"/>
        <v>45496C</v>
      </c>
      <c r="B34" s="24">
        <v>45496</v>
      </c>
      <c r="C34" t="s">
        <v>18</v>
      </c>
      <c r="D34">
        <v>0</v>
      </c>
    </row>
    <row r="35" spans="1:4" x14ac:dyDescent="0.3">
      <c r="A35" t="str">
        <f t="shared" si="0"/>
        <v>45497A</v>
      </c>
      <c r="B35" s="23">
        <v>45497</v>
      </c>
      <c r="C35" t="s">
        <v>19</v>
      </c>
      <c r="D35">
        <v>0</v>
      </c>
    </row>
    <row r="36" spans="1:4" x14ac:dyDescent="0.3">
      <c r="A36" t="str">
        <f t="shared" si="0"/>
        <v>45497B</v>
      </c>
      <c r="B36" s="23">
        <v>45497</v>
      </c>
      <c r="C36" t="s">
        <v>20</v>
      </c>
      <c r="D36">
        <v>0</v>
      </c>
    </row>
    <row r="37" spans="1:4" x14ac:dyDescent="0.3">
      <c r="A37" t="str">
        <f t="shared" si="0"/>
        <v>45497C</v>
      </c>
      <c r="B37" s="24">
        <v>45497</v>
      </c>
      <c r="C37" t="s">
        <v>18</v>
      </c>
      <c r="D37">
        <v>0</v>
      </c>
    </row>
    <row r="38" spans="1:4" x14ac:dyDescent="0.3">
      <c r="A38" t="str">
        <f t="shared" si="0"/>
        <v>45498A</v>
      </c>
      <c r="B38" s="23">
        <v>45498</v>
      </c>
      <c r="C38" t="s">
        <v>19</v>
      </c>
      <c r="D38">
        <v>0</v>
      </c>
    </row>
    <row r="39" spans="1:4" x14ac:dyDescent="0.3">
      <c r="A39" t="str">
        <f t="shared" si="0"/>
        <v>45498B</v>
      </c>
      <c r="B39" s="23">
        <v>45498</v>
      </c>
      <c r="C39" t="s">
        <v>20</v>
      </c>
      <c r="D39">
        <v>0</v>
      </c>
    </row>
    <row r="40" spans="1:4" x14ac:dyDescent="0.3">
      <c r="A40" t="str">
        <f t="shared" si="0"/>
        <v>45498C</v>
      </c>
      <c r="B40" s="24">
        <v>45498</v>
      </c>
      <c r="C40" t="s">
        <v>18</v>
      </c>
      <c r="D40">
        <v>0</v>
      </c>
    </row>
    <row r="41" spans="1:4" x14ac:dyDescent="0.3">
      <c r="A41" t="str">
        <f t="shared" si="0"/>
        <v>45502A</v>
      </c>
      <c r="B41" s="23">
        <v>45502</v>
      </c>
      <c r="C41" t="s">
        <v>19</v>
      </c>
      <c r="D41">
        <v>0</v>
      </c>
    </row>
    <row r="42" spans="1:4" x14ac:dyDescent="0.3">
      <c r="A42" t="str">
        <f t="shared" si="0"/>
        <v>45502B</v>
      </c>
      <c r="B42" s="23">
        <v>45502</v>
      </c>
      <c r="C42" t="s">
        <v>20</v>
      </c>
      <c r="D42">
        <v>0</v>
      </c>
    </row>
    <row r="43" spans="1:4" x14ac:dyDescent="0.3">
      <c r="A43" t="str">
        <f t="shared" si="0"/>
        <v>45502C</v>
      </c>
      <c r="B43" s="24">
        <v>45502</v>
      </c>
      <c r="C43" t="s">
        <v>18</v>
      </c>
      <c r="D43">
        <v>0</v>
      </c>
    </row>
    <row r="44" spans="1:4" x14ac:dyDescent="0.3">
      <c r="A44" t="str">
        <f t="shared" si="0"/>
        <v>45503A</v>
      </c>
      <c r="B44" s="23">
        <v>45503</v>
      </c>
      <c r="C44" t="s">
        <v>19</v>
      </c>
      <c r="D44">
        <v>0</v>
      </c>
    </row>
    <row r="45" spans="1:4" x14ac:dyDescent="0.3">
      <c r="A45" t="str">
        <f t="shared" si="0"/>
        <v>45503B</v>
      </c>
      <c r="B45" s="23">
        <v>45503</v>
      </c>
      <c r="C45" t="s">
        <v>20</v>
      </c>
      <c r="D45">
        <v>0</v>
      </c>
    </row>
    <row r="46" spans="1:4" x14ac:dyDescent="0.3">
      <c r="A46" t="str">
        <f t="shared" si="0"/>
        <v>45503C</v>
      </c>
      <c r="B46" s="24">
        <v>45503</v>
      </c>
      <c r="C46" t="s">
        <v>18</v>
      </c>
      <c r="D46">
        <v>0</v>
      </c>
    </row>
    <row r="47" spans="1:4" x14ac:dyDescent="0.3">
      <c r="A47" t="str">
        <f t="shared" si="0"/>
        <v>45504A</v>
      </c>
      <c r="B47" s="23">
        <v>45504</v>
      </c>
      <c r="C47" t="s">
        <v>19</v>
      </c>
      <c r="D47">
        <v>0</v>
      </c>
    </row>
    <row r="48" spans="1:4" x14ac:dyDescent="0.3">
      <c r="A48" t="str">
        <f t="shared" si="0"/>
        <v>45504B</v>
      </c>
      <c r="B48" s="23">
        <v>45504</v>
      </c>
      <c r="C48" t="s">
        <v>20</v>
      </c>
      <c r="D48">
        <v>0</v>
      </c>
    </row>
    <row r="49" spans="1:4" x14ac:dyDescent="0.3">
      <c r="A49" t="str">
        <f t="shared" si="0"/>
        <v>45504C</v>
      </c>
      <c r="B49" s="24">
        <v>45504</v>
      </c>
      <c r="C49" t="s">
        <v>18</v>
      </c>
      <c r="D49">
        <v>0</v>
      </c>
    </row>
    <row r="50" spans="1:4" x14ac:dyDescent="0.3">
      <c r="A50" t="str">
        <f t="shared" si="0"/>
        <v>45505A</v>
      </c>
      <c r="B50" s="23">
        <v>45505</v>
      </c>
      <c r="C50" t="s">
        <v>19</v>
      </c>
      <c r="D50">
        <v>0</v>
      </c>
    </row>
    <row r="51" spans="1:4" x14ac:dyDescent="0.3">
      <c r="A51" t="str">
        <f t="shared" si="0"/>
        <v>45505B</v>
      </c>
      <c r="B51" s="23">
        <v>45505</v>
      </c>
      <c r="C51" t="s">
        <v>20</v>
      </c>
      <c r="D51">
        <v>0</v>
      </c>
    </row>
    <row r="52" spans="1:4" x14ac:dyDescent="0.3">
      <c r="A52" t="str">
        <f t="shared" si="0"/>
        <v>45505C</v>
      </c>
      <c r="B52" s="24">
        <v>45505</v>
      </c>
      <c r="C52" t="s">
        <v>18</v>
      </c>
      <c r="D52">
        <v>0</v>
      </c>
    </row>
    <row r="53" spans="1:4" x14ac:dyDescent="0.3">
      <c r="A53" t="str">
        <f t="shared" si="0"/>
        <v>45506A</v>
      </c>
      <c r="B53" s="23">
        <v>45506</v>
      </c>
      <c r="C53" t="s">
        <v>19</v>
      </c>
      <c r="D53">
        <v>0</v>
      </c>
    </row>
    <row r="54" spans="1:4" x14ac:dyDescent="0.3">
      <c r="A54" t="str">
        <f t="shared" si="0"/>
        <v>45506B</v>
      </c>
      <c r="B54" s="23">
        <v>45506</v>
      </c>
      <c r="C54" t="s">
        <v>20</v>
      </c>
      <c r="D54">
        <v>0</v>
      </c>
    </row>
    <row r="55" spans="1:4" x14ac:dyDescent="0.3">
      <c r="A55" t="str">
        <f t="shared" si="0"/>
        <v>45506C</v>
      </c>
      <c r="B55" s="24">
        <v>45506</v>
      </c>
      <c r="C55" t="s">
        <v>18</v>
      </c>
      <c r="D55">
        <v>0</v>
      </c>
    </row>
    <row r="56" spans="1:4" x14ac:dyDescent="0.3">
      <c r="A56" t="str">
        <f t="shared" si="0"/>
        <v>45509A</v>
      </c>
      <c r="B56" s="23">
        <v>45509</v>
      </c>
      <c r="C56" t="s">
        <v>19</v>
      </c>
      <c r="D56">
        <v>0</v>
      </c>
    </row>
    <row r="57" spans="1:4" x14ac:dyDescent="0.3">
      <c r="A57" t="str">
        <f t="shared" si="0"/>
        <v>45509B</v>
      </c>
      <c r="B57" s="23">
        <v>45509</v>
      </c>
      <c r="C57" t="s">
        <v>20</v>
      </c>
      <c r="D57">
        <v>0</v>
      </c>
    </row>
    <row r="58" spans="1:4" x14ac:dyDescent="0.3">
      <c r="A58" t="str">
        <f t="shared" si="0"/>
        <v>45509C</v>
      </c>
      <c r="B58" s="24">
        <v>45509</v>
      </c>
      <c r="C58" t="s">
        <v>18</v>
      </c>
      <c r="D58">
        <v>0</v>
      </c>
    </row>
    <row r="59" spans="1:4" x14ac:dyDescent="0.3">
      <c r="A59" t="str">
        <f t="shared" si="0"/>
        <v>45510A</v>
      </c>
      <c r="B59" s="23">
        <v>45510</v>
      </c>
      <c r="C59" t="s">
        <v>19</v>
      </c>
      <c r="D59">
        <v>0</v>
      </c>
    </row>
    <row r="60" spans="1:4" x14ac:dyDescent="0.3">
      <c r="A60" t="str">
        <f t="shared" si="0"/>
        <v>45510B</v>
      </c>
      <c r="B60" s="23">
        <v>45510</v>
      </c>
      <c r="C60" t="s">
        <v>20</v>
      </c>
      <c r="D60">
        <v>0</v>
      </c>
    </row>
    <row r="61" spans="1:4" x14ac:dyDescent="0.3">
      <c r="A61" t="str">
        <f t="shared" si="0"/>
        <v>45510C</v>
      </c>
      <c r="B61" s="24">
        <v>45510</v>
      </c>
      <c r="C61" t="s">
        <v>18</v>
      </c>
      <c r="D61">
        <v>0</v>
      </c>
    </row>
    <row r="62" spans="1:4" x14ac:dyDescent="0.3">
      <c r="A62" t="str">
        <f t="shared" si="0"/>
        <v>45511A</v>
      </c>
      <c r="B62" s="23">
        <v>45511</v>
      </c>
      <c r="C62" t="s">
        <v>19</v>
      </c>
      <c r="D62">
        <v>0</v>
      </c>
    </row>
    <row r="63" spans="1:4" x14ac:dyDescent="0.3">
      <c r="A63" t="str">
        <f t="shared" si="0"/>
        <v>45511B</v>
      </c>
      <c r="B63" s="23">
        <v>45511</v>
      </c>
      <c r="C63" t="s">
        <v>20</v>
      </c>
      <c r="D63">
        <v>0</v>
      </c>
    </row>
    <row r="64" spans="1:4" x14ac:dyDescent="0.3">
      <c r="A64" t="str">
        <f t="shared" si="0"/>
        <v>45511C</v>
      </c>
      <c r="B64" s="24">
        <v>45511</v>
      </c>
      <c r="C64" t="s">
        <v>18</v>
      </c>
      <c r="D64">
        <v>0</v>
      </c>
    </row>
    <row r="65" spans="1:4" x14ac:dyDescent="0.3">
      <c r="A65" t="str">
        <f t="shared" si="0"/>
        <v>45512A</v>
      </c>
      <c r="B65" s="23">
        <v>45512</v>
      </c>
      <c r="C65" t="s">
        <v>19</v>
      </c>
      <c r="D65">
        <v>0</v>
      </c>
    </row>
    <row r="66" spans="1:4" x14ac:dyDescent="0.3">
      <c r="A66" t="str">
        <f t="shared" si="0"/>
        <v>45512B</v>
      </c>
      <c r="B66" s="23">
        <v>45512</v>
      </c>
      <c r="C66" t="s">
        <v>20</v>
      </c>
      <c r="D66">
        <v>0</v>
      </c>
    </row>
    <row r="67" spans="1:4" x14ac:dyDescent="0.3">
      <c r="A67" t="str">
        <f t="shared" ref="A67:A105" si="1">B67&amp;C67</f>
        <v>45512C</v>
      </c>
      <c r="B67" s="24">
        <v>45512</v>
      </c>
      <c r="C67" t="s">
        <v>18</v>
      </c>
      <c r="D67">
        <v>0</v>
      </c>
    </row>
    <row r="68" spans="1:4" x14ac:dyDescent="0.3">
      <c r="A68" t="str">
        <f t="shared" si="1"/>
        <v>45516A</v>
      </c>
      <c r="B68" s="23">
        <v>45516</v>
      </c>
      <c r="C68" t="s">
        <v>19</v>
      </c>
      <c r="D68">
        <v>0</v>
      </c>
    </row>
    <row r="69" spans="1:4" x14ac:dyDescent="0.3">
      <c r="A69" t="str">
        <f t="shared" si="1"/>
        <v>45516B</v>
      </c>
      <c r="B69" s="23">
        <v>45516</v>
      </c>
      <c r="C69" t="s">
        <v>20</v>
      </c>
      <c r="D69">
        <v>0</v>
      </c>
    </row>
    <row r="70" spans="1:4" x14ac:dyDescent="0.3">
      <c r="A70" t="str">
        <f t="shared" si="1"/>
        <v>45516C</v>
      </c>
      <c r="B70" s="24">
        <v>45516</v>
      </c>
      <c r="C70" t="s">
        <v>18</v>
      </c>
      <c r="D70">
        <v>0</v>
      </c>
    </row>
    <row r="71" spans="1:4" x14ac:dyDescent="0.3">
      <c r="A71" t="str">
        <f t="shared" si="1"/>
        <v>45517A</v>
      </c>
      <c r="B71" s="23">
        <v>45517</v>
      </c>
      <c r="C71" t="s">
        <v>19</v>
      </c>
      <c r="D71">
        <v>0</v>
      </c>
    </row>
    <row r="72" spans="1:4" x14ac:dyDescent="0.3">
      <c r="A72" t="str">
        <f t="shared" si="1"/>
        <v>45517B</v>
      </c>
      <c r="B72" s="23">
        <v>45517</v>
      </c>
      <c r="C72" t="s">
        <v>20</v>
      </c>
      <c r="D72">
        <v>0</v>
      </c>
    </row>
    <row r="73" spans="1:4" x14ac:dyDescent="0.3">
      <c r="A73" t="str">
        <f t="shared" si="1"/>
        <v>45517C</v>
      </c>
      <c r="B73" s="24">
        <v>45517</v>
      </c>
      <c r="C73" t="s">
        <v>18</v>
      </c>
      <c r="D73">
        <v>0</v>
      </c>
    </row>
    <row r="74" spans="1:4" x14ac:dyDescent="0.3">
      <c r="A74" t="str">
        <f t="shared" si="1"/>
        <v>45518A</v>
      </c>
      <c r="B74" s="23">
        <v>45518</v>
      </c>
      <c r="C74" t="s">
        <v>19</v>
      </c>
      <c r="D74">
        <v>0</v>
      </c>
    </row>
    <row r="75" spans="1:4" x14ac:dyDescent="0.3">
      <c r="A75" t="str">
        <f t="shared" si="1"/>
        <v>45518B</v>
      </c>
      <c r="B75" s="23">
        <v>45518</v>
      </c>
      <c r="C75" t="s">
        <v>20</v>
      </c>
      <c r="D75">
        <v>0</v>
      </c>
    </row>
    <row r="76" spans="1:4" x14ac:dyDescent="0.3">
      <c r="A76" t="str">
        <f t="shared" si="1"/>
        <v>45518C</v>
      </c>
      <c r="B76" s="24">
        <v>45518</v>
      </c>
      <c r="C76" t="s">
        <v>18</v>
      </c>
      <c r="D76">
        <v>0</v>
      </c>
    </row>
    <row r="77" spans="1:4" x14ac:dyDescent="0.3">
      <c r="A77" t="str">
        <f t="shared" si="1"/>
        <v>45519A</v>
      </c>
      <c r="B77" s="23">
        <v>45519</v>
      </c>
      <c r="C77" t="s">
        <v>19</v>
      </c>
      <c r="D77">
        <v>0</v>
      </c>
    </row>
    <row r="78" spans="1:4" x14ac:dyDescent="0.3">
      <c r="A78" t="str">
        <f t="shared" si="1"/>
        <v>45519B</v>
      </c>
      <c r="B78" s="24">
        <v>45519</v>
      </c>
      <c r="C78" t="s">
        <v>20</v>
      </c>
      <c r="D78">
        <v>0</v>
      </c>
    </row>
    <row r="79" spans="1:4" x14ac:dyDescent="0.3">
      <c r="A79" t="str">
        <f t="shared" si="1"/>
        <v>45520A</v>
      </c>
      <c r="B79" s="23">
        <v>45520</v>
      </c>
      <c r="C79" t="s">
        <v>19</v>
      </c>
      <c r="D79">
        <v>0</v>
      </c>
    </row>
    <row r="80" spans="1:4" x14ac:dyDescent="0.3">
      <c r="A80" t="str">
        <f t="shared" si="1"/>
        <v>45520B</v>
      </c>
      <c r="B80" s="23">
        <v>45520</v>
      </c>
      <c r="C80" t="s">
        <v>20</v>
      </c>
      <c r="D80">
        <v>0</v>
      </c>
    </row>
    <row r="81" spans="1:4" x14ac:dyDescent="0.3">
      <c r="A81" t="str">
        <f t="shared" si="1"/>
        <v>45520C</v>
      </c>
      <c r="B81" s="24">
        <v>45520</v>
      </c>
      <c r="C81" t="s">
        <v>18</v>
      </c>
      <c r="D81">
        <v>0</v>
      </c>
    </row>
    <row r="82" spans="1:4" x14ac:dyDescent="0.3">
      <c r="A82" t="str">
        <f t="shared" si="1"/>
        <v>45523A</v>
      </c>
      <c r="B82" s="23">
        <v>45523</v>
      </c>
      <c r="C82" t="s">
        <v>19</v>
      </c>
      <c r="D82">
        <v>0</v>
      </c>
    </row>
    <row r="83" spans="1:4" x14ac:dyDescent="0.3">
      <c r="A83" t="str">
        <f t="shared" si="1"/>
        <v>45523B</v>
      </c>
      <c r="B83" s="23">
        <v>45523</v>
      </c>
      <c r="C83" t="s">
        <v>20</v>
      </c>
      <c r="D83">
        <v>0</v>
      </c>
    </row>
    <row r="84" spans="1:4" x14ac:dyDescent="0.3">
      <c r="A84" t="str">
        <f t="shared" si="1"/>
        <v>45523C</v>
      </c>
      <c r="B84" s="24">
        <v>45523</v>
      </c>
      <c r="C84" t="s">
        <v>18</v>
      </c>
      <c r="D84">
        <v>0</v>
      </c>
    </row>
    <row r="85" spans="1:4" x14ac:dyDescent="0.3">
      <c r="A85" t="str">
        <f t="shared" si="1"/>
        <v>45524A</v>
      </c>
      <c r="B85" s="23">
        <v>45524</v>
      </c>
      <c r="C85" t="s">
        <v>19</v>
      </c>
      <c r="D85">
        <v>0</v>
      </c>
    </row>
    <row r="86" spans="1:4" x14ac:dyDescent="0.3">
      <c r="A86" t="str">
        <f t="shared" si="1"/>
        <v>45524B</v>
      </c>
      <c r="B86" s="23">
        <v>45524</v>
      </c>
      <c r="C86" t="s">
        <v>20</v>
      </c>
      <c r="D86">
        <v>0</v>
      </c>
    </row>
    <row r="87" spans="1:4" x14ac:dyDescent="0.3">
      <c r="A87" t="str">
        <f t="shared" si="1"/>
        <v>45524C</v>
      </c>
      <c r="B87" s="24">
        <v>45524</v>
      </c>
      <c r="C87" t="s">
        <v>18</v>
      </c>
      <c r="D87">
        <v>0</v>
      </c>
    </row>
    <row r="88" spans="1:4" x14ac:dyDescent="0.3">
      <c r="A88" t="str">
        <f t="shared" si="1"/>
        <v>45525A</v>
      </c>
      <c r="B88" s="23">
        <v>45525</v>
      </c>
      <c r="C88" t="s">
        <v>19</v>
      </c>
      <c r="D88">
        <v>0</v>
      </c>
    </row>
    <row r="89" spans="1:4" x14ac:dyDescent="0.3">
      <c r="A89" t="str">
        <f t="shared" si="1"/>
        <v>45525B</v>
      </c>
      <c r="B89" s="23">
        <v>45525</v>
      </c>
      <c r="C89" t="s">
        <v>20</v>
      </c>
      <c r="D89">
        <v>0</v>
      </c>
    </row>
    <row r="90" spans="1:4" x14ac:dyDescent="0.3">
      <c r="A90" t="str">
        <f t="shared" si="1"/>
        <v>45525C</v>
      </c>
      <c r="B90" s="24">
        <v>45525</v>
      </c>
      <c r="C90" t="s">
        <v>18</v>
      </c>
      <c r="D90">
        <v>0</v>
      </c>
    </row>
    <row r="91" spans="1:4" x14ac:dyDescent="0.3">
      <c r="A91" t="str">
        <f t="shared" si="1"/>
        <v>45526A</v>
      </c>
      <c r="B91" s="23">
        <v>45526</v>
      </c>
      <c r="C91" t="s">
        <v>19</v>
      </c>
      <c r="D91">
        <v>0</v>
      </c>
    </row>
    <row r="92" spans="1:4" x14ac:dyDescent="0.3">
      <c r="A92" t="str">
        <f t="shared" si="1"/>
        <v>45526B</v>
      </c>
      <c r="B92" s="23">
        <v>45526</v>
      </c>
      <c r="C92" t="s">
        <v>20</v>
      </c>
      <c r="D92">
        <v>0</v>
      </c>
    </row>
    <row r="93" spans="1:4" x14ac:dyDescent="0.3">
      <c r="A93" t="str">
        <f t="shared" si="1"/>
        <v>45526C</v>
      </c>
      <c r="B93" s="24">
        <v>45526</v>
      </c>
      <c r="C93" t="s">
        <v>18</v>
      </c>
      <c r="D93">
        <v>0</v>
      </c>
    </row>
    <row r="94" spans="1:4" x14ac:dyDescent="0.3">
      <c r="A94" t="str">
        <f t="shared" si="1"/>
        <v>45530A</v>
      </c>
      <c r="B94" s="23">
        <v>45530</v>
      </c>
      <c r="C94" t="s">
        <v>19</v>
      </c>
      <c r="D94">
        <v>4502.1820000000007</v>
      </c>
    </row>
    <row r="95" spans="1:4" x14ac:dyDescent="0.3">
      <c r="A95" t="str">
        <f t="shared" si="1"/>
        <v>45530B</v>
      </c>
      <c r="B95" s="23">
        <v>45530</v>
      </c>
      <c r="C95" t="s">
        <v>20</v>
      </c>
      <c r="D95">
        <v>8625.5139999999992</v>
      </c>
    </row>
    <row r="96" spans="1:4" x14ac:dyDescent="0.3">
      <c r="A96" t="str">
        <f t="shared" si="1"/>
        <v>45530C</v>
      </c>
      <c r="B96" s="24">
        <v>45530</v>
      </c>
      <c r="C96" t="s">
        <v>18</v>
      </c>
      <c r="D96">
        <v>6415.9939999999988</v>
      </c>
    </row>
    <row r="97" spans="1:4" x14ac:dyDescent="0.3">
      <c r="A97" t="str">
        <f t="shared" si="1"/>
        <v>45531A</v>
      </c>
      <c r="B97" s="23">
        <v>45531</v>
      </c>
      <c r="C97" t="s">
        <v>19</v>
      </c>
      <c r="D97">
        <v>10581.929999999998</v>
      </c>
    </row>
    <row r="98" spans="1:4" x14ac:dyDescent="0.3">
      <c r="A98" t="str">
        <f t="shared" si="1"/>
        <v>45531B</v>
      </c>
      <c r="B98" s="23">
        <v>45531</v>
      </c>
      <c r="C98" t="s">
        <v>20</v>
      </c>
      <c r="D98">
        <v>11166.208999999999</v>
      </c>
    </row>
    <row r="99" spans="1:4" x14ac:dyDescent="0.3">
      <c r="A99" t="str">
        <f t="shared" si="1"/>
        <v>45531C</v>
      </c>
      <c r="B99" s="24">
        <v>45531</v>
      </c>
      <c r="C99" t="s">
        <v>18</v>
      </c>
      <c r="D99">
        <v>7487.0989999999993</v>
      </c>
    </row>
    <row r="100" spans="1:4" x14ac:dyDescent="0.3">
      <c r="A100" t="str">
        <f t="shared" si="1"/>
        <v>45532A</v>
      </c>
      <c r="B100" s="23">
        <v>45532</v>
      </c>
      <c r="C100" t="s">
        <v>19</v>
      </c>
      <c r="D100">
        <v>11200.954</v>
      </c>
    </row>
    <row r="101" spans="1:4" x14ac:dyDescent="0.3">
      <c r="A101" t="str">
        <f t="shared" si="1"/>
        <v>45532B</v>
      </c>
      <c r="B101" s="23">
        <v>45532</v>
      </c>
      <c r="C101" t="s">
        <v>20</v>
      </c>
      <c r="D101">
        <v>10014.921000000002</v>
      </c>
    </row>
    <row r="102" spans="1:4" x14ac:dyDescent="0.3">
      <c r="A102" t="str">
        <f t="shared" si="1"/>
        <v>45532C</v>
      </c>
      <c r="B102" s="24">
        <v>45532</v>
      </c>
      <c r="C102" t="s">
        <v>18</v>
      </c>
      <c r="D102">
        <v>3732.4549999999999</v>
      </c>
    </row>
    <row r="103" spans="1:4" x14ac:dyDescent="0.3">
      <c r="A103" t="str">
        <f t="shared" si="1"/>
        <v>45533A</v>
      </c>
      <c r="B103" s="23">
        <v>45533</v>
      </c>
      <c r="C103" t="s">
        <v>19</v>
      </c>
      <c r="D103">
        <v>10741.315000000001</v>
      </c>
    </row>
    <row r="104" spans="1:4" x14ac:dyDescent="0.3">
      <c r="A104" t="str">
        <f t="shared" si="1"/>
        <v>45533B</v>
      </c>
      <c r="B104" s="23">
        <v>45533</v>
      </c>
      <c r="C104" t="s">
        <v>20</v>
      </c>
      <c r="D104">
        <v>11054.623000000001</v>
      </c>
    </row>
    <row r="105" spans="1:4" x14ac:dyDescent="0.3">
      <c r="A105" t="str">
        <f t="shared" si="1"/>
        <v>45533C</v>
      </c>
      <c r="B105" s="24">
        <v>45533</v>
      </c>
      <c r="C105" t="s">
        <v>18</v>
      </c>
      <c r="D105">
        <v>6246.9040000000005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72570-5F18-487C-8FDB-4781475C2B64}">
  <dimension ref="A1:AN107"/>
  <sheetViews>
    <sheetView workbookViewId="0">
      <selection activeCell="E7" sqref="E7:E12"/>
    </sheetView>
  </sheetViews>
  <sheetFormatPr defaultRowHeight="14.4" x14ac:dyDescent="0.3"/>
  <cols>
    <col min="1" max="1" width="18.109375" customWidth="1"/>
    <col min="2" max="2" width="18.5546875" bestFit="1" customWidth="1"/>
    <col min="3" max="3" width="18.5546875" customWidth="1"/>
    <col min="4" max="4" width="12.77734375" bestFit="1" customWidth="1"/>
  </cols>
  <sheetData>
    <row r="1" spans="1:40" x14ac:dyDescent="0.3">
      <c r="A1" s="6" t="s">
        <v>85</v>
      </c>
      <c r="B1" s="5" t="s">
        <v>86</v>
      </c>
      <c r="C1" s="5"/>
      <c r="D1" s="6" t="s">
        <v>87</v>
      </c>
      <c r="E1" s="5"/>
      <c r="F1" s="6" t="s">
        <v>88</v>
      </c>
      <c r="G1" s="5" t="s">
        <v>89</v>
      </c>
      <c r="H1" s="6" t="s">
        <v>90</v>
      </c>
      <c r="I1" s="6">
        <v>45474</v>
      </c>
      <c r="J1" s="6" t="s">
        <v>91</v>
      </c>
      <c r="K1" s="6">
        <v>45533</v>
      </c>
      <c r="L1" s="6" t="s">
        <v>92</v>
      </c>
      <c r="M1" s="5">
        <v>10</v>
      </c>
      <c r="N1" s="6" t="s">
        <v>93</v>
      </c>
      <c r="O1" s="5">
        <v>6</v>
      </c>
      <c r="P1" s="6" t="s">
        <v>94</v>
      </c>
      <c r="Q1" s="5">
        <v>10</v>
      </c>
      <c r="R1" s="6" t="s">
        <v>95</v>
      </c>
      <c r="S1" s="5">
        <v>8</v>
      </c>
      <c r="T1" s="6" t="s">
        <v>96</v>
      </c>
      <c r="U1" s="5">
        <v>25</v>
      </c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spans="1:40" x14ac:dyDescent="0.3">
      <c r="A2" s="13" t="s">
        <v>97</v>
      </c>
      <c r="B2" s="13" t="s">
        <v>98</v>
      </c>
      <c r="C2" s="5"/>
      <c r="D2" s="4" t="s">
        <v>99</v>
      </c>
      <c r="E2" s="13"/>
      <c r="F2" s="13"/>
      <c r="G2" s="4" t="s">
        <v>100</v>
      </c>
      <c r="H2" s="13"/>
      <c r="I2" s="13"/>
      <c r="J2" s="4" t="s">
        <v>101</v>
      </c>
      <c r="K2" s="13"/>
      <c r="L2" s="13"/>
      <c r="M2" s="4" t="s">
        <v>102</v>
      </c>
      <c r="N2" s="13"/>
      <c r="O2" s="13"/>
      <c r="P2" s="13"/>
      <c r="Q2" s="4" t="s">
        <v>103</v>
      </c>
      <c r="R2" s="13"/>
      <c r="S2" s="13"/>
      <c r="T2" s="13"/>
      <c r="U2" s="4" t="s">
        <v>104</v>
      </c>
      <c r="V2" s="13"/>
      <c r="W2" s="13"/>
      <c r="X2" s="13"/>
      <c r="Y2" s="4" t="s">
        <v>105</v>
      </c>
      <c r="Z2" s="13"/>
      <c r="AA2" s="13"/>
      <c r="AB2" s="13"/>
      <c r="AC2" s="4" t="s">
        <v>106</v>
      </c>
      <c r="AD2" s="13"/>
      <c r="AE2" s="13"/>
      <c r="AF2" s="13"/>
      <c r="AG2" s="4" t="s">
        <v>107</v>
      </c>
      <c r="AH2" s="13"/>
      <c r="AI2" s="13"/>
      <c r="AJ2" s="13"/>
      <c r="AK2" s="4" t="s">
        <v>108</v>
      </c>
      <c r="AL2" s="13"/>
      <c r="AM2" s="13"/>
      <c r="AN2" s="13"/>
    </row>
    <row r="3" spans="1:40" x14ac:dyDescent="0.3">
      <c r="A3" s="13"/>
      <c r="B3" s="13"/>
      <c r="C3" s="5"/>
      <c r="D3" s="5" t="s">
        <v>109</v>
      </c>
      <c r="E3" s="5" t="s">
        <v>110</v>
      </c>
      <c r="F3" s="5" t="s">
        <v>111</v>
      </c>
      <c r="G3" s="5" t="s">
        <v>109</v>
      </c>
      <c r="H3" s="5" t="s">
        <v>110</v>
      </c>
      <c r="I3" s="5" t="s">
        <v>111</v>
      </c>
      <c r="J3" s="5" t="s">
        <v>109</v>
      </c>
      <c r="K3" s="5" t="s">
        <v>110</v>
      </c>
      <c r="L3" s="5" t="s">
        <v>111</v>
      </c>
      <c r="M3" s="5" t="s">
        <v>109</v>
      </c>
      <c r="N3" s="5" t="s">
        <v>110</v>
      </c>
      <c r="O3" s="5" t="s">
        <v>111</v>
      </c>
      <c r="P3" s="5" t="s">
        <v>112</v>
      </c>
      <c r="Q3" s="5" t="s">
        <v>109</v>
      </c>
      <c r="R3" s="5" t="s">
        <v>110</v>
      </c>
      <c r="S3" s="5" t="s">
        <v>111</v>
      </c>
      <c r="T3" s="5" t="s">
        <v>112</v>
      </c>
      <c r="U3" s="5" t="s">
        <v>109</v>
      </c>
      <c r="V3" s="5" t="s">
        <v>110</v>
      </c>
      <c r="W3" s="5" t="s">
        <v>111</v>
      </c>
      <c r="X3" s="5" t="s">
        <v>112</v>
      </c>
      <c r="Y3" s="5" t="s">
        <v>109</v>
      </c>
      <c r="Z3" s="5" t="s">
        <v>110</v>
      </c>
      <c r="AA3" s="5" t="s">
        <v>111</v>
      </c>
      <c r="AB3" s="5" t="s">
        <v>112</v>
      </c>
      <c r="AC3" s="5" t="s">
        <v>109</v>
      </c>
      <c r="AD3" s="5" t="s">
        <v>110</v>
      </c>
      <c r="AE3" s="5" t="s">
        <v>111</v>
      </c>
      <c r="AF3" s="5" t="s">
        <v>112</v>
      </c>
      <c r="AG3" s="5" t="s">
        <v>109</v>
      </c>
      <c r="AH3" s="5" t="s">
        <v>110</v>
      </c>
      <c r="AI3" s="5" t="s">
        <v>111</v>
      </c>
      <c r="AJ3" s="5" t="s">
        <v>112</v>
      </c>
      <c r="AK3" s="5" t="s">
        <v>109</v>
      </c>
      <c r="AL3" s="5" t="s">
        <v>110</v>
      </c>
      <c r="AM3" s="5" t="s">
        <v>111</v>
      </c>
      <c r="AN3" s="5" t="s">
        <v>112</v>
      </c>
    </row>
    <row r="4" spans="1:40" x14ac:dyDescent="0.3">
      <c r="A4" s="5" t="s">
        <v>113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>
        <v>8.15</v>
      </c>
      <c r="O4" s="5"/>
      <c r="P4" s="5"/>
      <c r="Q4" s="5"/>
      <c r="R4" s="5">
        <v>38.78</v>
      </c>
      <c r="S4" s="5"/>
      <c r="T4" s="5"/>
      <c r="U4" s="5"/>
      <c r="V4" s="5">
        <v>26.21</v>
      </c>
      <c r="W4" s="5"/>
      <c r="X4" s="5"/>
      <c r="Y4" s="5"/>
      <c r="Z4" s="5">
        <v>55.07</v>
      </c>
      <c r="AA4" s="5"/>
      <c r="AB4" s="5"/>
      <c r="AC4" s="5"/>
      <c r="AD4" s="5">
        <v>3.81</v>
      </c>
      <c r="AE4" s="5"/>
      <c r="AF4" s="5"/>
      <c r="AG4" s="5"/>
      <c r="AH4" s="5">
        <v>3.4</v>
      </c>
      <c r="AI4" s="5"/>
      <c r="AJ4" s="5"/>
      <c r="AK4" s="5"/>
      <c r="AL4" s="5">
        <v>152.22999999999999</v>
      </c>
      <c r="AM4" s="5"/>
      <c r="AN4" s="5"/>
    </row>
    <row r="5" spans="1:40" x14ac:dyDescent="0.3">
      <c r="A5" s="5" t="s">
        <v>114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>
        <v>6.74</v>
      </c>
      <c r="O5" s="5"/>
      <c r="P5" s="5"/>
      <c r="Q5" s="5"/>
      <c r="R5" s="5">
        <v>33.450000000000003</v>
      </c>
      <c r="S5" s="5"/>
      <c r="T5" s="5"/>
      <c r="U5" s="5"/>
      <c r="V5" s="5">
        <v>23.91</v>
      </c>
      <c r="W5" s="5"/>
      <c r="X5" s="5"/>
      <c r="Y5" s="5"/>
      <c r="Z5" s="5">
        <v>54.14</v>
      </c>
      <c r="AA5" s="5"/>
      <c r="AB5" s="5"/>
      <c r="AC5" s="5"/>
      <c r="AD5" s="5">
        <v>3.04</v>
      </c>
      <c r="AE5" s="5"/>
      <c r="AF5" s="5"/>
      <c r="AG5" s="5"/>
      <c r="AH5" s="5">
        <v>3.11</v>
      </c>
      <c r="AI5" s="5"/>
      <c r="AJ5" s="5"/>
      <c r="AK5" s="5"/>
      <c r="AL5" s="5">
        <v>126.74</v>
      </c>
      <c r="AM5" s="5"/>
      <c r="AN5" s="5"/>
    </row>
    <row r="6" spans="1:40" x14ac:dyDescent="0.3">
      <c r="A6" s="5" t="s">
        <v>115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>
        <v>9.1</v>
      </c>
      <c r="O6" s="5"/>
      <c r="P6" s="5"/>
      <c r="Q6" s="5"/>
      <c r="R6" s="5">
        <v>41.24</v>
      </c>
      <c r="S6" s="5"/>
      <c r="T6" s="5"/>
      <c r="U6" s="5"/>
      <c r="V6" s="5">
        <v>28.09</v>
      </c>
      <c r="W6" s="5"/>
      <c r="X6" s="5"/>
      <c r="Y6" s="5"/>
      <c r="Z6" s="5">
        <v>57.56</v>
      </c>
      <c r="AA6" s="5"/>
      <c r="AB6" s="5"/>
      <c r="AC6" s="5"/>
      <c r="AD6" s="5">
        <v>4.53</v>
      </c>
      <c r="AE6" s="5"/>
      <c r="AF6" s="5"/>
      <c r="AG6" s="5"/>
      <c r="AH6" s="5">
        <v>3.46</v>
      </c>
      <c r="AI6" s="5"/>
      <c r="AJ6" s="5"/>
      <c r="AK6" s="5"/>
      <c r="AL6" s="5">
        <v>159.18</v>
      </c>
      <c r="AM6" s="5"/>
      <c r="AN6" s="5"/>
    </row>
    <row r="7" spans="1:40" ht="18" x14ac:dyDescent="0.35">
      <c r="A7" s="7">
        <v>45482</v>
      </c>
      <c r="B7" s="5" t="s">
        <v>18</v>
      </c>
      <c r="C7" s="5" t="str">
        <f>A7&amp;B7</f>
        <v>45482C</v>
      </c>
      <c r="D7" s="5" t="s">
        <v>21</v>
      </c>
      <c r="E7" s="5">
        <v>9.36</v>
      </c>
      <c r="F7" s="8">
        <v>35.619999999999997</v>
      </c>
      <c r="G7" s="5" t="s">
        <v>116</v>
      </c>
      <c r="H7" s="5">
        <v>0</v>
      </c>
      <c r="I7" s="5"/>
      <c r="J7" s="5" t="s">
        <v>117</v>
      </c>
      <c r="K7" s="5">
        <v>83.87</v>
      </c>
      <c r="L7" s="9">
        <v>3.31</v>
      </c>
      <c r="M7" s="5" t="s">
        <v>118</v>
      </c>
      <c r="N7" s="5">
        <v>8.01</v>
      </c>
      <c r="O7" s="9">
        <v>2.29</v>
      </c>
      <c r="P7" s="9">
        <v>1.71</v>
      </c>
      <c r="Q7" s="5" t="s">
        <v>119</v>
      </c>
      <c r="R7" s="5">
        <v>39.14</v>
      </c>
      <c r="S7" s="9">
        <v>4.26</v>
      </c>
      <c r="T7" s="9">
        <v>0.92</v>
      </c>
      <c r="U7" s="5" t="s">
        <v>120</v>
      </c>
      <c r="V7" s="5">
        <v>27.06</v>
      </c>
      <c r="W7" s="9">
        <v>0.33</v>
      </c>
      <c r="X7" s="9">
        <v>3.24</v>
      </c>
      <c r="Y7" s="10">
        <v>53.7</v>
      </c>
      <c r="Z7" s="10">
        <v>53.43</v>
      </c>
      <c r="AA7" s="9">
        <v>0.5</v>
      </c>
      <c r="AB7" s="9">
        <v>2.97</v>
      </c>
      <c r="AC7" s="5" t="s">
        <v>121</v>
      </c>
      <c r="AD7" s="5">
        <v>3.39</v>
      </c>
      <c r="AE7" s="9">
        <v>1.45</v>
      </c>
      <c r="AF7" s="8">
        <v>11.02</v>
      </c>
      <c r="AG7" s="5" t="s">
        <v>122</v>
      </c>
      <c r="AH7" s="5">
        <v>3.19</v>
      </c>
      <c r="AI7" s="9">
        <v>0.93</v>
      </c>
      <c r="AJ7" s="9">
        <v>6.17</v>
      </c>
      <c r="AK7" s="5" t="s">
        <v>123</v>
      </c>
      <c r="AL7" s="10">
        <v>162</v>
      </c>
      <c r="AM7" s="9">
        <v>3.07</v>
      </c>
      <c r="AN7" s="9">
        <v>6.41</v>
      </c>
    </row>
    <row r="8" spans="1:40" x14ac:dyDescent="0.3">
      <c r="A8" s="7">
        <v>45483</v>
      </c>
      <c r="B8" s="5" t="s">
        <v>19</v>
      </c>
      <c r="C8" s="5" t="str">
        <f t="shared" ref="C8:C71" si="0">A8&amp;B8</f>
        <v>45483A</v>
      </c>
      <c r="D8" s="5" t="s">
        <v>22</v>
      </c>
      <c r="E8" s="5">
        <v>18.86</v>
      </c>
      <c r="F8" s="8">
        <v>14.19</v>
      </c>
      <c r="G8" s="5" t="s">
        <v>116</v>
      </c>
      <c r="H8" s="5">
        <v>0</v>
      </c>
      <c r="I8" s="5"/>
      <c r="J8" s="5" t="s">
        <v>124</v>
      </c>
      <c r="K8" s="5">
        <v>69.78</v>
      </c>
      <c r="L8" s="9">
        <v>14.16</v>
      </c>
      <c r="M8" s="5" t="s">
        <v>125</v>
      </c>
      <c r="N8" s="5">
        <v>7.7</v>
      </c>
      <c r="O8" s="9">
        <v>1.58</v>
      </c>
      <c r="P8" s="8">
        <v>5.52</v>
      </c>
      <c r="Q8" s="5" t="s">
        <v>126</v>
      </c>
      <c r="R8" s="10">
        <v>35.67</v>
      </c>
      <c r="S8" s="9">
        <v>4.7699999999999996</v>
      </c>
      <c r="T8" s="8">
        <v>8.01</v>
      </c>
      <c r="U8" s="5" t="s">
        <v>127</v>
      </c>
      <c r="V8" s="5">
        <v>27.87</v>
      </c>
      <c r="W8" s="9">
        <v>4.0999999999999996</v>
      </c>
      <c r="X8" s="8">
        <v>6.33</v>
      </c>
      <c r="Y8" s="10" t="s">
        <v>128</v>
      </c>
      <c r="Z8" s="11">
        <v>52.86</v>
      </c>
      <c r="AA8" s="9">
        <v>1.1499999999999999</v>
      </c>
      <c r="AB8" s="9">
        <v>4.01</v>
      </c>
      <c r="AC8" s="5" t="s">
        <v>129</v>
      </c>
      <c r="AD8" s="5">
        <v>3.46</v>
      </c>
      <c r="AE8" s="9">
        <v>2.36</v>
      </c>
      <c r="AF8" s="8">
        <v>9.18</v>
      </c>
      <c r="AG8" s="5" t="s">
        <v>130</v>
      </c>
      <c r="AH8" s="10">
        <v>3.09</v>
      </c>
      <c r="AI8" s="9">
        <v>1.9</v>
      </c>
      <c r="AJ8" s="8">
        <v>9.11</v>
      </c>
      <c r="AK8" s="5" t="s">
        <v>131</v>
      </c>
      <c r="AL8" s="5">
        <v>155.33000000000001</v>
      </c>
      <c r="AM8" s="9">
        <v>0.19</v>
      </c>
      <c r="AN8" s="9">
        <v>2.0299999999999998</v>
      </c>
    </row>
    <row r="9" spans="1:40" ht="18" x14ac:dyDescent="0.35">
      <c r="A9" s="7">
        <v>45483</v>
      </c>
      <c r="B9" s="5" t="s">
        <v>20</v>
      </c>
      <c r="C9" s="5" t="str">
        <f t="shared" si="0"/>
        <v>45483B</v>
      </c>
      <c r="D9" s="5">
        <v>16.920000000000002</v>
      </c>
      <c r="E9" s="5">
        <v>14.89</v>
      </c>
      <c r="F9" s="8">
        <v>11.99</v>
      </c>
      <c r="G9" s="5" t="s">
        <v>116</v>
      </c>
      <c r="H9" s="5">
        <v>0</v>
      </c>
      <c r="I9" s="5"/>
      <c r="J9" s="5" t="s">
        <v>132</v>
      </c>
      <c r="K9" s="5">
        <v>77.52</v>
      </c>
      <c r="L9" s="9">
        <v>4.55</v>
      </c>
      <c r="M9" s="5" t="s">
        <v>133</v>
      </c>
      <c r="N9" s="5">
        <v>8.15</v>
      </c>
      <c r="O9" s="8">
        <v>5.43</v>
      </c>
      <c r="P9" s="9">
        <v>0</v>
      </c>
      <c r="Q9" s="5" t="s">
        <v>134</v>
      </c>
      <c r="R9" s="5">
        <v>37.33</v>
      </c>
      <c r="S9" s="9">
        <v>0.5</v>
      </c>
      <c r="T9" s="9">
        <v>3.73</v>
      </c>
      <c r="U9" s="5" t="s">
        <v>135</v>
      </c>
      <c r="V9" s="5">
        <v>28.77</v>
      </c>
      <c r="W9" s="9">
        <v>4.3899999999999997</v>
      </c>
      <c r="X9" s="8">
        <v>9.76</v>
      </c>
      <c r="Y9" s="10" t="s">
        <v>136</v>
      </c>
      <c r="Z9" s="10">
        <v>52.86</v>
      </c>
      <c r="AA9" s="9">
        <v>0.88</v>
      </c>
      <c r="AB9" s="9">
        <v>4.01</v>
      </c>
      <c r="AC9" s="5" t="s">
        <v>137</v>
      </c>
      <c r="AD9" s="5">
        <v>3.46</v>
      </c>
      <c r="AE9" s="9">
        <v>1.76</v>
      </c>
      <c r="AF9" s="8">
        <v>9.18</v>
      </c>
      <c r="AG9" s="5" t="s">
        <v>138</v>
      </c>
      <c r="AH9" s="10">
        <v>3.09</v>
      </c>
      <c r="AI9" s="9">
        <v>3.13</v>
      </c>
      <c r="AJ9" s="8">
        <v>9.11</v>
      </c>
      <c r="AK9" s="5" t="s">
        <v>139</v>
      </c>
      <c r="AL9" s="10">
        <v>161.75</v>
      </c>
      <c r="AM9" s="9">
        <v>3.63</v>
      </c>
      <c r="AN9" s="9">
        <v>6.25</v>
      </c>
    </row>
    <row r="10" spans="1:40" ht="18" x14ac:dyDescent="0.35">
      <c r="A10" s="7">
        <v>45483</v>
      </c>
      <c r="B10" s="5" t="s">
        <v>18</v>
      </c>
      <c r="C10" s="5" t="str">
        <f t="shared" si="0"/>
        <v>45483C</v>
      </c>
      <c r="D10" s="5">
        <v>17.72</v>
      </c>
      <c r="E10" s="5">
        <v>25.15</v>
      </c>
      <c r="F10" s="8">
        <v>41.93</v>
      </c>
      <c r="G10" s="5" t="s">
        <v>116</v>
      </c>
      <c r="H10" s="5">
        <v>0</v>
      </c>
      <c r="I10" s="5"/>
      <c r="J10" s="5" t="s">
        <v>140</v>
      </c>
      <c r="K10" s="5">
        <v>93.15</v>
      </c>
      <c r="L10" s="9">
        <v>14.67</v>
      </c>
      <c r="M10" s="5" t="s">
        <v>141</v>
      </c>
      <c r="N10" s="5">
        <v>8.1</v>
      </c>
      <c r="O10" s="8">
        <v>7.99</v>
      </c>
      <c r="P10" s="9">
        <v>0.61</v>
      </c>
      <c r="Q10" s="5" t="s">
        <v>142</v>
      </c>
      <c r="R10" s="5">
        <v>37.799999999999997</v>
      </c>
      <c r="S10" s="9">
        <v>2.41</v>
      </c>
      <c r="T10" s="9">
        <v>2.52</v>
      </c>
      <c r="U10" s="5" t="s">
        <v>143</v>
      </c>
      <c r="V10" s="5">
        <v>27.5</v>
      </c>
      <c r="W10" s="9">
        <v>0.28999999999999998</v>
      </c>
      <c r="X10" s="9">
        <v>4.92</v>
      </c>
      <c r="Y10" s="10" t="s">
        <v>144</v>
      </c>
      <c r="Z10" s="10">
        <v>52.86</v>
      </c>
      <c r="AA10" s="9">
        <v>0.45</v>
      </c>
      <c r="AB10" s="9">
        <v>4.01</v>
      </c>
      <c r="AC10" s="5" t="s">
        <v>145</v>
      </c>
      <c r="AD10" s="5">
        <v>3.46</v>
      </c>
      <c r="AE10" s="9">
        <v>3.59</v>
      </c>
      <c r="AF10" s="8">
        <v>9.18</v>
      </c>
      <c r="AG10" s="5" t="s">
        <v>146</v>
      </c>
      <c r="AH10" s="10">
        <v>3.1</v>
      </c>
      <c r="AI10" s="9">
        <v>0.64</v>
      </c>
      <c r="AJ10" s="8">
        <v>8.82</v>
      </c>
      <c r="AK10" s="5" t="s">
        <v>147</v>
      </c>
      <c r="AL10" s="5">
        <v>159.19999999999999</v>
      </c>
      <c r="AM10" s="9">
        <v>2.37</v>
      </c>
      <c r="AN10" s="9">
        <v>4.57</v>
      </c>
    </row>
    <row r="11" spans="1:40" ht="18" x14ac:dyDescent="0.35">
      <c r="A11" s="7">
        <v>45484</v>
      </c>
      <c r="B11" s="5" t="s">
        <v>19</v>
      </c>
      <c r="C11" s="5" t="str">
        <f t="shared" si="0"/>
        <v>45484A</v>
      </c>
      <c r="D11" s="5">
        <v>19.510000000000002</v>
      </c>
      <c r="E11" s="5">
        <v>19.14</v>
      </c>
      <c r="F11" s="9">
        <v>1.89</v>
      </c>
      <c r="G11" s="5" t="s">
        <v>116</v>
      </c>
      <c r="H11" s="5">
        <v>0</v>
      </c>
      <c r="I11" s="5"/>
      <c r="J11" s="5" t="s">
        <v>148</v>
      </c>
      <c r="K11" s="5">
        <v>69.64</v>
      </c>
      <c r="L11" s="9">
        <v>14.29</v>
      </c>
      <c r="M11" s="5" t="s">
        <v>149</v>
      </c>
      <c r="N11" s="5">
        <v>7.9</v>
      </c>
      <c r="O11" s="8">
        <v>6.9</v>
      </c>
      <c r="P11" s="8">
        <v>3.06</v>
      </c>
      <c r="Q11" s="5" t="s">
        <v>150</v>
      </c>
      <c r="R11" s="5">
        <v>38</v>
      </c>
      <c r="S11" s="9">
        <v>2.06</v>
      </c>
      <c r="T11" s="9">
        <v>2.0099999999999998</v>
      </c>
      <c r="U11" s="5" t="s">
        <v>151</v>
      </c>
      <c r="V11" s="5">
        <v>27.42</v>
      </c>
      <c r="W11" s="9">
        <v>2.35</v>
      </c>
      <c r="X11" s="9">
        <v>4.6100000000000003</v>
      </c>
      <c r="Y11" s="10" t="s">
        <v>152</v>
      </c>
      <c r="Z11" s="11">
        <v>53.72</v>
      </c>
      <c r="AA11" s="9">
        <v>1.37</v>
      </c>
      <c r="AB11" s="9">
        <v>2.4500000000000002</v>
      </c>
      <c r="AC11" s="5" t="s">
        <v>153</v>
      </c>
      <c r="AD11" s="5">
        <v>3.55</v>
      </c>
      <c r="AE11" s="9">
        <v>7.57</v>
      </c>
      <c r="AF11" s="9">
        <v>6.82</v>
      </c>
      <c r="AG11" s="5" t="s">
        <v>146</v>
      </c>
      <c r="AH11" s="5">
        <v>3.19</v>
      </c>
      <c r="AI11" s="9">
        <v>2.2400000000000002</v>
      </c>
      <c r="AJ11" s="9">
        <v>6.17</v>
      </c>
      <c r="AK11" s="5" t="s">
        <v>154</v>
      </c>
      <c r="AL11" s="10">
        <v>161.25</v>
      </c>
      <c r="AM11" s="9">
        <v>4.8499999999999996</v>
      </c>
      <c r="AN11" s="9">
        <v>5.92</v>
      </c>
    </row>
    <row r="12" spans="1:40" ht="18" x14ac:dyDescent="0.35">
      <c r="A12" s="7">
        <v>45484</v>
      </c>
      <c r="B12" s="5" t="s">
        <v>20</v>
      </c>
      <c r="C12" s="5" t="str">
        <f t="shared" si="0"/>
        <v>45484B</v>
      </c>
      <c r="D12" s="5">
        <v>19.649999999999999</v>
      </c>
      <c r="E12" s="5">
        <v>25.01</v>
      </c>
      <c r="F12" s="8">
        <v>27.27</v>
      </c>
      <c r="G12" s="5" t="s">
        <v>116</v>
      </c>
      <c r="H12" s="5">
        <v>0</v>
      </c>
      <c r="I12" s="5"/>
      <c r="J12" s="5">
        <v>81.260000000000005</v>
      </c>
      <c r="K12" s="5">
        <v>78.14</v>
      </c>
      <c r="L12" s="9">
        <v>3.83</v>
      </c>
      <c r="M12" s="5" t="s">
        <v>155</v>
      </c>
      <c r="N12" s="5">
        <v>8.0399999999999991</v>
      </c>
      <c r="O12" s="9">
        <v>2.81</v>
      </c>
      <c r="P12" s="9">
        <v>1.34</v>
      </c>
      <c r="Q12" s="5" t="s">
        <v>156</v>
      </c>
      <c r="R12" s="5">
        <v>36.67</v>
      </c>
      <c r="S12" s="9">
        <v>3.34</v>
      </c>
      <c r="T12" s="8">
        <v>5.44</v>
      </c>
      <c r="U12" s="5" t="s">
        <v>157</v>
      </c>
      <c r="V12" s="5">
        <v>28.07</v>
      </c>
      <c r="W12" s="9">
        <v>4.5</v>
      </c>
      <c r="X12" s="8">
        <v>7.09</v>
      </c>
      <c r="Y12" s="10" t="s">
        <v>158</v>
      </c>
      <c r="Z12" s="10">
        <v>53.72</v>
      </c>
      <c r="AA12" s="9">
        <v>0.4</v>
      </c>
      <c r="AB12" s="9">
        <v>2.4500000000000002</v>
      </c>
      <c r="AC12" s="5" t="s">
        <v>159</v>
      </c>
      <c r="AD12" s="12">
        <v>3.79</v>
      </c>
      <c r="AE12" s="8">
        <v>8.2799999999999994</v>
      </c>
      <c r="AF12" s="9">
        <v>0.52</v>
      </c>
      <c r="AG12" s="5" t="s">
        <v>160</v>
      </c>
      <c r="AH12" s="5">
        <v>3.2</v>
      </c>
      <c r="AI12" s="9">
        <v>0.31</v>
      </c>
      <c r="AJ12" s="9">
        <v>5.88</v>
      </c>
      <c r="AK12" s="5" t="s">
        <v>161</v>
      </c>
      <c r="AL12" s="10">
        <v>163.33000000000001</v>
      </c>
      <c r="AM12" s="9">
        <v>3.86</v>
      </c>
      <c r="AN12" s="9">
        <v>7.29</v>
      </c>
    </row>
    <row r="13" spans="1:40" x14ac:dyDescent="0.3">
      <c r="A13" s="7">
        <v>45484</v>
      </c>
      <c r="B13" s="5" t="s">
        <v>18</v>
      </c>
      <c r="C13" s="5" t="str">
        <f t="shared" si="0"/>
        <v>45484C</v>
      </c>
      <c r="D13" s="5" t="s">
        <v>23</v>
      </c>
      <c r="E13" s="5">
        <v>28.65</v>
      </c>
      <c r="F13" s="8">
        <v>39.549999999999997</v>
      </c>
      <c r="G13" s="5" t="s">
        <v>116</v>
      </c>
      <c r="H13" s="5">
        <v>0</v>
      </c>
      <c r="I13" s="5"/>
      <c r="J13" s="5" t="s">
        <v>162</v>
      </c>
      <c r="K13" s="5">
        <v>102.26</v>
      </c>
      <c r="L13" s="8">
        <v>25.81</v>
      </c>
      <c r="M13" s="5" t="s">
        <v>163</v>
      </c>
      <c r="N13" s="5"/>
      <c r="O13" s="5"/>
      <c r="P13" s="5"/>
      <c r="Q13" s="5" t="s">
        <v>164</v>
      </c>
      <c r="R13" s="5">
        <v>38</v>
      </c>
      <c r="S13" s="9">
        <v>2.39</v>
      </c>
      <c r="T13" s="9">
        <v>2.0099999999999998</v>
      </c>
      <c r="U13" s="5" t="s">
        <v>165</v>
      </c>
      <c r="V13" s="5">
        <v>26.8</v>
      </c>
      <c r="W13" s="9">
        <v>1.5</v>
      </c>
      <c r="X13" s="9">
        <v>2.25</v>
      </c>
      <c r="Y13" s="10" t="s">
        <v>166</v>
      </c>
      <c r="Z13" s="10">
        <v>53.72</v>
      </c>
      <c r="AA13" s="9">
        <v>0.22</v>
      </c>
      <c r="AB13" s="9">
        <v>2.4500000000000002</v>
      </c>
      <c r="AC13" s="5" t="s">
        <v>167</v>
      </c>
      <c r="AD13" s="5">
        <v>3.79</v>
      </c>
      <c r="AE13" s="9">
        <v>6.46</v>
      </c>
      <c r="AF13" s="9">
        <v>0.52</v>
      </c>
      <c r="AG13" s="5" t="s">
        <v>146</v>
      </c>
      <c r="AH13" s="10">
        <v>3.08</v>
      </c>
      <c r="AI13" s="9">
        <v>1.28</v>
      </c>
      <c r="AJ13" s="8">
        <v>9.41</v>
      </c>
      <c r="AK13" s="5" t="s">
        <v>168</v>
      </c>
      <c r="AL13" s="5">
        <v>146</v>
      </c>
      <c r="AM13" s="9">
        <v>4.93</v>
      </c>
      <c r="AN13" s="9">
        <v>4.09</v>
      </c>
    </row>
    <row r="14" spans="1:40" x14ac:dyDescent="0.3">
      <c r="A14" s="7">
        <v>45485</v>
      </c>
      <c r="B14" s="5" t="s">
        <v>20</v>
      </c>
      <c r="C14" s="5" t="str">
        <f t="shared" si="0"/>
        <v>45485B</v>
      </c>
      <c r="D14" s="5" t="s">
        <v>24</v>
      </c>
      <c r="E14" s="5">
        <v>23.78</v>
      </c>
      <c r="F14" s="9">
        <v>3.12</v>
      </c>
      <c r="G14" s="5" t="s">
        <v>116</v>
      </c>
      <c r="H14" s="5">
        <v>0</v>
      </c>
      <c r="I14" s="5"/>
      <c r="J14" s="5" t="s">
        <v>169</v>
      </c>
      <c r="K14" s="5">
        <v>94.72</v>
      </c>
      <c r="L14" s="9">
        <v>16.47</v>
      </c>
      <c r="M14" s="5" t="s">
        <v>170</v>
      </c>
      <c r="N14" s="5">
        <v>7.82</v>
      </c>
      <c r="O14" s="9">
        <v>0.38</v>
      </c>
      <c r="P14" s="8">
        <v>4.04</v>
      </c>
      <c r="Q14" s="5" t="s">
        <v>171</v>
      </c>
      <c r="R14" s="10">
        <v>35.799999999999997</v>
      </c>
      <c r="S14" s="8">
        <v>7.06</v>
      </c>
      <c r="T14" s="8">
        <v>7.68</v>
      </c>
      <c r="U14" s="5" t="s">
        <v>172</v>
      </c>
      <c r="V14" s="5">
        <v>27.24</v>
      </c>
      <c r="W14" s="8">
        <v>5.01</v>
      </c>
      <c r="X14" s="9">
        <v>3.92</v>
      </c>
      <c r="Y14" s="5" t="s">
        <v>173</v>
      </c>
      <c r="Z14" s="5">
        <v>54.92</v>
      </c>
      <c r="AA14" s="9">
        <v>0.18</v>
      </c>
      <c r="AB14" s="9">
        <v>0.27</v>
      </c>
      <c r="AC14" s="5" t="s">
        <v>174</v>
      </c>
      <c r="AD14" s="5">
        <v>3.51</v>
      </c>
      <c r="AE14" s="9">
        <v>4.87</v>
      </c>
      <c r="AF14" s="9">
        <v>7.87</v>
      </c>
      <c r="AG14" s="5" t="s">
        <v>175</v>
      </c>
      <c r="AH14" s="10">
        <v>3.08</v>
      </c>
      <c r="AI14" s="9">
        <v>5.23</v>
      </c>
      <c r="AJ14" s="8">
        <v>9.41</v>
      </c>
      <c r="AK14" s="5" t="s">
        <v>176</v>
      </c>
      <c r="AL14" s="5">
        <v>149.6</v>
      </c>
      <c r="AM14" s="9">
        <v>0.81</v>
      </c>
      <c r="AN14" s="9">
        <v>1.72</v>
      </c>
    </row>
    <row r="15" spans="1:40" x14ac:dyDescent="0.3">
      <c r="A15" s="7">
        <v>45485</v>
      </c>
      <c r="B15" s="5" t="s">
        <v>18</v>
      </c>
      <c r="C15" s="5" t="str">
        <f t="shared" si="0"/>
        <v>45485C</v>
      </c>
      <c r="D15" s="5" t="s">
        <v>25</v>
      </c>
      <c r="E15" s="5">
        <v>27.41</v>
      </c>
      <c r="F15" s="8">
        <v>6.94</v>
      </c>
      <c r="G15" s="5" t="s">
        <v>116</v>
      </c>
      <c r="H15" s="5">
        <v>0</v>
      </c>
      <c r="I15" s="5"/>
      <c r="J15" s="5" t="s">
        <v>177</v>
      </c>
      <c r="K15" s="5">
        <v>99.35</v>
      </c>
      <c r="L15" s="9">
        <v>22.11</v>
      </c>
      <c r="M15" s="5" t="s">
        <v>178</v>
      </c>
      <c r="N15" s="5">
        <v>7.7</v>
      </c>
      <c r="O15" s="9">
        <v>1.18</v>
      </c>
      <c r="P15" s="8">
        <v>5.52</v>
      </c>
      <c r="Q15" s="5" t="s">
        <v>179</v>
      </c>
      <c r="R15" s="5">
        <v>37.5</v>
      </c>
      <c r="S15" s="9">
        <v>0.53</v>
      </c>
      <c r="T15" s="9">
        <v>3.3</v>
      </c>
      <c r="U15" s="5" t="s">
        <v>180</v>
      </c>
      <c r="V15" s="5">
        <v>25.68</v>
      </c>
      <c r="W15" s="9">
        <v>1.94</v>
      </c>
      <c r="X15" s="9">
        <v>2.02</v>
      </c>
      <c r="Y15" s="5" t="s">
        <v>181</v>
      </c>
      <c r="Z15" s="5">
        <v>54.92</v>
      </c>
      <c r="AA15" s="9">
        <v>0.47</v>
      </c>
      <c r="AB15" s="9">
        <v>0.27</v>
      </c>
      <c r="AC15" s="5" t="s">
        <v>182</v>
      </c>
      <c r="AD15" s="5">
        <v>3.51</v>
      </c>
      <c r="AE15" s="9">
        <v>1.73</v>
      </c>
      <c r="AF15" s="9">
        <v>7.87</v>
      </c>
      <c r="AG15" s="5" t="s">
        <v>130</v>
      </c>
      <c r="AH15" s="5">
        <v>3.11</v>
      </c>
      <c r="AI15" s="9">
        <v>1.26</v>
      </c>
      <c r="AJ15" s="8">
        <v>8.52</v>
      </c>
      <c r="AK15" s="5" t="s">
        <v>183</v>
      </c>
      <c r="AL15" s="5">
        <v>156.25</v>
      </c>
      <c r="AM15" s="9">
        <v>6.88</v>
      </c>
      <c r="AN15" s="9">
        <v>2.64</v>
      </c>
    </row>
    <row r="16" spans="1:40" x14ac:dyDescent="0.3">
      <c r="A16" s="7">
        <v>45488</v>
      </c>
      <c r="B16" s="5" t="s">
        <v>19</v>
      </c>
      <c r="C16" s="5" t="str">
        <f t="shared" si="0"/>
        <v>45488A</v>
      </c>
      <c r="D16" s="5" t="s">
        <v>26</v>
      </c>
      <c r="E16" s="5">
        <v>27.15</v>
      </c>
      <c r="F16" s="9">
        <v>0.36</v>
      </c>
      <c r="G16" s="5" t="s">
        <v>116</v>
      </c>
      <c r="H16" s="5">
        <v>0</v>
      </c>
      <c r="I16" s="5"/>
      <c r="J16" s="5" t="s">
        <v>184</v>
      </c>
      <c r="K16" s="5">
        <v>76.42</v>
      </c>
      <c r="L16" s="9">
        <v>6.09</v>
      </c>
      <c r="M16" s="5" t="s">
        <v>185</v>
      </c>
      <c r="N16" s="5">
        <v>7.85</v>
      </c>
      <c r="O16" s="9">
        <v>2.08</v>
      </c>
      <c r="P16" s="8">
        <v>3.68</v>
      </c>
      <c r="Q16" s="5" t="s">
        <v>186</v>
      </c>
      <c r="R16" s="5">
        <v>37.25</v>
      </c>
      <c r="S16" s="9">
        <v>2.61</v>
      </c>
      <c r="T16" s="9">
        <v>3.94</v>
      </c>
      <c r="U16" s="5" t="s">
        <v>187</v>
      </c>
      <c r="V16" s="5">
        <v>28.02</v>
      </c>
      <c r="W16" s="8">
        <v>7.85</v>
      </c>
      <c r="X16" s="8">
        <v>6.9</v>
      </c>
      <c r="Y16" s="5" t="s">
        <v>188</v>
      </c>
      <c r="Z16" s="12">
        <v>54.99</v>
      </c>
      <c r="AA16" s="9">
        <v>0.49</v>
      </c>
      <c r="AB16" s="9">
        <v>0.14000000000000001</v>
      </c>
      <c r="AC16" s="5" t="s">
        <v>189</v>
      </c>
      <c r="AD16" s="5">
        <v>3.72</v>
      </c>
      <c r="AE16" s="9">
        <v>5.98</v>
      </c>
      <c r="AF16" s="9">
        <v>2.36</v>
      </c>
      <c r="AG16" s="5" t="s">
        <v>138</v>
      </c>
      <c r="AH16" s="5">
        <v>3.2</v>
      </c>
      <c r="AI16" s="9">
        <v>0.31</v>
      </c>
      <c r="AJ16" s="9">
        <v>5.88</v>
      </c>
      <c r="AK16" s="5" t="s">
        <v>190</v>
      </c>
      <c r="AL16" s="5">
        <v>144.5</v>
      </c>
      <c r="AM16" s="9">
        <v>3.78</v>
      </c>
      <c r="AN16" s="9">
        <v>5.07</v>
      </c>
    </row>
    <row r="17" spans="1:40" ht="18" x14ac:dyDescent="0.35">
      <c r="A17" s="7">
        <v>45488</v>
      </c>
      <c r="B17" s="5" t="s">
        <v>20</v>
      </c>
      <c r="C17" s="5" t="str">
        <f t="shared" si="0"/>
        <v>45488B</v>
      </c>
      <c r="D17" s="5" t="s">
        <v>27</v>
      </c>
      <c r="E17" s="5">
        <v>25.48</v>
      </c>
      <c r="F17" s="8">
        <v>36.32</v>
      </c>
      <c r="G17" s="5" t="s">
        <v>116</v>
      </c>
      <c r="H17" s="5">
        <v>0</v>
      </c>
      <c r="I17" s="5"/>
      <c r="J17" s="5" t="s">
        <v>191</v>
      </c>
      <c r="K17" s="5">
        <v>98.52</v>
      </c>
      <c r="L17" s="9">
        <v>21.25</v>
      </c>
      <c r="M17" s="5" t="s">
        <v>192</v>
      </c>
      <c r="N17" s="5">
        <v>7.84</v>
      </c>
      <c r="O17" s="9">
        <v>0.38</v>
      </c>
      <c r="P17" s="8">
        <v>3.8</v>
      </c>
      <c r="Q17" s="5" t="s">
        <v>193</v>
      </c>
      <c r="R17" s="10">
        <v>36.5</v>
      </c>
      <c r="S17" s="9">
        <v>4.37</v>
      </c>
      <c r="T17" s="8">
        <v>5.87</v>
      </c>
      <c r="U17" s="5" t="s">
        <v>194</v>
      </c>
      <c r="V17" s="5">
        <v>27.3</v>
      </c>
      <c r="W17" s="9">
        <v>2.98</v>
      </c>
      <c r="X17" s="9">
        <v>4.1500000000000004</v>
      </c>
      <c r="Y17" s="5">
        <v>55.01</v>
      </c>
      <c r="Z17" s="5">
        <v>54.99</v>
      </c>
      <c r="AA17" s="9">
        <v>0.03</v>
      </c>
      <c r="AB17" s="9">
        <v>0.14000000000000001</v>
      </c>
      <c r="AC17" s="5">
        <v>3.69</v>
      </c>
      <c r="AD17" s="12">
        <v>3.56</v>
      </c>
      <c r="AE17" s="9">
        <v>3.52</v>
      </c>
      <c r="AF17" s="9">
        <v>6.56</v>
      </c>
      <c r="AG17" s="5" t="s">
        <v>195</v>
      </c>
      <c r="AH17" s="5">
        <v>3.2</v>
      </c>
      <c r="AI17" s="9">
        <v>2.14</v>
      </c>
      <c r="AJ17" s="9">
        <v>5.88</v>
      </c>
      <c r="AK17" s="5" t="s">
        <v>196</v>
      </c>
      <c r="AL17" s="5">
        <v>145</v>
      </c>
      <c r="AM17" s="9">
        <v>0.27</v>
      </c>
      <c r="AN17" s="9">
        <v>4.74</v>
      </c>
    </row>
    <row r="18" spans="1:40" x14ac:dyDescent="0.3">
      <c r="A18" s="7">
        <v>45488</v>
      </c>
      <c r="B18" s="5" t="s">
        <v>18</v>
      </c>
      <c r="C18" s="5" t="str">
        <f t="shared" si="0"/>
        <v>45488C</v>
      </c>
      <c r="D18" s="5" t="s">
        <v>28</v>
      </c>
      <c r="E18" s="5">
        <v>23</v>
      </c>
      <c r="F18" s="9">
        <v>3.36</v>
      </c>
      <c r="G18" s="5" t="s">
        <v>116</v>
      </c>
      <c r="H18" s="5">
        <v>0</v>
      </c>
      <c r="I18" s="5"/>
      <c r="J18" s="5" t="s">
        <v>197</v>
      </c>
      <c r="K18" s="5">
        <v>102.06</v>
      </c>
      <c r="L18" s="8">
        <v>25.48</v>
      </c>
      <c r="M18" s="5" t="s">
        <v>198</v>
      </c>
      <c r="N18" s="5">
        <v>8.0299999999999994</v>
      </c>
      <c r="O18" s="9">
        <v>2.29</v>
      </c>
      <c r="P18" s="9">
        <v>1.47</v>
      </c>
      <c r="Q18" s="5" t="s">
        <v>199</v>
      </c>
      <c r="R18" s="5">
        <v>36.83</v>
      </c>
      <c r="S18" s="9">
        <v>3.46</v>
      </c>
      <c r="T18" s="8">
        <v>5.0199999999999996</v>
      </c>
      <c r="U18" s="5" t="s">
        <v>194</v>
      </c>
      <c r="V18" s="5">
        <v>26.16</v>
      </c>
      <c r="W18" s="9">
        <v>1.32</v>
      </c>
      <c r="X18" s="9">
        <v>0.19</v>
      </c>
      <c r="Y18" s="5" t="s">
        <v>200</v>
      </c>
      <c r="Z18" s="5">
        <v>54.99</v>
      </c>
      <c r="AA18" s="9">
        <v>0.09</v>
      </c>
      <c r="AB18" s="9">
        <v>0.14000000000000001</v>
      </c>
      <c r="AC18" s="5" t="s">
        <v>201</v>
      </c>
      <c r="AD18" s="5">
        <v>3.56</v>
      </c>
      <c r="AE18" s="9">
        <v>1.1100000000000001</v>
      </c>
      <c r="AF18" s="9">
        <v>6.56</v>
      </c>
      <c r="AG18" s="5" t="s">
        <v>202</v>
      </c>
      <c r="AH18" s="5">
        <v>3.16</v>
      </c>
      <c r="AI18" s="9">
        <v>2.16</v>
      </c>
      <c r="AJ18" s="8">
        <v>7.05</v>
      </c>
      <c r="AK18" s="5" t="s">
        <v>203</v>
      </c>
      <c r="AL18" s="5">
        <v>151.16999999999999</v>
      </c>
      <c r="AM18" s="9">
        <v>2.2400000000000002</v>
      </c>
      <c r="AN18" s="9">
        <v>0.69</v>
      </c>
    </row>
    <row r="19" spans="1:40" ht="18" x14ac:dyDescent="0.35">
      <c r="A19" s="7">
        <v>45489</v>
      </c>
      <c r="B19" s="5" t="s">
        <v>19</v>
      </c>
      <c r="C19" s="5" t="str">
        <f t="shared" si="0"/>
        <v>45489A</v>
      </c>
      <c r="D19" s="5" t="s">
        <v>29</v>
      </c>
      <c r="E19" s="5">
        <v>25.98</v>
      </c>
      <c r="F19" s="8">
        <v>16.39</v>
      </c>
      <c r="G19" s="5" t="s">
        <v>116</v>
      </c>
      <c r="H19" s="5">
        <v>0</v>
      </c>
      <c r="I19" s="5"/>
      <c r="J19" s="5" t="s">
        <v>124</v>
      </c>
      <c r="K19" s="5">
        <v>62.35</v>
      </c>
      <c r="L19" s="9">
        <v>23.3</v>
      </c>
      <c r="M19" s="5" t="s">
        <v>118</v>
      </c>
      <c r="N19" s="5">
        <v>7.6</v>
      </c>
      <c r="O19" s="9">
        <v>2.93</v>
      </c>
      <c r="P19" s="8">
        <v>6.74</v>
      </c>
      <c r="Q19" s="5">
        <v>38.39</v>
      </c>
      <c r="R19" s="5">
        <v>37</v>
      </c>
      <c r="S19" s="9">
        <v>3.62</v>
      </c>
      <c r="T19" s="9">
        <v>4.58</v>
      </c>
      <c r="U19" s="5" t="s">
        <v>204</v>
      </c>
      <c r="V19" s="10">
        <v>29.2</v>
      </c>
      <c r="W19" s="8">
        <v>12.95</v>
      </c>
      <c r="X19" s="8">
        <v>11.4</v>
      </c>
      <c r="Y19" s="5" t="s">
        <v>205</v>
      </c>
      <c r="Z19" s="12">
        <v>54.23</v>
      </c>
      <c r="AA19" s="9">
        <v>1.1399999999999999</v>
      </c>
      <c r="AB19" s="9">
        <v>1.52</v>
      </c>
      <c r="AC19" s="5" t="s">
        <v>206</v>
      </c>
      <c r="AD19" s="12">
        <v>3.56</v>
      </c>
      <c r="AE19" s="9">
        <v>0.28000000000000003</v>
      </c>
      <c r="AF19" s="9">
        <v>6.56</v>
      </c>
      <c r="AG19" s="5" t="s">
        <v>207</v>
      </c>
      <c r="AH19" s="10">
        <v>2.95</v>
      </c>
      <c r="AI19" s="8">
        <v>8.9499999999999993</v>
      </c>
      <c r="AJ19" s="8">
        <v>13.23</v>
      </c>
      <c r="AK19" s="5" t="s">
        <v>208</v>
      </c>
      <c r="AL19" s="5">
        <v>152</v>
      </c>
      <c r="AM19" s="9">
        <v>1.42</v>
      </c>
      <c r="AN19" s="9">
        <v>0.15</v>
      </c>
    </row>
    <row r="20" spans="1:40" ht="18" x14ac:dyDescent="0.35">
      <c r="A20" s="7">
        <v>45489</v>
      </c>
      <c r="B20" s="5" t="s">
        <v>20</v>
      </c>
      <c r="C20" s="5" t="str">
        <f t="shared" si="0"/>
        <v>45489B</v>
      </c>
      <c r="D20" s="5" t="s">
        <v>30</v>
      </c>
      <c r="E20" s="5">
        <v>28.36</v>
      </c>
      <c r="F20" s="8">
        <v>29.37</v>
      </c>
      <c r="G20" s="5" t="s">
        <v>116</v>
      </c>
      <c r="H20" s="5">
        <v>0</v>
      </c>
      <c r="I20" s="5"/>
      <c r="J20" s="5" t="s">
        <v>124</v>
      </c>
      <c r="K20" s="5">
        <v>77.209999999999994</v>
      </c>
      <c r="L20" s="9">
        <v>5.03</v>
      </c>
      <c r="M20" s="5" t="s">
        <v>209</v>
      </c>
      <c r="N20" s="5">
        <v>7.62</v>
      </c>
      <c r="O20" s="8">
        <v>3.66</v>
      </c>
      <c r="P20" s="8">
        <v>6.5</v>
      </c>
      <c r="Q20" s="5">
        <v>38</v>
      </c>
      <c r="R20" s="5">
        <v>38</v>
      </c>
      <c r="S20" s="9">
        <v>0</v>
      </c>
      <c r="T20" s="9">
        <v>2.0099999999999998</v>
      </c>
      <c r="U20" s="5" t="s">
        <v>210</v>
      </c>
      <c r="V20" s="5">
        <v>26.34</v>
      </c>
      <c r="W20" s="9">
        <v>2.29</v>
      </c>
      <c r="X20" s="9">
        <v>0.49</v>
      </c>
      <c r="Y20" s="5" t="s">
        <v>211</v>
      </c>
      <c r="Z20" s="5">
        <v>54.23</v>
      </c>
      <c r="AA20" s="9">
        <v>0.31</v>
      </c>
      <c r="AB20" s="9">
        <v>1.52</v>
      </c>
      <c r="AC20" s="5" t="s">
        <v>212</v>
      </c>
      <c r="AD20" s="5">
        <v>3.3</v>
      </c>
      <c r="AE20" s="9">
        <v>5.44</v>
      </c>
      <c r="AF20" s="8">
        <v>13.38</v>
      </c>
      <c r="AG20" s="5" t="s">
        <v>213</v>
      </c>
      <c r="AH20" s="10">
        <v>3.01</v>
      </c>
      <c r="AI20" s="9">
        <v>5.93</v>
      </c>
      <c r="AJ20" s="8">
        <v>11.47</v>
      </c>
      <c r="AK20" s="5" t="s">
        <v>214</v>
      </c>
      <c r="AL20" s="5">
        <v>157.5</v>
      </c>
      <c r="AM20" s="9">
        <v>1.63</v>
      </c>
      <c r="AN20" s="9">
        <v>3.46</v>
      </c>
    </row>
    <row r="21" spans="1:40" x14ac:dyDescent="0.3">
      <c r="A21" s="7">
        <v>45489</v>
      </c>
      <c r="B21" s="5" t="s">
        <v>18</v>
      </c>
      <c r="C21" s="5" t="str">
        <f t="shared" si="0"/>
        <v>45489C</v>
      </c>
      <c r="D21" s="5" t="s">
        <v>26</v>
      </c>
      <c r="E21" s="5">
        <v>27.67</v>
      </c>
      <c r="F21" s="9">
        <v>2.29</v>
      </c>
      <c r="G21" s="5" t="s">
        <v>116</v>
      </c>
      <c r="H21" s="5">
        <v>0</v>
      </c>
      <c r="I21" s="5"/>
      <c r="J21" s="5" t="s">
        <v>184</v>
      </c>
      <c r="K21" s="5">
        <v>70.19</v>
      </c>
      <c r="L21" s="9">
        <v>13.75</v>
      </c>
      <c r="M21" s="5" t="s">
        <v>215</v>
      </c>
      <c r="N21" s="5">
        <v>7.6</v>
      </c>
      <c r="O21" s="9">
        <v>2.2799999999999998</v>
      </c>
      <c r="P21" s="8">
        <v>6.74</v>
      </c>
      <c r="Q21" s="5" t="s">
        <v>216</v>
      </c>
      <c r="R21" s="5">
        <v>37</v>
      </c>
      <c r="S21" s="9">
        <v>2.21</v>
      </c>
      <c r="T21" s="9">
        <v>4.58</v>
      </c>
      <c r="U21" s="5" t="s">
        <v>217</v>
      </c>
      <c r="V21" s="5">
        <v>26.26</v>
      </c>
      <c r="W21" s="9">
        <v>0.15</v>
      </c>
      <c r="X21" s="9">
        <v>0.19</v>
      </c>
      <c r="Y21" s="10" t="s">
        <v>218</v>
      </c>
      <c r="Z21" s="12">
        <v>54.23</v>
      </c>
      <c r="AA21" s="9">
        <v>0.28999999999999998</v>
      </c>
      <c r="AB21" s="9">
        <v>1.52</v>
      </c>
      <c r="AC21" s="5" t="s">
        <v>219</v>
      </c>
      <c r="AD21" s="12">
        <v>3.3</v>
      </c>
      <c r="AE21" s="9">
        <v>1.22</v>
      </c>
      <c r="AF21" s="8">
        <v>13.38</v>
      </c>
      <c r="AG21" s="5" t="s">
        <v>146</v>
      </c>
      <c r="AH21" s="10">
        <v>3.01</v>
      </c>
      <c r="AI21" s="9">
        <v>3.52</v>
      </c>
      <c r="AJ21" s="8">
        <v>11.47</v>
      </c>
      <c r="AK21" s="5" t="s">
        <v>220</v>
      </c>
      <c r="AL21" s="5">
        <v>146</v>
      </c>
      <c r="AM21" s="9">
        <v>4.43</v>
      </c>
      <c r="AN21" s="9">
        <v>4.09</v>
      </c>
    </row>
    <row r="22" spans="1:40" x14ac:dyDescent="0.3">
      <c r="A22" s="7">
        <v>45490</v>
      </c>
      <c r="B22" s="5" t="s">
        <v>19</v>
      </c>
      <c r="C22" s="5" t="str">
        <f t="shared" si="0"/>
        <v>45490A</v>
      </c>
      <c r="D22" s="5" t="s">
        <v>31</v>
      </c>
      <c r="E22" s="5">
        <v>28.5</v>
      </c>
      <c r="F22" s="8">
        <v>11.45</v>
      </c>
      <c r="G22" s="5" t="s">
        <v>116</v>
      </c>
      <c r="H22" s="5">
        <v>0</v>
      </c>
      <c r="I22" s="5"/>
      <c r="J22" s="5" t="s">
        <v>221</v>
      </c>
      <c r="K22" s="5">
        <v>77.73</v>
      </c>
      <c r="L22" s="9">
        <v>4.4400000000000004</v>
      </c>
      <c r="M22" s="5" t="s">
        <v>222</v>
      </c>
      <c r="N22" s="5">
        <v>8.1999999999999993</v>
      </c>
      <c r="O22" s="8">
        <v>5.39</v>
      </c>
      <c r="P22" s="9">
        <v>0.61</v>
      </c>
      <c r="Q22" s="5" t="s">
        <v>223</v>
      </c>
      <c r="R22" s="5">
        <v>38</v>
      </c>
      <c r="S22" s="9">
        <v>0.5</v>
      </c>
      <c r="T22" s="9">
        <v>2.0099999999999998</v>
      </c>
      <c r="U22" s="5" t="s">
        <v>224</v>
      </c>
      <c r="V22" s="10">
        <v>29.6</v>
      </c>
      <c r="W22" s="8">
        <v>9.4600000000000009</v>
      </c>
      <c r="X22" s="8">
        <v>12.93</v>
      </c>
      <c r="Y22" s="5" t="s">
        <v>225</v>
      </c>
      <c r="Z22" s="12">
        <v>54.72</v>
      </c>
      <c r="AA22" s="9">
        <v>0.68</v>
      </c>
      <c r="AB22" s="9">
        <v>0.63</v>
      </c>
      <c r="AC22" s="5" t="s">
        <v>226</v>
      </c>
      <c r="AD22" s="5">
        <v>3.47</v>
      </c>
      <c r="AE22" s="9">
        <v>4.2</v>
      </c>
      <c r="AF22" s="8">
        <v>8.92</v>
      </c>
      <c r="AG22" s="5" t="s">
        <v>227</v>
      </c>
      <c r="AH22" s="5">
        <v>3.26</v>
      </c>
      <c r="AI22" s="9">
        <v>2.83</v>
      </c>
      <c r="AJ22" s="9">
        <v>4.1100000000000003</v>
      </c>
      <c r="AK22" s="5" t="s">
        <v>228</v>
      </c>
      <c r="AL22" s="5">
        <v>150.66999999999999</v>
      </c>
      <c r="AM22" s="9">
        <v>2.46</v>
      </c>
      <c r="AN22" s="9">
        <v>1.02</v>
      </c>
    </row>
    <row r="23" spans="1:40" x14ac:dyDescent="0.3">
      <c r="A23" s="7">
        <v>45490</v>
      </c>
      <c r="B23" s="5" t="s">
        <v>20</v>
      </c>
      <c r="C23" s="5" t="str">
        <f t="shared" si="0"/>
        <v>45490B</v>
      </c>
      <c r="D23" s="5" t="s">
        <v>32</v>
      </c>
      <c r="E23" s="5">
        <v>24.23</v>
      </c>
      <c r="F23" s="8">
        <v>21.75</v>
      </c>
      <c r="G23" s="5" t="s">
        <v>116</v>
      </c>
      <c r="H23" s="5">
        <v>0</v>
      </c>
      <c r="I23" s="5"/>
      <c r="J23" s="5" t="s">
        <v>229</v>
      </c>
      <c r="K23" s="5">
        <v>72.569999999999993</v>
      </c>
      <c r="L23" s="9">
        <v>10.7</v>
      </c>
      <c r="M23" s="5" t="s">
        <v>230</v>
      </c>
      <c r="N23" s="5">
        <v>8.1</v>
      </c>
      <c r="O23" s="9">
        <v>1.88</v>
      </c>
      <c r="P23" s="9">
        <v>0.61</v>
      </c>
      <c r="Q23" s="5" t="s">
        <v>231</v>
      </c>
      <c r="R23" s="5">
        <v>37.5</v>
      </c>
      <c r="S23" s="9">
        <v>0.02</v>
      </c>
      <c r="T23" s="9">
        <v>3.3</v>
      </c>
      <c r="U23" s="5" t="s">
        <v>232</v>
      </c>
      <c r="V23" s="5">
        <v>28.7</v>
      </c>
      <c r="W23" s="8">
        <v>5.08</v>
      </c>
      <c r="X23" s="8">
        <v>9.5</v>
      </c>
      <c r="Y23" s="5" t="s">
        <v>233</v>
      </c>
      <c r="Z23" s="12">
        <v>55.22</v>
      </c>
      <c r="AA23" s="9">
        <v>0.82</v>
      </c>
      <c r="AB23" s="9">
        <v>0.27</v>
      </c>
      <c r="AC23" s="5" t="s">
        <v>206</v>
      </c>
      <c r="AD23" s="5">
        <v>3.37</v>
      </c>
      <c r="AE23" s="9">
        <v>5.07</v>
      </c>
      <c r="AF23" s="8">
        <v>11.54</v>
      </c>
      <c r="AG23" s="5" t="s">
        <v>160</v>
      </c>
      <c r="AH23" s="5">
        <v>3.18</v>
      </c>
      <c r="AI23" s="9">
        <v>0.93</v>
      </c>
      <c r="AJ23" s="9">
        <v>6.47</v>
      </c>
      <c r="AK23" s="5" t="s">
        <v>234</v>
      </c>
      <c r="AL23" s="5">
        <v>147.75</v>
      </c>
      <c r="AM23" s="9">
        <v>2.59</v>
      </c>
      <c r="AN23" s="9">
        <v>2.94</v>
      </c>
    </row>
    <row r="24" spans="1:40" x14ac:dyDescent="0.3">
      <c r="A24" s="7">
        <v>45490</v>
      </c>
      <c r="B24" s="5" t="s">
        <v>18</v>
      </c>
      <c r="C24" s="5" t="str">
        <f t="shared" si="0"/>
        <v>45490C</v>
      </c>
      <c r="D24" s="5" t="s">
        <v>33</v>
      </c>
      <c r="E24" s="5">
        <v>15.96</v>
      </c>
      <c r="F24" s="8">
        <v>23.78</v>
      </c>
      <c r="G24" s="5" t="s">
        <v>116</v>
      </c>
      <c r="H24" s="5">
        <v>0</v>
      </c>
      <c r="I24" s="5"/>
      <c r="J24" s="5" t="s">
        <v>162</v>
      </c>
      <c r="K24" s="5">
        <v>53.09</v>
      </c>
      <c r="L24" s="8">
        <v>34.68</v>
      </c>
      <c r="M24" s="5" t="s">
        <v>230</v>
      </c>
      <c r="N24" s="5">
        <v>8.4</v>
      </c>
      <c r="O24" s="8">
        <v>5.66</v>
      </c>
      <c r="P24" s="8">
        <v>3.06</v>
      </c>
      <c r="Q24" s="5" t="s">
        <v>235</v>
      </c>
      <c r="R24" s="5">
        <v>39.33</v>
      </c>
      <c r="S24" s="8">
        <v>5.52</v>
      </c>
      <c r="T24" s="9">
        <v>1.41</v>
      </c>
      <c r="U24" s="5" t="s">
        <v>236</v>
      </c>
      <c r="V24" s="5">
        <v>27.05</v>
      </c>
      <c r="W24" s="9">
        <v>1.06</v>
      </c>
      <c r="X24" s="9">
        <v>3.2</v>
      </c>
      <c r="Y24" s="5" t="s">
        <v>237</v>
      </c>
      <c r="Z24" s="5">
        <v>55.22</v>
      </c>
      <c r="AA24" s="9">
        <v>0.12</v>
      </c>
      <c r="AB24" s="9">
        <v>0.27</v>
      </c>
      <c r="AC24" s="5" t="s">
        <v>212</v>
      </c>
      <c r="AD24" s="5">
        <v>3.37</v>
      </c>
      <c r="AE24" s="9">
        <v>3.43</v>
      </c>
      <c r="AF24" s="8">
        <v>11.54</v>
      </c>
      <c r="AG24" s="5" t="s">
        <v>138</v>
      </c>
      <c r="AH24" s="5">
        <v>3.32</v>
      </c>
      <c r="AI24" s="9">
        <v>4.07</v>
      </c>
      <c r="AJ24" s="9">
        <v>2.35</v>
      </c>
      <c r="AK24" s="5" t="s">
        <v>238</v>
      </c>
      <c r="AL24" s="5">
        <v>152</v>
      </c>
      <c r="AM24" s="9">
        <v>3.61</v>
      </c>
      <c r="AN24" s="9">
        <v>0.15</v>
      </c>
    </row>
    <row r="25" spans="1:40" x14ac:dyDescent="0.3">
      <c r="A25" s="7">
        <v>45491</v>
      </c>
      <c r="B25" s="5" t="s">
        <v>19</v>
      </c>
      <c r="C25" s="5" t="str">
        <f t="shared" si="0"/>
        <v>45491A</v>
      </c>
      <c r="D25" s="5" t="s">
        <v>34</v>
      </c>
      <c r="E25" s="5">
        <v>22.27</v>
      </c>
      <c r="F25" s="8">
        <v>10.9</v>
      </c>
      <c r="G25" s="5" t="s">
        <v>116</v>
      </c>
      <c r="H25" s="5">
        <v>0</v>
      </c>
      <c r="I25" s="5"/>
      <c r="J25" s="5" t="s">
        <v>229</v>
      </c>
      <c r="K25" s="5">
        <v>64</v>
      </c>
      <c r="L25" s="9">
        <v>21.25</v>
      </c>
      <c r="M25" s="5" t="s">
        <v>239</v>
      </c>
      <c r="N25" s="12">
        <v>8.09</v>
      </c>
      <c r="O25" s="9">
        <v>1.63</v>
      </c>
      <c r="P25" s="9">
        <v>0.73</v>
      </c>
      <c r="Q25" s="5" t="s">
        <v>240</v>
      </c>
      <c r="R25" s="5">
        <v>38</v>
      </c>
      <c r="S25" s="9">
        <v>0.26</v>
      </c>
      <c r="T25" s="9">
        <v>2.0099999999999998</v>
      </c>
      <c r="U25" s="5" t="s">
        <v>241</v>
      </c>
      <c r="V25" s="5">
        <v>26.4</v>
      </c>
      <c r="W25" s="9">
        <v>0.18</v>
      </c>
      <c r="X25" s="9">
        <v>0.72</v>
      </c>
      <c r="Y25" s="5" t="s">
        <v>242</v>
      </c>
      <c r="Z25" s="12">
        <v>56.62</v>
      </c>
      <c r="AA25" s="9">
        <v>2.79</v>
      </c>
      <c r="AB25" s="9">
        <v>2.81</v>
      </c>
      <c r="AC25" s="5" t="s">
        <v>243</v>
      </c>
      <c r="AD25" s="5">
        <v>3.6</v>
      </c>
      <c r="AE25" s="9">
        <v>1.98</v>
      </c>
      <c r="AF25" s="9">
        <v>5.51</v>
      </c>
      <c r="AG25" s="5" t="s">
        <v>175</v>
      </c>
      <c r="AH25" s="5">
        <v>3.14</v>
      </c>
      <c r="AI25" s="9">
        <v>3.38</v>
      </c>
      <c r="AJ25" s="8">
        <v>7.64</v>
      </c>
      <c r="AK25" s="5" t="s">
        <v>244</v>
      </c>
      <c r="AL25" s="5">
        <v>159</v>
      </c>
      <c r="AM25" s="9">
        <v>6.49</v>
      </c>
      <c r="AN25" s="9">
        <v>4.4400000000000004</v>
      </c>
    </row>
    <row r="26" spans="1:40" x14ac:dyDescent="0.3">
      <c r="A26" s="7">
        <v>45491</v>
      </c>
      <c r="B26" s="5" t="s">
        <v>20</v>
      </c>
      <c r="C26" s="5" t="str">
        <f t="shared" si="0"/>
        <v>45491B</v>
      </c>
      <c r="D26" s="5" t="s">
        <v>35</v>
      </c>
      <c r="E26" s="5">
        <v>23.54</v>
      </c>
      <c r="F26" s="8">
        <v>10.18</v>
      </c>
      <c r="G26" s="5" t="s">
        <v>245</v>
      </c>
      <c r="H26" s="5">
        <v>0</v>
      </c>
      <c r="I26" s="8">
        <v>100</v>
      </c>
      <c r="J26" s="5" t="s">
        <v>246</v>
      </c>
      <c r="K26" s="5">
        <v>69.239999999999995</v>
      </c>
      <c r="L26" s="9">
        <v>14.93</v>
      </c>
      <c r="M26" s="5" t="s">
        <v>247</v>
      </c>
      <c r="N26" s="5">
        <v>8.0500000000000007</v>
      </c>
      <c r="O26" s="9">
        <v>0.73</v>
      </c>
      <c r="P26" s="9">
        <v>1.22</v>
      </c>
      <c r="Q26" s="5" t="s">
        <v>248</v>
      </c>
      <c r="R26" s="5">
        <v>37</v>
      </c>
      <c r="S26" s="9">
        <v>3.03</v>
      </c>
      <c r="T26" s="9">
        <v>4.58</v>
      </c>
      <c r="U26" s="5" t="s">
        <v>249</v>
      </c>
      <c r="V26" s="5">
        <v>27.96</v>
      </c>
      <c r="W26" s="8">
        <v>7.41</v>
      </c>
      <c r="X26" s="8">
        <v>6.67</v>
      </c>
      <c r="Y26" s="5" t="s">
        <v>250</v>
      </c>
      <c r="Z26" s="5">
        <v>56.62</v>
      </c>
      <c r="AA26" s="9">
        <v>0.92</v>
      </c>
      <c r="AB26" s="9">
        <v>2.81</v>
      </c>
      <c r="AC26" s="5" t="s">
        <v>174</v>
      </c>
      <c r="AD26" s="5">
        <v>3.45</v>
      </c>
      <c r="AE26" s="9">
        <v>6.5</v>
      </c>
      <c r="AF26" s="8">
        <v>9.44</v>
      </c>
      <c r="AG26" s="5" t="s">
        <v>122</v>
      </c>
      <c r="AH26" s="10">
        <v>3.1</v>
      </c>
      <c r="AI26" s="9">
        <v>3.72</v>
      </c>
      <c r="AJ26" s="8">
        <v>8.82</v>
      </c>
      <c r="AK26" s="5" t="s">
        <v>251</v>
      </c>
      <c r="AL26" s="5">
        <v>154.25</v>
      </c>
      <c r="AM26" s="9">
        <v>1.54</v>
      </c>
      <c r="AN26" s="9">
        <v>1.32</v>
      </c>
    </row>
    <row r="27" spans="1:40" ht="18" x14ac:dyDescent="0.35">
      <c r="A27" s="7">
        <v>45491</v>
      </c>
      <c r="B27" s="5" t="s">
        <v>18</v>
      </c>
      <c r="C27" s="5" t="str">
        <f t="shared" si="0"/>
        <v>45491C</v>
      </c>
      <c r="D27" s="5">
        <v>27.05</v>
      </c>
      <c r="E27" s="5">
        <v>25.99</v>
      </c>
      <c r="F27" s="9">
        <v>3.91</v>
      </c>
      <c r="G27" s="5" t="s">
        <v>116</v>
      </c>
      <c r="H27" s="5">
        <v>0</v>
      </c>
      <c r="I27" s="5"/>
      <c r="J27" s="5" t="s">
        <v>184</v>
      </c>
      <c r="K27" s="5">
        <v>69.760000000000005</v>
      </c>
      <c r="L27" s="9">
        <v>14.27</v>
      </c>
      <c r="M27" s="5" t="s">
        <v>252</v>
      </c>
      <c r="N27" s="5">
        <v>8.1999999999999993</v>
      </c>
      <c r="O27" s="8">
        <v>3.4</v>
      </c>
      <c r="P27" s="9">
        <v>0.61</v>
      </c>
      <c r="Q27" s="5" t="s">
        <v>253</v>
      </c>
      <c r="R27" s="5">
        <v>38.67</v>
      </c>
      <c r="S27" s="9">
        <v>2.79</v>
      </c>
      <c r="T27" s="9">
        <v>0.28000000000000003</v>
      </c>
      <c r="U27" s="5" t="s">
        <v>254</v>
      </c>
      <c r="V27" s="5">
        <v>27.33</v>
      </c>
      <c r="W27" s="9">
        <v>4.07</v>
      </c>
      <c r="X27" s="9">
        <v>4.2699999999999996</v>
      </c>
      <c r="Y27" s="5">
        <v>56.05</v>
      </c>
      <c r="Z27" s="5">
        <v>56.62</v>
      </c>
      <c r="AA27" s="9">
        <v>1.01</v>
      </c>
      <c r="AB27" s="9">
        <v>2.81</v>
      </c>
      <c r="AC27" s="5" t="s">
        <v>243</v>
      </c>
      <c r="AD27" s="5">
        <v>3.45</v>
      </c>
      <c r="AE27" s="9">
        <v>2.2599999999999998</v>
      </c>
      <c r="AF27" s="8">
        <v>9.44</v>
      </c>
      <c r="AG27" s="5" t="s">
        <v>255</v>
      </c>
      <c r="AH27" s="5">
        <v>3.18</v>
      </c>
      <c r="AI27" s="9">
        <v>0.63</v>
      </c>
      <c r="AJ27" s="9">
        <v>6.47</v>
      </c>
      <c r="AK27" s="5" t="s">
        <v>256</v>
      </c>
      <c r="AL27" s="5">
        <v>147.66999999999999</v>
      </c>
      <c r="AM27" s="9">
        <v>1.95</v>
      </c>
      <c r="AN27" s="9">
        <v>2.99</v>
      </c>
    </row>
    <row r="28" spans="1:40" ht="18" x14ac:dyDescent="0.35">
      <c r="A28" s="7">
        <v>45492</v>
      </c>
      <c r="B28" s="5" t="s">
        <v>19</v>
      </c>
      <c r="C28" s="5" t="str">
        <f t="shared" si="0"/>
        <v>45492A</v>
      </c>
      <c r="D28" s="5">
        <v>25.45</v>
      </c>
      <c r="E28" s="5">
        <v>26.11</v>
      </c>
      <c r="F28" s="9">
        <v>2.59</v>
      </c>
      <c r="G28" s="5" t="s">
        <v>257</v>
      </c>
      <c r="H28" s="5">
        <v>0</v>
      </c>
      <c r="I28" s="8">
        <v>100</v>
      </c>
      <c r="J28" s="5" t="s">
        <v>246</v>
      </c>
      <c r="K28" s="5">
        <v>51.55</v>
      </c>
      <c r="L28" s="8">
        <v>36.67</v>
      </c>
      <c r="M28" s="5" t="s">
        <v>258</v>
      </c>
      <c r="N28" s="5">
        <v>8.3000000000000007</v>
      </c>
      <c r="O28" s="9">
        <v>2.97</v>
      </c>
      <c r="P28" s="9">
        <v>1.84</v>
      </c>
      <c r="Q28" s="5" t="s">
        <v>193</v>
      </c>
      <c r="R28" s="5">
        <v>38.33</v>
      </c>
      <c r="S28" s="9">
        <v>0.41</v>
      </c>
      <c r="T28" s="9">
        <v>1.1599999999999999</v>
      </c>
      <c r="U28" s="5" t="s">
        <v>259</v>
      </c>
      <c r="V28" s="5">
        <v>27.1</v>
      </c>
      <c r="W28" s="9">
        <v>4.3499999999999996</v>
      </c>
      <c r="X28" s="9">
        <v>3.39</v>
      </c>
      <c r="Y28" s="5" t="s">
        <v>260</v>
      </c>
      <c r="Z28" s="5">
        <v>57.18</v>
      </c>
      <c r="AA28" s="9">
        <v>1.99</v>
      </c>
      <c r="AB28" s="9">
        <v>3.83</v>
      </c>
      <c r="AC28" s="5" t="s">
        <v>261</v>
      </c>
      <c r="AD28" s="5">
        <v>3.45</v>
      </c>
      <c r="AE28" s="9">
        <v>5.73</v>
      </c>
      <c r="AF28" s="8">
        <v>9.44</v>
      </c>
      <c r="AG28" s="5" t="s">
        <v>207</v>
      </c>
      <c r="AH28" s="5">
        <v>3.22</v>
      </c>
      <c r="AI28" s="9">
        <v>0.61</v>
      </c>
      <c r="AJ28" s="9">
        <v>5.29</v>
      </c>
      <c r="AK28" s="5" t="s">
        <v>262</v>
      </c>
      <c r="AL28" s="5">
        <v>148.33000000000001</v>
      </c>
      <c r="AM28" s="9">
        <v>0.45</v>
      </c>
      <c r="AN28" s="9">
        <v>2.56</v>
      </c>
    </row>
    <row r="29" spans="1:40" ht="18" x14ac:dyDescent="0.35">
      <c r="A29" s="7">
        <v>45492</v>
      </c>
      <c r="B29" s="5" t="s">
        <v>20</v>
      </c>
      <c r="C29" s="5" t="str">
        <f t="shared" si="0"/>
        <v>45492B</v>
      </c>
      <c r="D29" s="5">
        <v>24.11</v>
      </c>
      <c r="E29" s="5">
        <v>27.2</v>
      </c>
      <c r="F29" s="8">
        <v>12.81</v>
      </c>
      <c r="G29" s="5" t="s">
        <v>263</v>
      </c>
      <c r="H29" s="5">
        <v>0</v>
      </c>
      <c r="I29" s="8">
        <v>100</v>
      </c>
      <c r="J29" s="5" t="s">
        <v>264</v>
      </c>
      <c r="K29" s="5">
        <v>76.739999999999995</v>
      </c>
      <c r="L29" s="9">
        <v>5.8</v>
      </c>
      <c r="M29" s="5" t="s">
        <v>265</v>
      </c>
      <c r="N29" s="5">
        <v>8.33</v>
      </c>
      <c r="O29" s="9">
        <v>0.84</v>
      </c>
      <c r="P29" s="9">
        <v>2.2000000000000002</v>
      </c>
      <c r="Q29" s="5" t="s">
        <v>266</v>
      </c>
      <c r="R29" s="5">
        <v>36.57</v>
      </c>
      <c r="S29" s="8">
        <v>5.57</v>
      </c>
      <c r="T29" s="8">
        <v>5.69</v>
      </c>
      <c r="U29" s="5" t="s">
        <v>267</v>
      </c>
      <c r="V29" s="5">
        <v>27.63</v>
      </c>
      <c r="W29" s="8">
        <v>7.5</v>
      </c>
      <c r="X29" s="8">
        <v>5.41</v>
      </c>
      <c r="Y29" s="5" t="s">
        <v>268</v>
      </c>
      <c r="Z29" s="5">
        <v>57.18</v>
      </c>
      <c r="AA29" s="9">
        <v>1.18</v>
      </c>
      <c r="AB29" s="9">
        <v>3.83</v>
      </c>
      <c r="AC29" s="5" t="s">
        <v>269</v>
      </c>
      <c r="AD29" s="5">
        <v>3.65</v>
      </c>
      <c r="AE29" s="9">
        <v>4.45</v>
      </c>
      <c r="AF29" s="9">
        <v>4.1900000000000004</v>
      </c>
      <c r="AG29" s="5" t="s">
        <v>153</v>
      </c>
      <c r="AH29" s="5">
        <v>3.32</v>
      </c>
      <c r="AI29" s="9">
        <v>0.6</v>
      </c>
      <c r="AJ29" s="9">
        <v>2.35</v>
      </c>
      <c r="AK29" s="5" t="s">
        <v>270</v>
      </c>
      <c r="AL29" s="5">
        <v>156.86000000000001</v>
      </c>
      <c r="AM29" s="9">
        <v>3.92</v>
      </c>
      <c r="AN29" s="9">
        <v>3.04</v>
      </c>
    </row>
    <row r="30" spans="1:40" x14ac:dyDescent="0.3">
      <c r="A30" s="7">
        <v>45492</v>
      </c>
      <c r="B30" s="5" t="s">
        <v>18</v>
      </c>
      <c r="C30" s="5" t="str">
        <f t="shared" si="0"/>
        <v>45492C</v>
      </c>
      <c r="D30" s="5" t="s">
        <v>36</v>
      </c>
      <c r="E30" s="5">
        <v>18.059999999999999</v>
      </c>
      <c r="F30" s="8">
        <v>19.73</v>
      </c>
      <c r="G30" s="5" t="s">
        <v>271</v>
      </c>
      <c r="H30" s="5">
        <v>0</v>
      </c>
      <c r="I30" s="8">
        <v>100</v>
      </c>
      <c r="J30" s="5" t="s">
        <v>272</v>
      </c>
      <c r="K30" s="5">
        <v>65.27</v>
      </c>
      <c r="L30" s="9">
        <v>19.82</v>
      </c>
      <c r="M30" s="5" t="s">
        <v>273</v>
      </c>
      <c r="N30" s="10">
        <v>8.6999999999999993</v>
      </c>
      <c r="O30" s="8">
        <v>6.74</v>
      </c>
      <c r="P30" s="8">
        <v>6.74</v>
      </c>
      <c r="Q30" s="5" t="s">
        <v>186</v>
      </c>
      <c r="R30" s="10">
        <v>35.33</v>
      </c>
      <c r="S30" s="8">
        <v>7.63</v>
      </c>
      <c r="T30" s="8">
        <v>8.89</v>
      </c>
      <c r="U30" s="5" t="s">
        <v>274</v>
      </c>
      <c r="V30" s="10">
        <v>29.03</v>
      </c>
      <c r="W30" s="8">
        <v>12.82</v>
      </c>
      <c r="X30" s="8">
        <v>10.75</v>
      </c>
      <c r="Y30" s="5" t="s">
        <v>275</v>
      </c>
      <c r="Z30" s="5">
        <v>57.18</v>
      </c>
      <c r="AA30" s="9">
        <v>1.1599999999999999</v>
      </c>
      <c r="AB30" s="9">
        <v>3.83</v>
      </c>
      <c r="AC30" s="5" t="s">
        <v>276</v>
      </c>
      <c r="AD30" s="5">
        <v>3.65</v>
      </c>
      <c r="AE30" s="9">
        <v>6.16</v>
      </c>
      <c r="AF30" s="9">
        <v>4.1900000000000004</v>
      </c>
      <c r="AG30" s="5" t="s">
        <v>219</v>
      </c>
      <c r="AH30" s="5">
        <v>3.34</v>
      </c>
      <c r="AI30" s="9">
        <v>2.4500000000000002</v>
      </c>
      <c r="AJ30" s="9">
        <v>1.76</v>
      </c>
      <c r="AK30" s="5" t="s">
        <v>277</v>
      </c>
      <c r="AL30" s="5">
        <v>156.66999999999999</v>
      </c>
      <c r="AM30" s="9">
        <v>2.91</v>
      </c>
      <c r="AN30" s="9">
        <v>2.91</v>
      </c>
    </row>
    <row r="31" spans="1:40" ht="18" x14ac:dyDescent="0.35">
      <c r="A31" s="7">
        <v>45495</v>
      </c>
      <c r="B31" s="5" t="s">
        <v>19</v>
      </c>
      <c r="C31" s="5" t="str">
        <f t="shared" si="0"/>
        <v>45495A</v>
      </c>
      <c r="D31" s="5" t="s">
        <v>37</v>
      </c>
      <c r="E31" s="5">
        <v>19.690000000000001</v>
      </c>
      <c r="F31" s="9">
        <v>2.2799999999999998</v>
      </c>
      <c r="G31" s="5" t="s">
        <v>153</v>
      </c>
      <c r="H31" s="5">
        <v>27.22</v>
      </c>
      <c r="I31" s="8">
        <v>724.84</v>
      </c>
      <c r="J31" s="5" t="s">
        <v>169</v>
      </c>
      <c r="K31" s="5">
        <v>58.02</v>
      </c>
      <c r="L31" s="8">
        <v>28.65</v>
      </c>
      <c r="M31" s="5" t="s">
        <v>247</v>
      </c>
      <c r="N31" s="5">
        <v>8.33</v>
      </c>
      <c r="O31" s="9">
        <v>2.71</v>
      </c>
      <c r="P31" s="9">
        <v>2.2000000000000002</v>
      </c>
      <c r="Q31" s="5" t="s">
        <v>179</v>
      </c>
      <c r="R31" s="5">
        <v>39</v>
      </c>
      <c r="S31" s="9">
        <v>3.44</v>
      </c>
      <c r="T31" s="9">
        <v>0.56000000000000005</v>
      </c>
      <c r="U31" s="5" t="s">
        <v>278</v>
      </c>
      <c r="V31" s="5">
        <v>27.92</v>
      </c>
      <c r="W31" s="8">
        <v>7.42</v>
      </c>
      <c r="X31" s="8">
        <v>6.52</v>
      </c>
      <c r="Y31" s="5">
        <v>56.56</v>
      </c>
      <c r="Z31" s="5">
        <v>56.39</v>
      </c>
      <c r="AA31" s="9">
        <v>0.3</v>
      </c>
      <c r="AB31" s="9">
        <v>2.39</v>
      </c>
      <c r="AC31" s="5" t="s">
        <v>279</v>
      </c>
      <c r="AD31" s="12">
        <v>3.65</v>
      </c>
      <c r="AE31" s="9">
        <v>4.1900000000000004</v>
      </c>
      <c r="AF31" s="9">
        <v>4.1900000000000004</v>
      </c>
      <c r="AG31" s="5" t="s">
        <v>207</v>
      </c>
      <c r="AH31" s="10">
        <v>3.5</v>
      </c>
      <c r="AI31" s="8">
        <v>8.02</v>
      </c>
      <c r="AJ31" s="9">
        <v>2.94</v>
      </c>
      <c r="AK31" s="5" t="s">
        <v>280</v>
      </c>
      <c r="AL31" s="5">
        <v>151.4</v>
      </c>
      <c r="AM31" s="9">
        <v>1.06</v>
      </c>
      <c r="AN31" s="9">
        <v>0.54</v>
      </c>
    </row>
    <row r="32" spans="1:40" ht="18" x14ac:dyDescent="0.35">
      <c r="A32" s="7">
        <v>45495</v>
      </c>
      <c r="B32" s="5" t="s">
        <v>20</v>
      </c>
      <c r="C32" s="5" t="str">
        <f t="shared" si="0"/>
        <v>45495B</v>
      </c>
      <c r="D32" s="5" t="s">
        <v>38</v>
      </c>
      <c r="E32" s="5">
        <v>20.71</v>
      </c>
      <c r="F32" s="8">
        <v>7.41</v>
      </c>
      <c r="G32" s="5" t="s">
        <v>281</v>
      </c>
      <c r="H32" s="5">
        <v>13.25</v>
      </c>
      <c r="I32" s="8">
        <v>47.55</v>
      </c>
      <c r="J32" s="5" t="s">
        <v>282</v>
      </c>
      <c r="K32" s="5">
        <v>69.599999999999994</v>
      </c>
      <c r="L32" s="8">
        <v>39.28</v>
      </c>
      <c r="M32" s="5" t="s">
        <v>283</v>
      </c>
      <c r="N32" s="5">
        <v>8.6</v>
      </c>
      <c r="O32" s="8">
        <v>4.3600000000000003</v>
      </c>
      <c r="P32" s="8">
        <v>5.52</v>
      </c>
      <c r="Q32" s="5" t="s">
        <v>284</v>
      </c>
      <c r="R32" s="5">
        <v>38.83</v>
      </c>
      <c r="S32" s="9">
        <v>0.17</v>
      </c>
      <c r="T32" s="9">
        <v>0.12</v>
      </c>
      <c r="U32" s="5" t="s">
        <v>285</v>
      </c>
      <c r="V32" s="5">
        <v>27.9</v>
      </c>
      <c r="W32" s="8">
        <v>9.7899999999999991</v>
      </c>
      <c r="X32" s="8">
        <v>6.44</v>
      </c>
      <c r="Y32" s="5">
        <v>56.36</v>
      </c>
      <c r="Z32" s="5">
        <v>56.39</v>
      </c>
      <c r="AA32" s="9">
        <v>0.05</v>
      </c>
      <c r="AB32" s="9">
        <v>2.39</v>
      </c>
      <c r="AC32" s="5" t="s">
        <v>286</v>
      </c>
      <c r="AD32" s="5">
        <v>3.83</v>
      </c>
      <c r="AE32" s="9">
        <v>3.03</v>
      </c>
      <c r="AF32" s="9">
        <v>0.52</v>
      </c>
      <c r="AG32" s="5">
        <v>3.38</v>
      </c>
      <c r="AH32" s="10">
        <v>3.54</v>
      </c>
      <c r="AI32" s="9">
        <v>4.7300000000000004</v>
      </c>
      <c r="AJ32" s="9">
        <v>4.1100000000000003</v>
      </c>
      <c r="AK32" s="5" t="s">
        <v>287</v>
      </c>
      <c r="AL32" s="5">
        <v>155.83000000000001</v>
      </c>
      <c r="AM32" s="9">
        <v>3.77</v>
      </c>
      <c r="AN32" s="9">
        <v>2.36</v>
      </c>
    </row>
    <row r="33" spans="1:40" ht="18" x14ac:dyDescent="0.35">
      <c r="A33" s="7">
        <v>45495</v>
      </c>
      <c r="B33" s="5" t="s">
        <v>18</v>
      </c>
      <c r="C33" s="5" t="str">
        <f t="shared" si="0"/>
        <v>45495C</v>
      </c>
      <c r="D33" s="5">
        <v>13.48</v>
      </c>
      <c r="E33" s="5">
        <v>16.649999999999999</v>
      </c>
      <c r="F33" s="8">
        <v>23.51</v>
      </c>
      <c r="G33" s="5" t="s">
        <v>281</v>
      </c>
      <c r="H33" s="5">
        <v>0</v>
      </c>
      <c r="I33" s="8">
        <v>100</v>
      </c>
      <c r="J33" s="5" t="s">
        <v>288</v>
      </c>
      <c r="K33" s="5">
        <v>87.31</v>
      </c>
      <c r="L33" s="8">
        <v>27.53</v>
      </c>
      <c r="M33" s="5" t="s">
        <v>289</v>
      </c>
      <c r="N33" s="5">
        <v>8.6199999999999992</v>
      </c>
      <c r="O33" s="8">
        <v>5.12</v>
      </c>
      <c r="P33" s="8">
        <v>5.76</v>
      </c>
      <c r="Q33" s="5" t="s">
        <v>290</v>
      </c>
      <c r="R33" s="5">
        <v>39.67</v>
      </c>
      <c r="S33" s="9">
        <v>3.33</v>
      </c>
      <c r="T33" s="9">
        <v>2.29</v>
      </c>
      <c r="U33" s="5" t="s">
        <v>259</v>
      </c>
      <c r="V33" s="5">
        <v>26.94</v>
      </c>
      <c r="W33" s="9">
        <v>3.73</v>
      </c>
      <c r="X33" s="9">
        <v>2.78</v>
      </c>
      <c r="Y33" s="5">
        <v>56.18</v>
      </c>
      <c r="Z33" s="5">
        <v>56.39</v>
      </c>
      <c r="AA33" s="9">
        <v>0.37</v>
      </c>
      <c r="AB33" s="9">
        <v>2.39</v>
      </c>
      <c r="AC33" s="5">
        <v>3.98</v>
      </c>
      <c r="AD33" s="5">
        <v>3.98</v>
      </c>
      <c r="AE33" s="9">
        <v>0</v>
      </c>
      <c r="AF33" s="9">
        <v>4.46</v>
      </c>
      <c r="AG33" s="5" t="s">
        <v>291</v>
      </c>
      <c r="AH33" s="5">
        <v>3.45</v>
      </c>
      <c r="AI33" s="9">
        <v>2.37</v>
      </c>
      <c r="AJ33" s="9">
        <v>1.47</v>
      </c>
      <c r="AK33" s="5" t="s">
        <v>292</v>
      </c>
      <c r="AL33" s="5">
        <v>152.5</v>
      </c>
      <c r="AM33" s="9">
        <v>0.41</v>
      </c>
      <c r="AN33" s="9">
        <v>0.17</v>
      </c>
    </row>
    <row r="34" spans="1:40" ht="18" x14ac:dyDescent="0.35">
      <c r="A34" s="7">
        <v>45496</v>
      </c>
      <c r="B34" s="5" t="s">
        <v>19</v>
      </c>
      <c r="C34" s="5" t="str">
        <f t="shared" si="0"/>
        <v>45496A</v>
      </c>
      <c r="D34" s="5">
        <v>16.32</v>
      </c>
      <c r="E34" s="5">
        <v>14.34</v>
      </c>
      <c r="F34" s="8">
        <v>12.13</v>
      </c>
      <c r="G34" s="5" t="s">
        <v>116</v>
      </c>
      <c r="H34" s="5">
        <v>0</v>
      </c>
      <c r="I34" s="5"/>
      <c r="J34" s="5" t="s">
        <v>293</v>
      </c>
      <c r="K34" s="5">
        <v>58.27</v>
      </c>
      <c r="L34" s="8">
        <v>34.020000000000003</v>
      </c>
      <c r="M34" s="5" t="s">
        <v>294</v>
      </c>
      <c r="N34" s="5">
        <v>8</v>
      </c>
      <c r="O34" s="9">
        <v>0.24</v>
      </c>
      <c r="P34" s="9">
        <v>1.84</v>
      </c>
      <c r="Q34" s="5" t="s">
        <v>290</v>
      </c>
      <c r="R34" s="10">
        <v>34.5</v>
      </c>
      <c r="S34" s="8">
        <v>10.130000000000001</v>
      </c>
      <c r="T34" s="8">
        <v>11.03</v>
      </c>
      <c r="U34" s="5" t="s">
        <v>295</v>
      </c>
      <c r="V34" s="5">
        <v>27.95</v>
      </c>
      <c r="W34" s="8">
        <v>9.09</v>
      </c>
      <c r="X34" s="8">
        <v>6.63</v>
      </c>
      <c r="Y34" s="5">
        <v>56.1</v>
      </c>
      <c r="Z34" s="12">
        <v>55.84</v>
      </c>
      <c r="AA34" s="9">
        <v>0.46</v>
      </c>
      <c r="AB34" s="9">
        <v>1.39</v>
      </c>
      <c r="AC34" s="5" t="s">
        <v>296</v>
      </c>
      <c r="AD34" s="12">
        <v>3.98</v>
      </c>
      <c r="AE34" s="9">
        <v>1.27</v>
      </c>
      <c r="AF34" s="9">
        <v>4.46</v>
      </c>
      <c r="AG34" s="5" t="s">
        <v>297</v>
      </c>
      <c r="AH34" s="5">
        <v>3.3</v>
      </c>
      <c r="AI34" s="9">
        <v>0.6</v>
      </c>
      <c r="AJ34" s="9">
        <v>2.94</v>
      </c>
      <c r="AK34" s="5" t="s">
        <v>298</v>
      </c>
      <c r="AL34" s="5">
        <v>153</v>
      </c>
      <c r="AM34" s="9">
        <v>3.18</v>
      </c>
      <c r="AN34" s="9">
        <v>0.5</v>
      </c>
    </row>
    <row r="35" spans="1:40" ht="18" x14ac:dyDescent="0.35">
      <c r="A35" s="7">
        <v>45496</v>
      </c>
      <c r="B35" s="5" t="s">
        <v>20</v>
      </c>
      <c r="C35" s="5" t="str">
        <f t="shared" si="0"/>
        <v>45496B</v>
      </c>
      <c r="D35" s="5">
        <v>16.86</v>
      </c>
      <c r="E35" s="5">
        <v>16.760000000000002</v>
      </c>
      <c r="F35" s="9">
        <v>0.59</v>
      </c>
      <c r="G35" s="5" t="s">
        <v>116</v>
      </c>
      <c r="H35" s="5">
        <v>0</v>
      </c>
      <c r="I35" s="5"/>
      <c r="J35" s="5" t="s">
        <v>299</v>
      </c>
      <c r="K35" s="5">
        <v>69.77</v>
      </c>
      <c r="L35" s="9">
        <v>20.53</v>
      </c>
      <c r="M35" s="5" t="s">
        <v>300</v>
      </c>
      <c r="N35" s="5">
        <v>8.3000000000000007</v>
      </c>
      <c r="O35" s="9">
        <v>2.59</v>
      </c>
      <c r="P35" s="9">
        <v>1.84</v>
      </c>
      <c r="Q35" s="5" t="s">
        <v>301</v>
      </c>
      <c r="R35" s="5">
        <v>39.25</v>
      </c>
      <c r="S35" s="9">
        <v>1.86</v>
      </c>
      <c r="T35" s="9">
        <v>1.21</v>
      </c>
      <c r="U35" s="5" t="s">
        <v>302</v>
      </c>
      <c r="V35" s="5">
        <v>27.09</v>
      </c>
      <c r="W35" s="9">
        <v>3.75</v>
      </c>
      <c r="X35" s="9">
        <v>3.35</v>
      </c>
      <c r="Y35" s="5">
        <v>55.83</v>
      </c>
      <c r="Z35" s="12">
        <v>55.84</v>
      </c>
      <c r="AA35" s="9">
        <v>0.01</v>
      </c>
      <c r="AB35" s="9">
        <v>1.39</v>
      </c>
      <c r="AC35" s="5" t="s">
        <v>303</v>
      </c>
      <c r="AD35" s="5">
        <v>3.89</v>
      </c>
      <c r="AE35" s="9">
        <v>0.77</v>
      </c>
      <c r="AF35" s="9">
        <v>2.09</v>
      </c>
      <c r="AG35" s="5" t="s">
        <v>304</v>
      </c>
      <c r="AH35" s="5">
        <v>3.41</v>
      </c>
      <c r="AI35" s="9">
        <v>3.02</v>
      </c>
      <c r="AJ35" s="9">
        <v>0.28999999999999998</v>
      </c>
      <c r="AK35" s="5" t="s">
        <v>305</v>
      </c>
      <c r="AL35" s="5">
        <v>154.5</v>
      </c>
      <c r="AM35" s="9">
        <v>2.54</v>
      </c>
      <c r="AN35" s="9">
        <v>1.49</v>
      </c>
    </row>
    <row r="36" spans="1:40" ht="18" x14ac:dyDescent="0.35">
      <c r="A36" s="7">
        <v>45496</v>
      </c>
      <c r="B36" s="5" t="s">
        <v>18</v>
      </c>
      <c r="C36" s="5" t="str">
        <f t="shared" si="0"/>
        <v>45496C</v>
      </c>
      <c r="D36" s="5" t="s">
        <v>39</v>
      </c>
      <c r="E36" s="5">
        <v>18.64</v>
      </c>
      <c r="F36" s="9">
        <v>0.74</v>
      </c>
      <c r="G36" s="5" t="s">
        <v>116</v>
      </c>
      <c r="H36" s="5">
        <v>0</v>
      </c>
      <c r="I36" s="5"/>
      <c r="J36" s="5" t="s">
        <v>306</v>
      </c>
      <c r="K36" s="5">
        <v>89.33</v>
      </c>
      <c r="L36" s="9">
        <v>2.83</v>
      </c>
      <c r="M36" s="5" t="s">
        <v>307</v>
      </c>
      <c r="N36" s="5">
        <v>8.1999999999999993</v>
      </c>
      <c r="O36" s="9">
        <v>1.48</v>
      </c>
      <c r="P36" s="9">
        <v>0.61</v>
      </c>
      <c r="Q36" s="5" t="s">
        <v>193</v>
      </c>
      <c r="R36" s="5">
        <v>37.33</v>
      </c>
      <c r="S36" s="9">
        <v>2.2000000000000002</v>
      </c>
      <c r="T36" s="9">
        <v>3.73</v>
      </c>
      <c r="U36" s="5" t="s">
        <v>308</v>
      </c>
      <c r="V36" s="5">
        <v>26.62</v>
      </c>
      <c r="W36" s="9">
        <v>1.06</v>
      </c>
      <c r="X36" s="9">
        <v>1.56</v>
      </c>
      <c r="Y36" s="5">
        <v>55.74</v>
      </c>
      <c r="Z36" s="5">
        <v>55.84</v>
      </c>
      <c r="AA36" s="9">
        <v>0.17</v>
      </c>
      <c r="AB36" s="9">
        <v>1.39</v>
      </c>
      <c r="AC36" s="5" t="s">
        <v>309</v>
      </c>
      <c r="AD36" s="5">
        <v>3.89</v>
      </c>
      <c r="AE36" s="9">
        <v>1.3</v>
      </c>
      <c r="AF36" s="9">
        <v>2.09</v>
      </c>
      <c r="AG36" s="5" t="s">
        <v>310</v>
      </c>
      <c r="AH36" s="5">
        <v>3.19</v>
      </c>
      <c r="AI36" s="9">
        <v>2.74</v>
      </c>
      <c r="AJ36" s="9">
        <v>6.17</v>
      </c>
      <c r="AK36" s="5" t="s">
        <v>311</v>
      </c>
      <c r="AL36" s="5">
        <v>144.5</v>
      </c>
      <c r="AM36" s="9">
        <v>4.95</v>
      </c>
      <c r="AN36" s="9">
        <v>5.07</v>
      </c>
    </row>
    <row r="37" spans="1:40" x14ac:dyDescent="0.3">
      <c r="A37" s="7">
        <v>45497</v>
      </c>
      <c r="B37" s="5" t="s">
        <v>19</v>
      </c>
      <c r="C37" s="5" t="str">
        <f t="shared" si="0"/>
        <v>45497A</v>
      </c>
      <c r="D37" s="5" t="s">
        <v>40</v>
      </c>
      <c r="E37" s="5">
        <v>22.97</v>
      </c>
      <c r="F37" s="8">
        <v>19.510000000000002</v>
      </c>
      <c r="G37" s="5" t="s">
        <v>116</v>
      </c>
      <c r="H37" s="5">
        <v>0</v>
      </c>
      <c r="I37" s="5"/>
      <c r="J37" s="5" t="s">
        <v>148</v>
      </c>
      <c r="K37" s="5">
        <v>71.760000000000005</v>
      </c>
      <c r="L37" s="9">
        <v>11.69</v>
      </c>
      <c r="M37" s="5" t="s">
        <v>252</v>
      </c>
      <c r="N37" s="5">
        <v>8.02</v>
      </c>
      <c r="O37" s="9">
        <v>1.1299999999999999</v>
      </c>
      <c r="P37" s="9">
        <v>1.59</v>
      </c>
      <c r="Q37" s="5" t="s">
        <v>312</v>
      </c>
      <c r="R37" s="5">
        <v>38.33</v>
      </c>
      <c r="S37" s="9">
        <v>0.85</v>
      </c>
      <c r="T37" s="9">
        <v>1.1599999999999999</v>
      </c>
      <c r="U37" s="5" t="s">
        <v>267</v>
      </c>
      <c r="V37" s="5">
        <v>26.3</v>
      </c>
      <c r="W37" s="9">
        <v>2.33</v>
      </c>
      <c r="X37" s="9">
        <v>0.34</v>
      </c>
      <c r="Y37" s="5" t="s">
        <v>313</v>
      </c>
      <c r="Z37" s="5">
        <v>55.2</v>
      </c>
      <c r="AA37" s="9">
        <v>0.82</v>
      </c>
      <c r="AB37" s="9">
        <v>0.23</v>
      </c>
      <c r="AC37" s="5" t="s">
        <v>314</v>
      </c>
      <c r="AD37" s="12">
        <v>3.72</v>
      </c>
      <c r="AE37" s="9">
        <v>1.32</v>
      </c>
      <c r="AF37" s="9">
        <v>2.36</v>
      </c>
      <c r="AG37" s="5" t="s">
        <v>315</v>
      </c>
      <c r="AH37" s="5">
        <v>3.29</v>
      </c>
      <c r="AI37" s="9">
        <v>0</v>
      </c>
      <c r="AJ37" s="9">
        <v>3.23</v>
      </c>
      <c r="AK37" s="5" t="s">
        <v>316</v>
      </c>
      <c r="AL37" s="5">
        <v>151.66999999999999</v>
      </c>
      <c r="AM37" s="9">
        <v>3.73</v>
      </c>
      <c r="AN37" s="9">
        <v>0.36</v>
      </c>
    </row>
    <row r="38" spans="1:40" x14ac:dyDescent="0.3">
      <c r="A38" s="7">
        <v>45497</v>
      </c>
      <c r="B38" s="5" t="s">
        <v>20</v>
      </c>
      <c r="C38" s="5" t="str">
        <f t="shared" si="0"/>
        <v>45497B</v>
      </c>
      <c r="D38" s="5" t="s">
        <v>41</v>
      </c>
      <c r="E38" s="5">
        <v>23.05</v>
      </c>
      <c r="F38" s="8">
        <v>18.2</v>
      </c>
      <c r="G38" s="5" t="s">
        <v>116</v>
      </c>
      <c r="H38" s="5">
        <v>0</v>
      </c>
      <c r="I38" s="5"/>
      <c r="J38" s="5" t="s">
        <v>148</v>
      </c>
      <c r="K38" s="5">
        <v>69.349999999999994</v>
      </c>
      <c r="L38" s="9">
        <v>14.65</v>
      </c>
      <c r="M38" s="5" t="s">
        <v>300</v>
      </c>
      <c r="N38" s="5">
        <v>7.85</v>
      </c>
      <c r="O38" s="9">
        <v>2.96</v>
      </c>
      <c r="P38" s="8">
        <v>3.68</v>
      </c>
      <c r="Q38" s="5" t="s">
        <v>317</v>
      </c>
      <c r="R38" s="5">
        <v>37.799999999999997</v>
      </c>
      <c r="S38" s="9">
        <v>2.92</v>
      </c>
      <c r="T38" s="9">
        <v>2.52</v>
      </c>
      <c r="U38" s="5" t="s">
        <v>318</v>
      </c>
      <c r="V38" s="5">
        <v>26.66</v>
      </c>
      <c r="W38" s="9">
        <v>2.5299999999999998</v>
      </c>
      <c r="X38" s="9">
        <v>1.71</v>
      </c>
      <c r="Y38" s="5" t="s">
        <v>319</v>
      </c>
      <c r="Z38" s="5">
        <v>55.2</v>
      </c>
      <c r="AA38" s="9">
        <v>7.0000000000000007E-2</v>
      </c>
      <c r="AB38" s="9">
        <v>0.23</v>
      </c>
      <c r="AC38" s="5" t="s">
        <v>314</v>
      </c>
      <c r="AD38" s="5">
        <v>3.34</v>
      </c>
      <c r="AE38" s="8">
        <v>11.4</v>
      </c>
      <c r="AF38" s="8">
        <v>12.33</v>
      </c>
      <c r="AG38" s="5" t="s">
        <v>297</v>
      </c>
      <c r="AH38" s="5">
        <v>3.18</v>
      </c>
      <c r="AI38" s="9">
        <v>4.21</v>
      </c>
      <c r="AJ38" s="9">
        <v>6.47</v>
      </c>
      <c r="AK38" s="5" t="s">
        <v>320</v>
      </c>
      <c r="AL38" s="5">
        <v>158</v>
      </c>
      <c r="AM38" s="9">
        <v>3.09</v>
      </c>
      <c r="AN38" s="9">
        <v>3.79</v>
      </c>
    </row>
    <row r="39" spans="1:40" x14ac:dyDescent="0.3">
      <c r="A39" s="7">
        <v>45497</v>
      </c>
      <c r="B39" s="5" t="s">
        <v>18</v>
      </c>
      <c r="C39" s="5" t="str">
        <f t="shared" si="0"/>
        <v>45497C</v>
      </c>
      <c r="D39" s="5" t="s">
        <v>42</v>
      </c>
      <c r="E39" s="5">
        <v>22.75</v>
      </c>
      <c r="F39" s="8">
        <v>13</v>
      </c>
      <c r="G39" s="5" t="s">
        <v>116</v>
      </c>
      <c r="H39" s="5">
        <v>0</v>
      </c>
      <c r="I39" s="5"/>
      <c r="J39" s="5" t="s">
        <v>177</v>
      </c>
      <c r="K39" s="5">
        <v>83.99</v>
      </c>
      <c r="L39" s="9">
        <v>3.23</v>
      </c>
      <c r="M39" s="5" t="s">
        <v>321</v>
      </c>
      <c r="N39" s="5">
        <v>8.1999999999999993</v>
      </c>
      <c r="O39" s="9">
        <v>1.86</v>
      </c>
      <c r="P39" s="9">
        <v>0.61</v>
      </c>
      <c r="Q39" s="5" t="s">
        <v>322</v>
      </c>
      <c r="R39" s="5">
        <v>39</v>
      </c>
      <c r="S39" s="9">
        <v>2.5499999999999998</v>
      </c>
      <c r="T39" s="9">
        <v>0.56000000000000005</v>
      </c>
      <c r="U39" s="5" t="s">
        <v>323</v>
      </c>
      <c r="V39" s="5">
        <v>27.42</v>
      </c>
      <c r="W39" s="9">
        <v>3.47</v>
      </c>
      <c r="X39" s="9">
        <v>4.6100000000000003</v>
      </c>
      <c r="Y39" s="5" t="s">
        <v>324</v>
      </c>
      <c r="Z39" s="5">
        <v>55.2</v>
      </c>
      <c r="AA39" s="9">
        <v>0.3</v>
      </c>
      <c r="AB39" s="9">
        <v>0.23</v>
      </c>
      <c r="AC39" s="5" t="s">
        <v>159</v>
      </c>
      <c r="AD39" s="5">
        <v>3.34</v>
      </c>
      <c r="AE39" s="9">
        <v>4.57</v>
      </c>
      <c r="AF39" s="8">
        <v>12.33</v>
      </c>
      <c r="AG39" s="5" t="s">
        <v>160</v>
      </c>
      <c r="AH39" s="5">
        <v>3.16</v>
      </c>
      <c r="AI39" s="9">
        <v>1.55</v>
      </c>
      <c r="AJ39" s="8">
        <v>7.05</v>
      </c>
      <c r="AK39" s="5" t="s">
        <v>325</v>
      </c>
      <c r="AL39" s="5">
        <v>151.5</v>
      </c>
      <c r="AM39" s="9">
        <v>2.66</v>
      </c>
      <c r="AN39" s="9">
        <v>0.47</v>
      </c>
    </row>
    <row r="40" spans="1:40" x14ac:dyDescent="0.3">
      <c r="A40" s="7">
        <v>45498</v>
      </c>
      <c r="B40" s="5" t="s">
        <v>19</v>
      </c>
      <c r="C40" s="5" t="str">
        <f t="shared" si="0"/>
        <v>45498A</v>
      </c>
      <c r="D40" s="5" t="s">
        <v>43</v>
      </c>
      <c r="E40" s="5">
        <v>28.23</v>
      </c>
      <c r="F40" s="8">
        <v>15.6</v>
      </c>
      <c r="G40" s="5" t="s">
        <v>116</v>
      </c>
      <c r="H40" s="5">
        <v>0</v>
      </c>
      <c r="I40" s="5"/>
      <c r="J40" s="5" t="s">
        <v>326</v>
      </c>
      <c r="K40" s="5">
        <v>80.61</v>
      </c>
      <c r="L40" s="9">
        <v>0.89</v>
      </c>
      <c r="M40" s="5" t="s">
        <v>327</v>
      </c>
      <c r="N40" s="5">
        <v>7.92</v>
      </c>
      <c r="O40" s="9">
        <v>2.06</v>
      </c>
      <c r="P40" s="9">
        <v>2.82</v>
      </c>
      <c r="Q40" s="5" t="s">
        <v>328</v>
      </c>
      <c r="R40" s="5">
        <v>38</v>
      </c>
      <c r="S40" s="9">
        <v>1.74</v>
      </c>
      <c r="T40" s="9">
        <v>2.0099999999999998</v>
      </c>
      <c r="U40" s="5" t="s">
        <v>329</v>
      </c>
      <c r="V40" s="5">
        <v>26.64</v>
      </c>
      <c r="W40" s="9">
        <v>0.18</v>
      </c>
      <c r="X40" s="9">
        <v>1.64</v>
      </c>
      <c r="Y40" s="5" t="s">
        <v>330</v>
      </c>
      <c r="Z40" s="5">
        <v>55.3</v>
      </c>
      <c r="AA40" s="9">
        <v>0.76</v>
      </c>
      <c r="AB40" s="9">
        <v>0.41</v>
      </c>
      <c r="AC40" s="5" t="s">
        <v>121</v>
      </c>
      <c r="AD40" s="12">
        <v>3.53</v>
      </c>
      <c r="AE40" s="9">
        <v>2.61</v>
      </c>
      <c r="AF40" s="9">
        <v>7.34</v>
      </c>
      <c r="AG40" s="5" t="s">
        <v>227</v>
      </c>
      <c r="AH40" s="5">
        <v>3.21</v>
      </c>
      <c r="AI40" s="9">
        <v>1.26</v>
      </c>
      <c r="AJ40" s="9">
        <v>5.58</v>
      </c>
      <c r="AK40" s="5" t="s">
        <v>331</v>
      </c>
      <c r="AL40" s="5">
        <v>152</v>
      </c>
      <c r="AM40" s="9">
        <v>2.98</v>
      </c>
      <c r="AN40" s="9">
        <v>0.15</v>
      </c>
    </row>
    <row r="41" spans="1:40" x14ac:dyDescent="0.3">
      <c r="A41" s="7">
        <v>45498</v>
      </c>
      <c r="B41" s="5" t="s">
        <v>20</v>
      </c>
      <c r="C41" s="5" t="str">
        <f t="shared" si="0"/>
        <v>45498B</v>
      </c>
      <c r="D41" s="5" t="s">
        <v>44</v>
      </c>
      <c r="E41" s="5">
        <v>30.58</v>
      </c>
      <c r="F41" s="8">
        <v>34.35</v>
      </c>
      <c r="G41" s="5" t="s">
        <v>116</v>
      </c>
      <c r="H41" s="5">
        <v>0</v>
      </c>
      <c r="I41" s="5"/>
      <c r="J41" s="5" t="s">
        <v>332</v>
      </c>
      <c r="K41" s="5">
        <v>88.39</v>
      </c>
      <c r="L41" s="9">
        <v>8.6999999999999993</v>
      </c>
      <c r="M41" s="5" t="s">
        <v>258</v>
      </c>
      <c r="N41" s="5">
        <v>7.98</v>
      </c>
      <c r="O41" s="9">
        <v>0.99</v>
      </c>
      <c r="P41" s="9">
        <v>2.08</v>
      </c>
      <c r="Q41" s="5" t="s">
        <v>333</v>
      </c>
      <c r="R41" s="5">
        <v>38.5</v>
      </c>
      <c r="S41" s="9">
        <v>0.2</v>
      </c>
      <c r="T41" s="9">
        <v>0.72</v>
      </c>
      <c r="U41" s="5" t="s">
        <v>334</v>
      </c>
      <c r="V41" s="5">
        <v>26.85</v>
      </c>
      <c r="W41" s="9">
        <v>1.78</v>
      </c>
      <c r="X41" s="9">
        <v>2.44</v>
      </c>
      <c r="Y41" s="5" t="s">
        <v>319</v>
      </c>
      <c r="Z41" s="5">
        <v>55.3</v>
      </c>
      <c r="AA41" s="9">
        <v>0.1</v>
      </c>
      <c r="AB41" s="9">
        <v>0.41</v>
      </c>
      <c r="AC41" s="5" t="s">
        <v>335</v>
      </c>
      <c r="AD41" s="5">
        <v>3.42</v>
      </c>
      <c r="AE41" s="9">
        <v>5.52</v>
      </c>
      <c r="AF41" s="8">
        <v>10.23</v>
      </c>
      <c r="AG41" s="5" t="s">
        <v>219</v>
      </c>
      <c r="AH41" s="5">
        <v>3.23</v>
      </c>
      <c r="AI41" s="9">
        <v>0.92</v>
      </c>
      <c r="AJ41" s="9">
        <v>4.99</v>
      </c>
      <c r="AK41" s="5" t="s">
        <v>336</v>
      </c>
      <c r="AL41" s="5">
        <v>153.66999999999999</v>
      </c>
      <c r="AM41" s="9">
        <v>1.27</v>
      </c>
      <c r="AN41" s="9">
        <v>0.94</v>
      </c>
    </row>
    <row r="42" spans="1:40" x14ac:dyDescent="0.3">
      <c r="A42" s="7">
        <v>45498</v>
      </c>
      <c r="B42" s="5" t="s">
        <v>18</v>
      </c>
      <c r="C42" s="5" t="str">
        <f t="shared" si="0"/>
        <v>45498C</v>
      </c>
      <c r="D42" s="5" t="s">
        <v>45</v>
      </c>
      <c r="E42" s="5">
        <v>27.23</v>
      </c>
      <c r="F42" s="8">
        <v>11.96</v>
      </c>
      <c r="G42" s="5" t="s">
        <v>116</v>
      </c>
      <c r="H42" s="5">
        <v>0</v>
      </c>
      <c r="I42" s="5"/>
      <c r="J42" s="5" t="s">
        <v>197</v>
      </c>
      <c r="K42" s="5">
        <v>98.17</v>
      </c>
      <c r="L42" s="9">
        <v>20.7</v>
      </c>
      <c r="M42" s="5" t="s">
        <v>337</v>
      </c>
      <c r="N42" s="5"/>
      <c r="O42" s="5"/>
      <c r="P42" s="5"/>
      <c r="Q42" s="5" t="s">
        <v>338</v>
      </c>
      <c r="R42" s="5">
        <v>38</v>
      </c>
      <c r="S42" s="9">
        <v>1.65</v>
      </c>
      <c r="T42" s="9">
        <v>2.0099999999999998</v>
      </c>
      <c r="U42" s="5" t="s">
        <v>339</v>
      </c>
      <c r="V42" s="5">
        <v>25.59</v>
      </c>
      <c r="W42" s="9">
        <v>0.43</v>
      </c>
      <c r="X42" s="9">
        <v>2.36</v>
      </c>
      <c r="Y42" s="5" t="s">
        <v>340</v>
      </c>
      <c r="Z42" s="5">
        <v>55.3</v>
      </c>
      <c r="AA42" s="9">
        <v>0.54</v>
      </c>
      <c r="AB42" s="9">
        <v>0.41</v>
      </c>
      <c r="AC42" s="5" t="s">
        <v>341</v>
      </c>
      <c r="AD42" s="5">
        <v>3.42</v>
      </c>
      <c r="AE42" s="9">
        <v>3.38</v>
      </c>
      <c r="AF42" s="8">
        <v>10.23</v>
      </c>
      <c r="AG42" s="5" t="s">
        <v>219</v>
      </c>
      <c r="AH42" s="5">
        <v>3.42</v>
      </c>
      <c r="AI42" s="9">
        <v>4.9000000000000004</v>
      </c>
      <c r="AJ42" s="9">
        <v>0.57999999999999996</v>
      </c>
      <c r="AK42" s="5" t="s">
        <v>342</v>
      </c>
      <c r="AL42" s="5">
        <v>151</v>
      </c>
      <c r="AM42" s="9">
        <v>0.53</v>
      </c>
      <c r="AN42" s="9">
        <v>0.8</v>
      </c>
    </row>
    <row r="43" spans="1:40" x14ac:dyDescent="0.3">
      <c r="A43" s="7">
        <v>45502</v>
      </c>
      <c r="B43" s="5" t="s">
        <v>18</v>
      </c>
      <c r="C43" s="5" t="str">
        <f t="shared" si="0"/>
        <v>45502C</v>
      </c>
      <c r="D43" s="5" t="s">
        <v>46</v>
      </c>
      <c r="E43" s="5">
        <v>13.9</v>
      </c>
      <c r="F43" s="9">
        <v>5.0599999999999996</v>
      </c>
      <c r="G43" s="5" t="s">
        <v>116</v>
      </c>
      <c r="H43" s="5">
        <v>0</v>
      </c>
      <c r="I43" s="5"/>
      <c r="J43" s="5" t="s">
        <v>343</v>
      </c>
      <c r="K43" s="5">
        <v>76.67</v>
      </c>
      <c r="L43" s="9">
        <v>8.8800000000000008</v>
      </c>
      <c r="M43" s="5" t="s">
        <v>289</v>
      </c>
      <c r="N43" s="5">
        <v>8.6</v>
      </c>
      <c r="O43" s="8">
        <v>4.87</v>
      </c>
      <c r="P43" s="8">
        <v>5.52</v>
      </c>
      <c r="Q43" s="5" t="s">
        <v>344</v>
      </c>
      <c r="R43" s="5">
        <v>38.67</v>
      </c>
      <c r="S43" s="9">
        <v>2.46</v>
      </c>
      <c r="T43" s="9">
        <v>0.28000000000000003</v>
      </c>
      <c r="U43" s="5" t="s">
        <v>345</v>
      </c>
      <c r="V43" s="5">
        <v>26.76</v>
      </c>
      <c r="W43" s="9">
        <v>1.87</v>
      </c>
      <c r="X43" s="9">
        <v>2.09</v>
      </c>
      <c r="Y43" s="10" t="s">
        <v>346</v>
      </c>
      <c r="Z43" s="10">
        <v>53.3</v>
      </c>
      <c r="AA43" s="9">
        <v>0.81</v>
      </c>
      <c r="AB43" s="9">
        <v>3.21</v>
      </c>
      <c r="AC43" s="5" t="s">
        <v>347</v>
      </c>
      <c r="AD43" s="5">
        <v>3.42</v>
      </c>
      <c r="AE43" s="9">
        <v>5.26</v>
      </c>
      <c r="AF43" s="8">
        <v>10.23</v>
      </c>
      <c r="AG43" s="5" t="s">
        <v>304</v>
      </c>
      <c r="AH43" s="5">
        <v>3.43</v>
      </c>
      <c r="AI43" s="9">
        <v>3.62</v>
      </c>
      <c r="AJ43" s="9">
        <v>0.88</v>
      </c>
      <c r="AK43" s="5" t="s">
        <v>348</v>
      </c>
      <c r="AL43" s="5">
        <v>154</v>
      </c>
      <c r="AM43" s="9">
        <v>0.28000000000000003</v>
      </c>
      <c r="AN43" s="9">
        <v>1.1599999999999999</v>
      </c>
    </row>
    <row r="44" spans="1:40" x14ac:dyDescent="0.3">
      <c r="A44" s="7">
        <v>45503</v>
      </c>
      <c r="B44" s="5" t="s">
        <v>19</v>
      </c>
      <c r="C44" s="5" t="str">
        <f t="shared" si="0"/>
        <v>45503A</v>
      </c>
      <c r="D44" s="5" t="s">
        <v>47</v>
      </c>
      <c r="E44" s="5">
        <v>19.28</v>
      </c>
      <c r="F44" s="8">
        <v>45.83</v>
      </c>
      <c r="G44" s="5" t="s">
        <v>116</v>
      </c>
      <c r="H44" s="5">
        <v>0</v>
      </c>
      <c r="I44" s="5"/>
      <c r="J44" s="5" t="s">
        <v>349</v>
      </c>
      <c r="K44" s="5">
        <v>86.9</v>
      </c>
      <c r="L44" s="9">
        <v>6.42</v>
      </c>
      <c r="M44" s="5" t="s">
        <v>307</v>
      </c>
      <c r="N44" s="5">
        <v>8.3800000000000008</v>
      </c>
      <c r="O44" s="8">
        <v>3.71</v>
      </c>
      <c r="P44" s="9">
        <v>2.82</v>
      </c>
      <c r="Q44" s="5" t="s">
        <v>350</v>
      </c>
      <c r="R44" s="5">
        <v>38.5</v>
      </c>
      <c r="S44" s="9">
        <v>1.98</v>
      </c>
      <c r="T44" s="9">
        <v>0.72</v>
      </c>
      <c r="U44" s="5" t="s">
        <v>351</v>
      </c>
      <c r="V44" s="5">
        <v>26.18</v>
      </c>
      <c r="W44" s="9">
        <v>2.74</v>
      </c>
      <c r="X44" s="9">
        <v>0.11</v>
      </c>
      <c r="Y44" s="10" t="s">
        <v>352</v>
      </c>
      <c r="Z44" s="5">
        <v>54.85</v>
      </c>
      <c r="AA44" s="9">
        <v>2.19</v>
      </c>
      <c r="AB44" s="9">
        <v>0.39</v>
      </c>
      <c r="AC44" s="5" t="s">
        <v>353</v>
      </c>
      <c r="AD44" s="12">
        <v>3.7</v>
      </c>
      <c r="AE44" s="9">
        <v>3.06</v>
      </c>
      <c r="AF44" s="9">
        <v>2.88</v>
      </c>
      <c r="AG44" s="5" t="s">
        <v>304</v>
      </c>
      <c r="AH44" s="5">
        <v>3.43</v>
      </c>
      <c r="AI44" s="9">
        <v>3.62</v>
      </c>
      <c r="AJ44" s="9">
        <v>0.88</v>
      </c>
      <c r="AK44" s="5" t="s">
        <v>354</v>
      </c>
      <c r="AL44" s="5">
        <v>155</v>
      </c>
      <c r="AM44" s="9">
        <v>2.39</v>
      </c>
      <c r="AN44" s="9">
        <v>1.81</v>
      </c>
    </row>
    <row r="45" spans="1:40" x14ac:dyDescent="0.3">
      <c r="A45" s="7">
        <v>45503</v>
      </c>
      <c r="B45" s="5" t="s">
        <v>20</v>
      </c>
      <c r="C45" s="5" t="str">
        <f t="shared" si="0"/>
        <v>45503B</v>
      </c>
      <c r="D45" s="5" t="s">
        <v>48</v>
      </c>
      <c r="E45" s="5">
        <v>17.68</v>
      </c>
      <c r="F45" s="8">
        <v>33.53</v>
      </c>
      <c r="G45" s="5" t="s">
        <v>116</v>
      </c>
      <c r="H45" s="5">
        <v>0</v>
      </c>
      <c r="I45" s="5"/>
      <c r="J45" s="5" t="s">
        <v>355</v>
      </c>
      <c r="K45" s="5">
        <v>78.88</v>
      </c>
      <c r="L45" s="9">
        <v>11.45</v>
      </c>
      <c r="M45" s="5" t="s">
        <v>273</v>
      </c>
      <c r="N45" s="5">
        <v>8.07</v>
      </c>
      <c r="O45" s="9">
        <v>0.98</v>
      </c>
      <c r="P45" s="9">
        <v>0.98</v>
      </c>
      <c r="Q45" s="5" t="s">
        <v>356</v>
      </c>
      <c r="R45" s="10">
        <v>36</v>
      </c>
      <c r="S45" s="8">
        <v>5.58</v>
      </c>
      <c r="T45" s="8">
        <v>7.16</v>
      </c>
      <c r="U45" s="5" t="s">
        <v>357</v>
      </c>
      <c r="V45" s="5">
        <v>27.6</v>
      </c>
      <c r="W45" s="9">
        <v>2.79</v>
      </c>
      <c r="X45" s="8">
        <v>5.3</v>
      </c>
      <c r="Y45" s="5" t="s">
        <v>358</v>
      </c>
      <c r="Z45" s="5">
        <v>54.85</v>
      </c>
      <c r="AA45" s="9">
        <v>0.43</v>
      </c>
      <c r="AB45" s="9">
        <v>0.39</v>
      </c>
      <c r="AC45" s="5" t="s">
        <v>359</v>
      </c>
      <c r="AD45" s="5">
        <v>3.7</v>
      </c>
      <c r="AE45" s="9">
        <v>1.59</v>
      </c>
      <c r="AF45" s="9">
        <v>2.88</v>
      </c>
      <c r="AG45" s="5" t="s">
        <v>226</v>
      </c>
      <c r="AH45" s="10">
        <v>3.1</v>
      </c>
      <c r="AI45" s="9">
        <v>6.9</v>
      </c>
      <c r="AJ45" s="8">
        <v>8.82</v>
      </c>
      <c r="AK45" s="5" t="s">
        <v>360</v>
      </c>
      <c r="AL45" s="5">
        <v>148</v>
      </c>
      <c r="AM45" s="9">
        <v>0.74</v>
      </c>
      <c r="AN45" s="9">
        <v>2.77</v>
      </c>
    </row>
    <row r="46" spans="1:40" ht="18" x14ac:dyDescent="0.35">
      <c r="A46" s="7">
        <v>45503</v>
      </c>
      <c r="B46" s="5" t="s">
        <v>18</v>
      </c>
      <c r="C46" s="5" t="str">
        <f t="shared" si="0"/>
        <v>45503C</v>
      </c>
      <c r="D46" s="5" t="s">
        <v>49</v>
      </c>
      <c r="E46" s="5">
        <v>14.26</v>
      </c>
      <c r="F46" s="8">
        <v>31.44</v>
      </c>
      <c r="G46" s="5" t="s">
        <v>116</v>
      </c>
      <c r="H46" s="5">
        <v>0</v>
      </c>
      <c r="I46" s="5"/>
      <c r="J46" s="5" t="s">
        <v>162</v>
      </c>
      <c r="K46" s="5">
        <v>96.81</v>
      </c>
      <c r="L46" s="9">
        <v>19.100000000000001</v>
      </c>
      <c r="M46" s="5">
        <v>7.63</v>
      </c>
      <c r="N46" s="5">
        <v>8.1</v>
      </c>
      <c r="O46" s="8">
        <v>6.15</v>
      </c>
      <c r="P46" s="9">
        <v>0.61</v>
      </c>
      <c r="Q46" s="5" t="s">
        <v>361</v>
      </c>
      <c r="R46" s="5">
        <v>37.4</v>
      </c>
      <c r="S46" s="9">
        <v>0</v>
      </c>
      <c r="T46" s="9">
        <v>3.55</v>
      </c>
      <c r="U46" s="5" t="s">
        <v>362</v>
      </c>
      <c r="V46" s="5">
        <v>26.84</v>
      </c>
      <c r="W46" s="9">
        <v>0.59</v>
      </c>
      <c r="X46" s="9">
        <v>2.4</v>
      </c>
      <c r="Y46" s="5" t="s">
        <v>363</v>
      </c>
      <c r="Z46" s="5">
        <v>54.85</v>
      </c>
      <c r="AA46" s="9">
        <v>0.2</v>
      </c>
      <c r="AB46" s="9">
        <v>0.39</v>
      </c>
      <c r="AC46" s="5" t="s">
        <v>206</v>
      </c>
      <c r="AD46" s="5">
        <v>3.7</v>
      </c>
      <c r="AE46" s="9">
        <v>4.22</v>
      </c>
      <c r="AF46" s="9">
        <v>2.88</v>
      </c>
      <c r="AG46" s="5" t="s">
        <v>255</v>
      </c>
      <c r="AH46" s="5">
        <v>3.14</v>
      </c>
      <c r="AI46" s="9">
        <v>0.63</v>
      </c>
      <c r="AJ46" s="8">
        <v>7.64</v>
      </c>
      <c r="AK46" s="5" t="s">
        <v>364</v>
      </c>
      <c r="AL46" s="5">
        <v>147.6</v>
      </c>
      <c r="AM46" s="9">
        <v>1.42</v>
      </c>
      <c r="AN46" s="9">
        <v>3.04</v>
      </c>
    </row>
    <row r="47" spans="1:40" ht="18" x14ac:dyDescent="0.35">
      <c r="A47" s="7">
        <v>45504</v>
      </c>
      <c r="B47" s="5" t="s">
        <v>19</v>
      </c>
      <c r="C47" s="5" t="str">
        <f t="shared" si="0"/>
        <v>45504A</v>
      </c>
      <c r="D47" s="5" t="s">
        <v>50</v>
      </c>
      <c r="E47" s="5">
        <v>30.1</v>
      </c>
      <c r="F47" s="8">
        <v>50.72</v>
      </c>
      <c r="G47" s="5" t="s">
        <v>116</v>
      </c>
      <c r="H47" s="5">
        <v>0</v>
      </c>
      <c r="I47" s="5"/>
      <c r="J47" s="5" t="s">
        <v>229</v>
      </c>
      <c r="K47" s="5">
        <v>101.78</v>
      </c>
      <c r="L47" s="8">
        <v>25.23</v>
      </c>
      <c r="M47" s="5">
        <v>7.71</v>
      </c>
      <c r="N47" s="5">
        <v>7.6</v>
      </c>
      <c r="O47" s="9">
        <v>1.42</v>
      </c>
      <c r="P47" s="8">
        <v>6.74</v>
      </c>
      <c r="Q47" s="5" t="s">
        <v>365</v>
      </c>
      <c r="R47" s="5">
        <v>37.5</v>
      </c>
      <c r="S47" s="9">
        <v>0.42</v>
      </c>
      <c r="T47" s="9">
        <v>3.3</v>
      </c>
      <c r="U47" s="5" t="s">
        <v>362</v>
      </c>
      <c r="V47" s="5">
        <v>25.7</v>
      </c>
      <c r="W47" s="9">
        <v>3.67</v>
      </c>
      <c r="X47" s="9">
        <v>1.94</v>
      </c>
      <c r="Y47" s="5" t="s">
        <v>366</v>
      </c>
      <c r="Z47" s="5">
        <v>54.64</v>
      </c>
      <c r="AA47" s="9">
        <v>0.31</v>
      </c>
      <c r="AB47" s="9">
        <v>0.78</v>
      </c>
      <c r="AC47" s="5" t="s">
        <v>353</v>
      </c>
      <c r="AD47" s="5">
        <v>3.7</v>
      </c>
      <c r="AE47" s="9">
        <v>3.06</v>
      </c>
      <c r="AF47" s="9">
        <v>2.88</v>
      </c>
      <c r="AG47" s="5" t="s">
        <v>213</v>
      </c>
      <c r="AH47" s="10">
        <v>3.06</v>
      </c>
      <c r="AI47" s="9">
        <v>4.37</v>
      </c>
      <c r="AJ47" s="8">
        <v>9.99</v>
      </c>
      <c r="AK47" s="5" t="s">
        <v>367</v>
      </c>
      <c r="AL47" s="5">
        <v>147.75</v>
      </c>
      <c r="AM47" s="9">
        <v>1.44</v>
      </c>
      <c r="AN47" s="9">
        <v>2.94</v>
      </c>
    </row>
    <row r="48" spans="1:40" x14ac:dyDescent="0.3">
      <c r="A48" s="7">
        <v>45504</v>
      </c>
      <c r="B48" s="5" t="s">
        <v>20</v>
      </c>
      <c r="C48" s="5" t="str">
        <f t="shared" si="0"/>
        <v>45504B</v>
      </c>
      <c r="D48" s="5" t="s">
        <v>51</v>
      </c>
      <c r="E48" s="5">
        <v>32.659999999999997</v>
      </c>
      <c r="F48" s="8">
        <v>30.37</v>
      </c>
      <c r="G48" s="5" t="s">
        <v>116</v>
      </c>
      <c r="H48" s="5">
        <v>0</v>
      </c>
      <c r="I48" s="5"/>
      <c r="J48" s="5" t="s">
        <v>221</v>
      </c>
      <c r="K48" s="5">
        <v>88.37</v>
      </c>
      <c r="L48" s="9">
        <v>8.6199999999999992</v>
      </c>
      <c r="M48" s="5" t="s">
        <v>368</v>
      </c>
      <c r="N48" s="5">
        <v>7.54</v>
      </c>
      <c r="O48" s="9">
        <v>2.58</v>
      </c>
      <c r="P48" s="8">
        <v>7.48</v>
      </c>
      <c r="Q48" s="5" t="s">
        <v>312</v>
      </c>
      <c r="R48" s="5">
        <v>37.200000000000003</v>
      </c>
      <c r="S48" s="9">
        <v>3.77</v>
      </c>
      <c r="T48" s="9">
        <v>4.07</v>
      </c>
      <c r="U48" s="5" t="s">
        <v>369</v>
      </c>
      <c r="V48" s="5">
        <v>26.36</v>
      </c>
      <c r="W48" s="9">
        <v>1.69</v>
      </c>
      <c r="X48" s="9">
        <v>0.56999999999999995</v>
      </c>
      <c r="Y48" s="5" t="s">
        <v>370</v>
      </c>
      <c r="Z48" s="5">
        <v>54.64</v>
      </c>
      <c r="AA48" s="9">
        <v>7.0000000000000007E-2</v>
      </c>
      <c r="AB48" s="9">
        <v>0.78</v>
      </c>
      <c r="AC48" s="5" t="s">
        <v>167</v>
      </c>
      <c r="AD48" s="5">
        <v>3.36</v>
      </c>
      <c r="AE48" s="9">
        <v>5.61</v>
      </c>
      <c r="AF48" s="8">
        <v>11.81</v>
      </c>
      <c r="AG48" s="5" t="s">
        <v>202</v>
      </c>
      <c r="AH48" s="10">
        <v>2.99</v>
      </c>
      <c r="AI48" s="8">
        <v>7.43</v>
      </c>
      <c r="AJ48" s="8">
        <v>12.05</v>
      </c>
      <c r="AK48" s="5" t="s">
        <v>371</v>
      </c>
      <c r="AL48" s="5">
        <v>147.80000000000001</v>
      </c>
      <c r="AM48" s="9">
        <v>1.17</v>
      </c>
      <c r="AN48" s="9">
        <v>2.91</v>
      </c>
    </row>
    <row r="49" spans="1:40" x14ac:dyDescent="0.3">
      <c r="A49" s="7">
        <v>45504</v>
      </c>
      <c r="B49" s="5" t="s">
        <v>18</v>
      </c>
      <c r="C49" s="5" t="str">
        <f t="shared" si="0"/>
        <v>45504C</v>
      </c>
      <c r="D49" s="5" t="s">
        <v>26</v>
      </c>
      <c r="E49" s="5">
        <v>33.31</v>
      </c>
      <c r="F49" s="8">
        <v>23.14</v>
      </c>
      <c r="G49" s="5" t="s">
        <v>116</v>
      </c>
      <c r="H49" s="5">
        <v>0</v>
      </c>
      <c r="I49" s="5"/>
      <c r="J49" s="5" t="s">
        <v>184</v>
      </c>
      <c r="K49" s="5">
        <v>91.39</v>
      </c>
      <c r="L49" s="9">
        <v>12.3</v>
      </c>
      <c r="M49" s="5" t="s">
        <v>372</v>
      </c>
      <c r="N49" s="5">
        <v>8.1</v>
      </c>
      <c r="O49" s="8">
        <v>4.51</v>
      </c>
      <c r="P49" s="9">
        <v>0.61</v>
      </c>
      <c r="Q49" s="5" t="s">
        <v>373</v>
      </c>
      <c r="R49" s="5">
        <v>38</v>
      </c>
      <c r="S49" s="9">
        <v>1.24</v>
      </c>
      <c r="T49" s="9">
        <v>2.0099999999999998</v>
      </c>
      <c r="U49" s="5" t="s">
        <v>254</v>
      </c>
      <c r="V49" s="5">
        <v>26.72</v>
      </c>
      <c r="W49" s="9">
        <v>1.75</v>
      </c>
      <c r="X49" s="9">
        <v>1.94</v>
      </c>
      <c r="Y49" s="5" t="s">
        <v>374</v>
      </c>
      <c r="Z49" s="5">
        <v>54.64</v>
      </c>
      <c r="AA49" s="9">
        <v>0.1</v>
      </c>
      <c r="AB49" s="9">
        <v>0.78</v>
      </c>
      <c r="AC49" s="5" t="s">
        <v>375</v>
      </c>
      <c r="AD49" s="5">
        <v>3.36</v>
      </c>
      <c r="AE49" s="9">
        <v>0</v>
      </c>
      <c r="AF49" s="8">
        <v>11.81</v>
      </c>
      <c r="AG49" s="5" t="s">
        <v>213</v>
      </c>
      <c r="AH49" s="5">
        <v>3.17</v>
      </c>
      <c r="AI49" s="9">
        <v>0.93</v>
      </c>
      <c r="AJ49" s="9">
        <v>6.76</v>
      </c>
      <c r="AK49" s="5" t="s">
        <v>376</v>
      </c>
      <c r="AL49" s="5">
        <v>147.66999999999999</v>
      </c>
      <c r="AM49" s="9">
        <v>2.04</v>
      </c>
      <c r="AN49" s="9">
        <v>2.99</v>
      </c>
    </row>
    <row r="50" spans="1:40" x14ac:dyDescent="0.3">
      <c r="A50" s="7">
        <v>45505</v>
      </c>
      <c r="B50" s="5" t="s">
        <v>19</v>
      </c>
      <c r="C50" s="5" t="str">
        <f t="shared" si="0"/>
        <v>45505A</v>
      </c>
      <c r="D50" s="5" t="s">
        <v>52</v>
      </c>
      <c r="E50" s="5">
        <v>32.25</v>
      </c>
      <c r="F50" s="8">
        <v>54.08</v>
      </c>
      <c r="G50" s="5" t="s">
        <v>116</v>
      </c>
      <c r="H50" s="5">
        <v>0</v>
      </c>
      <c r="I50" s="5"/>
      <c r="J50" s="5" t="s">
        <v>162</v>
      </c>
      <c r="K50" s="5">
        <v>97.86</v>
      </c>
      <c r="L50" s="9">
        <v>20.39</v>
      </c>
      <c r="M50" s="5" t="s">
        <v>192</v>
      </c>
      <c r="N50" s="5">
        <v>7.94</v>
      </c>
      <c r="O50" s="9">
        <v>1.66</v>
      </c>
      <c r="P50" s="9">
        <v>2.57</v>
      </c>
      <c r="Q50" s="5" t="s">
        <v>322</v>
      </c>
      <c r="R50" s="5">
        <v>38.799999999999997</v>
      </c>
      <c r="S50" s="9">
        <v>2.02</v>
      </c>
      <c r="T50" s="9">
        <v>0.05</v>
      </c>
      <c r="U50" s="5" t="s">
        <v>377</v>
      </c>
      <c r="V50" s="5">
        <v>26.64</v>
      </c>
      <c r="W50" s="9">
        <v>0.87</v>
      </c>
      <c r="X50" s="9">
        <v>1.64</v>
      </c>
      <c r="Y50" s="5" t="s">
        <v>370</v>
      </c>
      <c r="Z50" s="5">
        <v>55.06</v>
      </c>
      <c r="AA50" s="9">
        <v>0.84</v>
      </c>
      <c r="AB50" s="9">
        <v>0.01</v>
      </c>
      <c r="AC50" s="5" t="s">
        <v>121</v>
      </c>
      <c r="AD50" s="5">
        <v>3.49</v>
      </c>
      <c r="AE50" s="9">
        <v>1.45</v>
      </c>
      <c r="AF50" s="8">
        <v>8.39</v>
      </c>
      <c r="AG50" s="5" t="s">
        <v>202</v>
      </c>
      <c r="AH50" s="5">
        <v>3.26</v>
      </c>
      <c r="AI50" s="9">
        <v>0.92</v>
      </c>
      <c r="AJ50" s="9">
        <v>4.1100000000000003</v>
      </c>
      <c r="AK50" s="5" t="s">
        <v>378</v>
      </c>
      <c r="AL50" s="5">
        <v>145.80000000000001</v>
      </c>
      <c r="AM50" s="9">
        <v>0.59</v>
      </c>
      <c r="AN50" s="9">
        <v>4.22</v>
      </c>
    </row>
    <row r="51" spans="1:40" ht="18" x14ac:dyDescent="0.35">
      <c r="A51" s="7">
        <v>45505</v>
      </c>
      <c r="B51" s="5" t="s">
        <v>20</v>
      </c>
      <c r="C51" s="5" t="str">
        <f t="shared" si="0"/>
        <v>45505B</v>
      </c>
      <c r="D51" s="5" t="s">
        <v>53</v>
      </c>
      <c r="E51" s="5">
        <v>30.29</v>
      </c>
      <c r="F51" s="8">
        <v>46.11</v>
      </c>
      <c r="G51" s="5" t="s">
        <v>116</v>
      </c>
      <c r="H51" s="5">
        <v>0</v>
      </c>
      <c r="I51" s="5"/>
      <c r="J51" s="5" t="s">
        <v>162</v>
      </c>
      <c r="K51" s="5">
        <v>97.75</v>
      </c>
      <c r="L51" s="9">
        <v>20.260000000000002</v>
      </c>
      <c r="M51" s="5" t="s">
        <v>379</v>
      </c>
      <c r="N51" s="5">
        <v>7.88</v>
      </c>
      <c r="O51" s="9">
        <v>0.12</v>
      </c>
      <c r="P51" s="8">
        <v>3.31</v>
      </c>
      <c r="Q51" s="5" t="s">
        <v>380</v>
      </c>
      <c r="R51" s="5">
        <v>37.619999999999997</v>
      </c>
      <c r="S51" s="9">
        <v>2.41</v>
      </c>
      <c r="T51" s="9">
        <v>2.99</v>
      </c>
      <c r="U51" s="5">
        <v>26.05</v>
      </c>
      <c r="V51" s="5">
        <v>26.71</v>
      </c>
      <c r="W51" s="9">
        <v>2.5299999999999998</v>
      </c>
      <c r="X51" s="9">
        <v>1.9</v>
      </c>
      <c r="Y51" s="5" t="s">
        <v>340</v>
      </c>
      <c r="Z51" s="5">
        <v>55.06</v>
      </c>
      <c r="AA51" s="9">
        <v>0.1</v>
      </c>
      <c r="AB51" s="9">
        <v>0.01</v>
      </c>
      <c r="AC51" s="5" t="s">
        <v>335</v>
      </c>
      <c r="AD51" s="5">
        <v>3.58</v>
      </c>
      <c r="AE51" s="9">
        <v>1.1000000000000001</v>
      </c>
      <c r="AF51" s="9">
        <v>6.03</v>
      </c>
      <c r="AG51" s="5" t="s">
        <v>153</v>
      </c>
      <c r="AH51" s="5">
        <v>3.16</v>
      </c>
      <c r="AI51" s="9">
        <v>4.24</v>
      </c>
      <c r="AJ51" s="8">
        <v>7.05</v>
      </c>
      <c r="AK51" s="5" t="s">
        <v>381</v>
      </c>
      <c r="AL51" s="5">
        <v>148.88</v>
      </c>
      <c r="AM51" s="9">
        <v>2.0699999999999998</v>
      </c>
      <c r="AN51" s="9">
        <v>2.2000000000000002</v>
      </c>
    </row>
    <row r="52" spans="1:40" x14ac:dyDescent="0.3">
      <c r="A52" s="7">
        <v>45505</v>
      </c>
      <c r="B52" s="5" t="s">
        <v>18</v>
      </c>
      <c r="C52" s="5" t="str">
        <f t="shared" si="0"/>
        <v>45505C</v>
      </c>
      <c r="D52" s="5" t="s">
        <v>54</v>
      </c>
      <c r="E52" s="5">
        <v>24.02</v>
      </c>
      <c r="F52" s="9">
        <v>0.37</v>
      </c>
      <c r="G52" s="5" t="s">
        <v>116</v>
      </c>
      <c r="H52" s="5">
        <v>0</v>
      </c>
      <c r="I52" s="5"/>
      <c r="J52" s="5" t="s">
        <v>197</v>
      </c>
      <c r="K52" s="5">
        <v>80.430000000000007</v>
      </c>
      <c r="L52" s="9">
        <v>1.1000000000000001</v>
      </c>
      <c r="M52" s="5" t="s">
        <v>327</v>
      </c>
      <c r="N52" s="5">
        <v>8.1999999999999993</v>
      </c>
      <c r="O52" s="8">
        <v>5.67</v>
      </c>
      <c r="P52" s="9">
        <v>0.61</v>
      </c>
      <c r="Q52" s="5" t="s">
        <v>382</v>
      </c>
      <c r="R52" s="5">
        <v>38</v>
      </c>
      <c r="S52" s="9">
        <v>0.36</v>
      </c>
      <c r="T52" s="9">
        <v>2.0099999999999998</v>
      </c>
      <c r="U52" s="5" t="s">
        <v>383</v>
      </c>
      <c r="V52" s="5">
        <v>25.66</v>
      </c>
      <c r="W52" s="9">
        <v>1.79</v>
      </c>
      <c r="X52" s="9">
        <v>2.09</v>
      </c>
      <c r="Y52" s="5" t="s">
        <v>330</v>
      </c>
      <c r="Z52" s="5">
        <v>55.06</v>
      </c>
      <c r="AA52" s="9">
        <v>0.32</v>
      </c>
      <c r="AB52" s="9">
        <v>0.01</v>
      </c>
      <c r="AC52" s="5" t="s">
        <v>384</v>
      </c>
      <c r="AD52" s="5">
        <v>3.58</v>
      </c>
      <c r="AE52" s="9">
        <v>0.28000000000000003</v>
      </c>
      <c r="AF52" s="9">
        <v>6.03</v>
      </c>
      <c r="AG52" s="5" t="s">
        <v>122</v>
      </c>
      <c r="AH52" s="5">
        <v>3.36</v>
      </c>
      <c r="AI52" s="9">
        <v>4.34</v>
      </c>
      <c r="AJ52" s="9">
        <v>1.17</v>
      </c>
      <c r="AK52" s="5" t="s">
        <v>385</v>
      </c>
      <c r="AL52" s="5">
        <v>148</v>
      </c>
      <c r="AM52" s="9">
        <v>0.55000000000000004</v>
      </c>
      <c r="AN52" s="9">
        <v>2.77</v>
      </c>
    </row>
    <row r="53" spans="1:40" x14ac:dyDescent="0.3">
      <c r="A53" s="7">
        <v>45506</v>
      </c>
      <c r="B53" s="5" t="s">
        <v>19</v>
      </c>
      <c r="C53" s="5" t="str">
        <f t="shared" si="0"/>
        <v>45506A</v>
      </c>
      <c r="D53" s="5" t="s">
        <v>55</v>
      </c>
      <c r="E53" s="5">
        <v>22.86</v>
      </c>
      <c r="F53" s="8">
        <v>43.41</v>
      </c>
      <c r="G53" s="5" t="s">
        <v>116</v>
      </c>
      <c r="H53" s="5">
        <v>0</v>
      </c>
      <c r="I53" s="5"/>
      <c r="J53" s="5" t="s">
        <v>386</v>
      </c>
      <c r="K53" s="5">
        <v>64.430000000000007</v>
      </c>
      <c r="L53" s="9">
        <v>20.65</v>
      </c>
      <c r="M53" s="5" t="s">
        <v>258</v>
      </c>
      <c r="N53" s="5">
        <v>8.1</v>
      </c>
      <c r="O53" s="9">
        <v>0.49</v>
      </c>
      <c r="P53" s="9">
        <v>0.61</v>
      </c>
      <c r="Q53" s="5" t="s">
        <v>266</v>
      </c>
      <c r="R53" s="5">
        <v>39</v>
      </c>
      <c r="S53" s="9">
        <v>0.69</v>
      </c>
      <c r="T53" s="9">
        <v>0.56000000000000005</v>
      </c>
      <c r="U53" s="5" t="s">
        <v>42</v>
      </c>
      <c r="V53" s="5">
        <v>27.1</v>
      </c>
      <c r="W53" s="9">
        <v>3.63</v>
      </c>
      <c r="X53" s="9">
        <v>3.39</v>
      </c>
      <c r="Y53" s="5" t="s">
        <v>387</v>
      </c>
      <c r="Z53" s="5">
        <v>55.06</v>
      </c>
      <c r="AA53" s="9">
        <v>0.23</v>
      </c>
      <c r="AB53" s="9">
        <v>0.01</v>
      </c>
      <c r="AC53" s="5" t="s">
        <v>388</v>
      </c>
      <c r="AD53" s="5">
        <v>3.58</v>
      </c>
      <c r="AE53" s="9">
        <v>3.76</v>
      </c>
      <c r="AF53" s="9">
        <v>6.03</v>
      </c>
      <c r="AG53" s="5" t="s">
        <v>389</v>
      </c>
      <c r="AH53" s="5">
        <v>3.41</v>
      </c>
      <c r="AI53" s="9">
        <v>1.79</v>
      </c>
      <c r="AJ53" s="9">
        <v>0.28999999999999998</v>
      </c>
      <c r="AK53" s="5" t="s">
        <v>390</v>
      </c>
      <c r="AL53" s="5">
        <v>146.66999999999999</v>
      </c>
      <c r="AM53" s="9">
        <v>1.3</v>
      </c>
      <c r="AN53" s="9">
        <v>3.65</v>
      </c>
    </row>
    <row r="54" spans="1:40" x14ac:dyDescent="0.3">
      <c r="A54" s="7">
        <v>45506</v>
      </c>
      <c r="B54" s="5" t="s">
        <v>20</v>
      </c>
      <c r="C54" s="5" t="str">
        <f t="shared" si="0"/>
        <v>45506B</v>
      </c>
      <c r="D54" s="5" t="s">
        <v>56</v>
      </c>
      <c r="E54" s="5">
        <v>17.59</v>
      </c>
      <c r="F54" s="9">
        <v>3.59</v>
      </c>
      <c r="G54" s="5" t="s">
        <v>116</v>
      </c>
      <c r="H54" s="5">
        <v>0</v>
      </c>
      <c r="I54" s="5"/>
      <c r="J54" s="5" t="s">
        <v>132</v>
      </c>
      <c r="K54" s="5">
        <v>71.42</v>
      </c>
      <c r="L54" s="9">
        <v>12.06</v>
      </c>
      <c r="M54" s="5" t="s">
        <v>391</v>
      </c>
      <c r="N54" s="5">
        <v>8.23</v>
      </c>
      <c r="O54" s="9">
        <v>2.87</v>
      </c>
      <c r="P54" s="9">
        <v>0.98</v>
      </c>
      <c r="Q54" s="5" t="s">
        <v>392</v>
      </c>
      <c r="R54" s="5">
        <v>37.5</v>
      </c>
      <c r="S54" s="9">
        <v>2.29</v>
      </c>
      <c r="T54" s="9">
        <v>3.3</v>
      </c>
      <c r="U54" s="5" t="s">
        <v>393</v>
      </c>
      <c r="V54" s="5">
        <v>27.62</v>
      </c>
      <c r="W54" s="9">
        <v>3.79</v>
      </c>
      <c r="X54" s="8">
        <v>5.37</v>
      </c>
      <c r="Y54" s="5" t="s">
        <v>387</v>
      </c>
      <c r="Z54" s="5">
        <v>55.06</v>
      </c>
      <c r="AA54" s="9">
        <v>0.23</v>
      </c>
      <c r="AB54" s="9">
        <v>0.01</v>
      </c>
      <c r="AC54" s="5" t="s">
        <v>394</v>
      </c>
      <c r="AD54" s="5">
        <v>3.58</v>
      </c>
      <c r="AE54" s="9">
        <v>4.2699999999999996</v>
      </c>
      <c r="AF54" s="9">
        <v>6.03</v>
      </c>
      <c r="AG54" s="5" t="s">
        <v>226</v>
      </c>
      <c r="AH54" s="5">
        <v>3.36</v>
      </c>
      <c r="AI54" s="9">
        <v>0.9</v>
      </c>
      <c r="AJ54" s="9">
        <v>1.17</v>
      </c>
      <c r="AK54" s="5" t="s">
        <v>395</v>
      </c>
      <c r="AL54" s="5">
        <v>150.16999999999999</v>
      </c>
      <c r="AM54" s="9">
        <v>2.84</v>
      </c>
      <c r="AN54" s="9">
        <v>1.35</v>
      </c>
    </row>
    <row r="55" spans="1:40" ht="18" x14ac:dyDescent="0.35">
      <c r="A55" s="7">
        <v>45506</v>
      </c>
      <c r="B55" s="5" t="s">
        <v>18</v>
      </c>
      <c r="C55" s="5" t="str">
        <f t="shared" si="0"/>
        <v>45506C</v>
      </c>
      <c r="D55" s="5" t="s">
        <v>57</v>
      </c>
      <c r="E55" s="5">
        <v>16.57</v>
      </c>
      <c r="F55" s="8">
        <v>15.47</v>
      </c>
      <c r="G55" s="5" t="s">
        <v>116</v>
      </c>
      <c r="H55" s="5">
        <v>0</v>
      </c>
      <c r="I55" s="5"/>
      <c r="J55" s="5">
        <v>81.180000000000007</v>
      </c>
      <c r="K55" s="5">
        <v>79.36</v>
      </c>
      <c r="L55" s="9">
        <v>2.2400000000000002</v>
      </c>
      <c r="M55" s="5" t="s">
        <v>396</v>
      </c>
      <c r="N55" s="5">
        <v>8.5</v>
      </c>
      <c r="O55" s="8">
        <v>6.38</v>
      </c>
      <c r="P55" s="8">
        <v>4.29</v>
      </c>
      <c r="Q55" s="5" t="s">
        <v>397</v>
      </c>
      <c r="R55" s="5">
        <v>37.5</v>
      </c>
      <c r="S55" s="9">
        <v>1.18</v>
      </c>
      <c r="T55" s="9">
        <v>3.3</v>
      </c>
      <c r="U55" s="5" t="s">
        <v>398</v>
      </c>
      <c r="V55" s="5">
        <v>28.55</v>
      </c>
      <c r="W55" s="8">
        <v>6.76</v>
      </c>
      <c r="X55" s="8">
        <v>8.92</v>
      </c>
      <c r="Y55" s="5" t="s">
        <v>237</v>
      </c>
      <c r="Z55" s="12">
        <v>55.06</v>
      </c>
      <c r="AA55" s="9">
        <v>0.16</v>
      </c>
      <c r="AB55" s="9">
        <v>0.01</v>
      </c>
      <c r="AC55" s="5" t="s">
        <v>399</v>
      </c>
      <c r="AD55" s="5">
        <v>3.56</v>
      </c>
      <c r="AE55" s="9">
        <v>3.78</v>
      </c>
      <c r="AF55" s="9">
        <v>6.56</v>
      </c>
      <c r="AG55" s="5" t="s">
        <v>153</v>
      </c>
      <c r="AH55" s="5">
        <v>3.32</v>
      </c>
      <c r="AI55" s="9">
        <v>0.6</v>
      </c>
      <c r="AJ55" s="9">
        <v>2.35</v>
      </c>
      <c r="AK55" s="5" t="s">
        <v>400</v>
      </c>
      <c r="AL55" s="5">
        <v>159</v>
      </c>
      <c r="AM55" s="9">
        <v>7.59</v>
      </c>
      <c r="AN55" s="9">
        <v>4.4400000000000004</v>
      </c>
    </row>
    <row r="56" spans="1:40" x14ac:dyDescent="0.3">
      <c r="A56" s="7">
        <v>45509</v>
      </c>
      <c r="B56" s="5" t="s">
        <v>19</v>
      </c>
      <c r="C56" s="5" t="str">
        <f t="shared" si="0"/>
        <v>45509A</v>
      </c>
      <c r="D56" s="5" t="s">
        <v>58</v>
      </c>
      <c r="E56" s="5">
        <v>19.25</v>
      </c>
      <c r="F56" s="8">
        <v>7.66</v>
      </c>
      <c r="G56" s="5" t="s">
        <v>116</v>
      </c>
      <c r="H56" s="5">
        <v>0</v>
      </c>
      <c r="I56" s="5"/>
      <c r="J56" s="5" t="s">
        <v>140</v>
      </c>
      <c r="K56" s="5">
        <v>75.83</v>
      </c>
      <c r="L56" s="9">
        <v>6.64</v>
      </c>
      <c r="M56" s="5" t="s">
        <v>337</v>
      </c>
      <c r="N56" s="5">
        <v>8.3000000000000007</v>
      </c>
      <c r="O56" s="8">
        <v>4.79</v>
      </c>
      <c r="P56" s="9">
        <v>1.84</v>
      </c>
      <c r="Q56" s="5" t="s">
        <v>401</v>
      </c>
      <c r="R56" s="5">
        <v>38.5</v>
      </c>
      <c r="S56" s="9">
        <v>1.69</v>
      </c>
      <c r="T56" s="9">
        <v>0.72</v>
      </c>
      <c r="U56" s="5" t="s">
        <v>402</v>
      </c>
      <c r="V56" s="5">
        <v>27.48</v>
      </c>
      <c r="W56" s="8">
        <v>5.04</v>
      </c>
      <c r="X56" s="9">
        <v>4.84</v>
      </c>
      <c r="Y56" s="5" t="s">
        <v>403</v>
      </c>
      <c r="Z56" s="5">
        <v>54.67</v>
      </c>
      <c r="AA56" s="9">
        <v>0.4</v>
      </c>
      <c r="AB56" s="9">
        <v>0.72</v>
      </c>
      <c r="AC56" s="5" t="s">
        <v>335</v>
      </c>
      <c r="AD56" s="5">
        <v>3.56</v>
      </c>
      <c r="AE56" s="9">
        <v>1.65</v>
      </c>
      <c r="AF56" s="9">
        <v>6.56</v>
      </c>
      <c r="AG56" s="5" t="s">
        <v>207</v>
      </c>
      <c r="AH56" s="5">
        <v>3.46</v>
      </c>
      <c r="AI56" s="9">
        <v>6.79</v>
      </c>
      <c r="AJ56" s="9">
        <v>1.76</v>
      </c>
      <c r="AK56" s="5" t="s">
        <v>404</v>
      </c>
      <c r="AL56" s="5">
        <v>153.75</v>
      </c>
      <c r="AM56" s="9">
        <v>1.04</v>
      </c>
      <c r="AN56" s="9">
        <v>0.99</v>
      </c>
    </row>
    <row r="57" spans="1:40" x14ac:dyDescent="0.3">
      <c r="A57" s="7">
        <v>45509</v>
      </c>
      <c r="B57" s="5" t="s">
        <v>20</v>
      </c>
      <c r="C57" s="5" t="str">
        <f t="shared" si="0"/>
        <v>45509B</v>
      </c>
      <c r="D57" s="5" t="s">
        <v>59</v>
      </c>
      <c r="E57" s="5">
        <v>18.75</v>
      </c>
      <c r="F57" s="8">
        <v>41.18</v>
      </c>
      <c r="G57" s="5" t="s">
        <v>405</v>
      </c>
      <c r="H57" s="5">
        <v>0</v>
      </c>
      <c r="I57" s="8">
        <v>100</v>
      </c>
      <c r="J57" s="5" t="s">
        <v>406</v>
      </c>
      <c r="K57" s="5">
        <v>75.91</v>
      </c>
      <c r="L57" s="8">
        <v>25.19</v>
      </c>
      <c r="M57" s="5" t="s">
        <v>407</v>
      </c>
      <c r="N57" s="5">
        <v>8.48</v>
      </c>
      <c r="O57" s="8">
        <v>3.54</v>
      </c>
      <c r="P57" s="8">
        <v>4.04</v>
      </c>
      <c r="Q57" s="5" t="s">
        <v>408</v>
      </c>
      <c r="R57" s="5">
        <v>38.75</v>
      </c>
      <c r="S57" s="9">
        <v>0.62</v>
      </c>
      <c r="T57" s="9">
        <v>7.0000000000000007E-2</v>
      </c>
      <c r="U57" s="5" t="s">
        <v>409</v>
      </c>
      <c r="V57" s="5">
        <v>28.1</v>
      </c>
      <c r="W57" s="8">
        <v>6.19</v>
      </c>
      <c r="X57" s="8">
        <v>7.21</v>
      </c>
      <c r="Y57" s="5" t="s">
        <v>410</v>
      </c>
      <c r="Z57" s="5">
        <v>54.67</v>
      </c>
      <c r="AA57" s="9">
        <v>0.41</v>
      </c>
      <c r="AB57" s="9">
        <v>0.72</v>
      </c>
      <c r="AC57" s="5" t="s">
        <v>314</v>
      </c>
      <c r="AD57" s="5">
        <v>3.9</v>
      </c>
      <c r="AE57" s="9">
        <v>3.44</v>
      </c>
      <c r="AF57" s="9">
        <v>2.36</v>
      </c>
      <c r="AG57" s="5" t="s">
        <v>291</v>
      </c>
      <c r="AH57" s="10">
        <v>3.6</v>
      </c>
      <c r="AI57" s="9">
        <v>6.82</v>
      </c>
      <c r="AJ57" s="9">
        <v>5.88</v>
      </c>
      <c r="AK57" s="5" t="s">
        <v>411</v>
      </c>
      <c r="AL57" s="5">
        <v>153.75</v>
      </c>
      <c r="AM57" s="9">
        <v>0.9</v>
      </c>
      <c r="AN57" s="9">
        <v>0.99</v>
      </c>
    </row>
    <row r="58" spans="1:40" ht="18" x14ac:dyDescent="0.35">
      <c r="A58" s="7">
        <v>45509</v>
      </c>
      <c r="B58" s="5" t="s">
        <v>18</v>
      </c>
      <c r="C58" s="5" t="str">
        <f t="shared" si="0"/>
        <v>45509C</v>
      </c>
      <c r="D58" s="5" t="s">
        <v>60</v>
      </c>
      <c r="E58" s="5">
        <v>13.06</v>
      </c>
      <c r="F58" s="9">
        <v>1.95</v>
      </c>
      <c r="G58" s="5" t="s">
        <v>116</v>
      </c>
      <c r="H58" s="5">
        <v>0</v>
      </c>
      <c r="I58" s="5"/>
      <c r="J58" s="5" t="s">
        <v>412</v>
      </c>
      <c r="K58" s="5">
        <v>101.31</v>
      </c>
      <c r="L58" s="9">
        <v>15.76</v>
      </c>
      <c r="M58" s="5" t="s">
        <v>300</v>
      </c>
      <c r="N58" s="10">
        <v>8.74</v>
      </c>
      <c r="O58" s="8">
        <v>8.0299999999999994</v>
      </c>
      <c r="P58" s="8">
        <v>7.23</v>
      </c>
      <c r="Q58" s="5" t="s">
        <v>413</v>
      </c>
      <c r="R58" s="5">
        <v>39.43</v>
      </c>
      <c r="S58" s="9">
        <v>3.51</v>
      </c>
      <c r="T58" s="9">
        <v>1.67</v>
      </c>
      <c r="U58" s="5" t="s">
        <v>254</v>
      </c>
      <c r="V58" s="5">
        <v>26.13</v>
      </c>
      <c r="W58" s="9">
        <v>0.49</v>
      </c>
      <c r="X58" s="9">
        <v>0.3</v>
      </c>
      <c r="Y58" s="5">
        <v>54.91</v>
      </c>
      <c r="Z58" s="5">
        <v>54.67</v>
      </c>
      <c r="AA58" s="9">
        <v>0.43</v>
      </c>
      <c r="AB58" s="9">
        <v>0.72</v>
      </c>
      <c r="AC58" s="5" t="s">
        <v>414</v>
      </c>
      <c r="AD58" s="5">
        <v>3.95</v>
      </c>
      <c r="AE58" s="9">
        <v>2.59</v>
      </c>
      <c r="AF58" s="9">
        <v>3.67</v>
      </c>
      <c r="AG58" s="5" t="s">
        <v>375</v>
      </c>
      <c r="AH58" s="10">
        <v>3.75</v>
      </c>
      <c r="AI58" s="8">
        <v>11.6</v>
      </c>
      <c r="AJ58" s="8">
        <v>10.29</v>
      </c>
      <c r="AK58" s="5" t="s">
        <v>415</v>
      </c>
      <c r="AL58" s="5">
        <v>154.71</v>
      </c>
      <c r="AM58" s="9">
        <v>5.05</v>
      </c>
      <c r="AN58" s="9">
        <v>1.62</v>
      </c>
    </row>
    <row r="59" spans="1:40" x14ac:dyDescent="0.3">
      <c r="A59" s="7">
        <v>45510</v>
      </c>
      <c r="B59" s="5" t="s">
        <v>19</v>
      </c>
      <c r="C59" s="5" t="str">
        <f t="shared" si="0"/>
        <v>45510A</v>
      </c>
      <c r="D59" s="5" t="s">
        <v>60</v>
      </c>
      <c r="E59" s="5">
        <v>20.2</v>
      </c>
      <c r="F59" s="8">
        <v>51.65</v>
      </c>
      <c r="G59" s="5" t="s">
        <v>416</v>
      </c>
      <c r="H59" s="5">
        <v>0</v>
      </c>
      <c r="I59" s="8">
        <v>100</v>
      </c>
      <c r="J59" s="5" t="s">
        <v>417</v>
      </c>
      <c r="K59" s="5">
        <v>94.34</v>
      </c>
      <c r="L59" s="9">
        <v>21.56</v>
      </c>
      <c r="M59" s="5" t="s">
        <v>418</v>
      </c>
      <c r="N59" s="10">
        <v>8.68</v>
      </c>
      <c r="O59" s="8">
        <v>3.82</v>
      </c>
      <c r="P59" s="8">
        <v>6.5</v>
      </c>
      <c r="Q59" s="5" t="s">
        <v>419</v>
      </c>
      <c r="R59" s="5">
        <v>37.5</v>
      </c>
      <c r="S59" s="9">
        <v>4.21</v>
      </c>
      <c r="T59" s="9">
        <v>3.3</v>
      </c>
      <c r="U59" s="5" t="s">
        <v>420</v>
      </c>
      <c r="V59" s="10">
        <v>28.85</v>
      </c>
      <c r="W59" s="8">
        <v>15.4</v>
      </c>
      <c r="X59" s="8">
        <v>10.07</v>
      </c>
      <c r="Y59" s="5" t="s">
        <v>421</v>
      </c>
      <c r="Z59" s="5">
        <v>54.27</v>
      </c>
      <c r="AA59" s="9">
        <v>1.0900000000000001</v>
      </c>
      <c r="AB59" s="9">
        <v>1.45</v>
      </c>
      <c r="AC59" s="5" t="s">
        <v>422</v>
      </c>
      <c r="AD59" s="5">
        <v>3.95</v>
      </c>
      <c r="AE59" s="9">
        <v>0.75</v>
      </c>
      <c r="AF59" s="9">
        <v>3.67</v>
      </c>
      <c r="AG59" s="5" t="s">
        <v>423</v>
      </c>
      <c r="AH59" s="10">
        <v>3.61</v>
      </c>
      <c r="AI59" s="9">
        <v>4.03</v>
      </c>
      <c r="AJ59" s="9">
        <v>6.17</v>
      </c>
      <c r="AK59" s="5" t="s">
        <v>424</v>
      </c>
      <c r="AL59" s="5">
        <v>141.5</v>
      </c>
      <c r="AM59" s="9">
        <v>5.51</v>
      </c>
      <c r="AN59" s="9">
        <v>7.04</v>
      </c>
    </row>
    <row r="60" spans="1:40" x14ac:dyDescent="0.3">
      <c r="A60" s="7">
        <v>45510</v>
      </c>
      <c r="B60" s="5" t="s">
        <v>20</v>
      </c>
      <c r="C60" s="5" t="str">
        <f t="shared" si="0"/>
        <v>45510B</v>
      </c>
      <c r="D60" s="5" t="s">
        <v>60</v>
      </c>
      <c r="E60" s="5">
        <v>12.73</v>
      </c>
      <c r="F60" s="9">
        <v>4.42</v>
      </c>
      <c r="G60" s="5" t="s">
        <v>116</v>
      </c>
      <c r="H60" s="5">
        <v>0</v>
      </c>
      <c r="I60" s="5"/>
      <c r="J60" s="5" t="s">
        <v>412</v>
      </c>
      <c r="K60" s="5">
        <v>77.47</v>
      </c>
      <c r="L60" s="8">
        <v>35.58</v>
      </c>
      <c r="M60" s="5" t="s">
        <v>425</v>
      </c>
      <c r="N60" s="10">
        <v>8.86</v>
      </c>
      <c r="O60" s="8">
        <v>6.61</v>
      </c>
      <c r="P60" s="8">
        <v>8.7100000000000009</v>
      </c>
      <c r="Q60" s="5" t="s">
        <v>426</v>
      </c>
      <c r="R60" s="5">
        <v>40</v>
      </c>
      <c r="S60" s="8">
        <v>6.52</v>
      </c>
      <c r="T60" s="9">
        <v>3.14</v>
      </c>
      <c r="U60" s="5" t="s">
        <v>427</v>
      </c>
      <c r="V60" s="5">
        <v>27.35</v>
      </c>
      <c r="W60" s="9">
        <v>1.97</v>
      </c>
      <c r="X60" s="9">
        <v>4.34</v>
      </c>
      <c r="Y60" s="5" t="s">
        <v>428</v>
      </c>
      <c r="Z60" s="5">
        <v>54.27</v>
      </c>
      <c r="AA60" s="9">
        <v>0.67</v>
      </c>
      <c r="AB60" s="9">
        <v>1.45</v>
      </c>
      <c r="AC60" s="5" t="s">
        <v>296</v>
      </c>
      <c r="AD60" s="5">
        <v>4.05</v>
      </c>
      <c r="AE60" s="9">
        <v>3.05</v>
      </c>
      <c r="AF60" s="9">
        <v>6.29</v>
      </c>
      <c r="AG60" s="5" t="s">
        <v>129</v>
      </c>
      <c r="AH60" s="10">
        <v>3.83</v>
      </c>
      <c r="AI60" s="8">
        <v>13.31</v>
      </c>
      <c r="AJ60" s="8">
        <v>12.64</v>
      </c>
      <c r="AK60" s="5" t="s">
        <v>429</v>
      </c>
      <c r="AL60" s="5">
        <v>153.66999999999999</v>
      </c>
      <c r="AM60" s="8">
        <v>11.37</v>
      </c>
      <c r="AN60" s="9">
        <v>0.94</v>
      </c>
    </row>
    <row r="61" spans="1:40" x14ac:dyDescent="0.3">
      <c r="A61" s="7">
        <v>45510</v>
      </c>
      <c r="B61" s="5" t="s">
        <v>18</v>
      </c>
      <c r="C61" s="5" t="str">
        <f t="shared" si="0"/>
        <v>45510C</v>
      </c>
      <c r="D61" s="5" t="s">
        <v>60</v>
      </c>
      <c r="E61" s="5">
        <v>9.4700000000000006</v>
      </c>
      <c r="F61" s="8">
        <v>28.9</v>
      </c>
      <c r="G61" s="5" t="s">
        <v>116</v>
      </c>
      <c r="H61" s="5">
        <v>0</v>
      </c>
      <c r="I61" s="5"/>
      <c r="J61" s="5" t="s">
        <v>412</v>
      </c>
      <c r="K61" s="5">
        <v>96.82</v>
      </c>
      <c r="L61" s="9">
        <v>19.489999999999998</v>
      </c>
      <c r="M61" s="5" t="s">
        <v>430</v>
      </c>
      <c r="N61" s="10">
        <v>8.8000000000000007</v>
      </c>
      <c r="O61" s="8">
        <v>4.26</v>
      </c>
      <c r="P61" s="8">
        <v>7.97</v>
      </c>
      <c r="Q61" s="5" t="s">
        <v>431</v>
      </c>
      <c r="R61" s="5">
        <v>38.5</v>
      </c>
      <c r="S61" s="9">
        <v>0.44</v>
      </c>
      <c r="T61" s="9">
        <v>0.72</v>
      </c>
      <c r="U61" s="5" t="s">
        <v>432</v>
      </c>
      <c r="V61" s="5">
        <v>26.62</v>
      </c>
      <c r="W61" s="9">
        <v>2.93</v>
      </c>
      <c r="X61" s="9">
        <v>1.56</v>
      </c>
      <c r="Y61" s="5" t="s">
        <v>433</v>
      </c>
      <c r="Z61" s="5">
        <v>54.27</v>
      </c>
      <c r="AA61" s="9">
        <v>0.57999999999999996</v>
      </c>
      <c r="AB61" s="9">
        <v>1.45</v>
      </c>
      <c r="AC61" s="10" t="s">
        <v>434</v>
      </c>
      <c r="AD61" s="10">
        <v>4.32</v>
      </c>
      <c r="AE61" s="9">
        <v>2.61</v>
      </c>
      <c r="AF61" s="8">
        <v>13.38</v>
      </c>
      <c r="AG61" s="5" t="s">
        <v>182</v>
      </c>
      <c r="AH61" s="10">
        <v>3.68</v>
      </c>
      <c r="AI61" s="9">
        <v>6.66</v>
      </c>
      <c r="AJ61" s="8">
        <v>8.23</v>
      </c>
      <c r="AK61" s="5" t="s">
        <v>435</v>
      </c>
      <c r="AL61" s="5">
        <v>150.25</v>
      </c>
      <c r="AM61" s="9">
        <v>4</v>
      </c>
      <c r="AN61" s="9">
        <v>1.3</v>
      </c>
    </row>
    <row r="62" spans="1:40" x14ac:dyDescent="0.3">
      <c r="A62" s="7">
        <v>45511</v>
      </c>
      <c r="B62" s="5" t="s">
        <v>19</v>
      </c>
      <c r="C62" s="5" t="str">
        <f t="shared" si="0"/>
        <v>45511A</v>
      </c>
      <c r="D62" s="5" t="s">
        <v>60</v>
      </c>
      <c r="E62" s="5">
        <v>17.46</v>
      </c>
      <c r="F62" s="8">
        <v>31.08</v>
      </c>
      <c r="G62" s="5" t="s">
        <v>116</v>
      </c>
      <c r="H62" s="5">
        <v>0</v>
      </c>
      <c r="I62" s="5"/>
      <c r="J62" s="5" t="s">
        <v>412</v>
      </c>
      <c r="K62" s="5">
        <v>72.19</v>
      </c>
      <c r="L62" s="8">
        <v>39.97</v>
      </c>
      <c r="M62" s="5" t="s">
        <v>436</v>
      </c>
      <c r="N62" s="5">
        <v>8.4499999999999993</v>
      </c>
      <c r="O62" s="9">
        <v>1.8</v>
      </c>
      <c r="P62" s="8">
        <v>3.68</v>
      </c>
      <c r="Q62" s="5" t="s">
        <v>431</v>
      </c>
      <c r="R62" s="5">
        <v>37.25</v>
      </c>
      <c r="S62" s="9">
        <v>2.81</v>
      </c>
      <c r="T62" s="9">
        <v>3.94</v>
      </c>
      <c r="U62" s="5" t="s">
        <v>437</v>
      </c>
      <c r="V62" s="5">
        <v>27.15</v>
      </c>
      <c r="W62" s="8">
        <v>5.31</v>
      </c>
      <c r="X62" s="9">
        <v>3.58</v>
      </c>
      <c r="Y62" s="5" t="s">
        <v>438</v>
      </c>
      <c r="Z62" s="12">
        <v>56.86</v>
      </c>
      <c r="AA62" s="9">
        <v>4.1900000000000004</v>
      </c>
      <c r="AB62" s="9">
        <v>3.25</v>
      </c>
      <c r="AC62" s="5" t="s">
        <v>439</v>
      </c>
      <c r="AD62" s="12">
        <v>3.91</v>
      </c>
      <c r="AE62" s="9">
        <v>4.63</v>
      </c>
      <c r="AF62" s="9">
        <v>2.62</v>
      </c>
      <c r="AG62" s="5" t="s">
        <v>440</v>
      </c>
      <c r="AH62" s="10">
        <v>3.6</v>
      </c>
      <c r="AI62" s="9">
        <v>5.57</v>
      </c>
      <c r="AJ62" s="9">
        <v>5.88</v>
      </c>
      <c r="AK62" s="5" t="s">
        <v>441</v>
      </c>
      <c r="AL62" s="5">
        <v>141.5</v>
      </c>
      <c r="AM62" s="9">
        <v>2.86</v>
      </c>
      <c r="AN62" s="9">
        <v>7.04</v>
      </c>
    </row>
    <row r="63" spans="1:40" ht="18" x14ac:dyDescent="0.35">
      <c r="A63" s="7">
        <v>45511</v>
      </c>
      <c r="B63" s="5" t="s">
        <v>20</v>
      </c>
      <c r="C63" s="5" t="str">
        <f t="shared" si="0"/>
        <v>45511B</v>
      </c>
      <c r="D63" s="5" t="s">
        <v>61</v>
      </c>
      <c r="E63" s="5">
        <v>14.25</v>
      </c>
      <c r="F63" s="8">
        <v>6.82</v>
      </c>
      <c r="G63" s="5" t="s">
        <v>281</v>
      </c>
      <c r="H63" s="5">
        <v>0</v>
      </c>
      <c r="I63" s="8">
        <v>100</v>
      </c>
      <c r="J63" s="5" t="s">
        <v>288</v>
      </c>
      <c r="K63" s="5">
        <v>55.4</v>
      </c>
      <c r="L63" s="8">
        <v>54.01</v>
      </c>
      <c r="M63" s="5" t="s">
        <v>425</v>
      </c>
      <c r="N63" s="10">
        <v>8.91</v>
      </c>
      <c r="O63" s="8">
        <v>7.22</v>
      </c>
      <c r="P63" s="8">
        <v>9.32</v>
      </c>
      <c r="Q63" s="5" t="s">
        <v>442</v>
      </c>
      <c r="R63" s="5">
        <v>38.33</v>
      </c>
      <c r="S63" s="9">
        <v>1.26</v>
      </c>
      <c r="T63" s="9">
        <v>1.1599999999999999</v>
      </c>
      <c r="U63" s="5" t="s">
        <v>443</v>
      </c>
      <c r="V63" s="5">
        <v>28.63</v>
      </c>
      <c r="W63" s="8">
        <v>11.53</v>
      </c>
      <c r="X63" s="8">
        <v>9.23</v>
      </c>
      <c r="Y63" s="5">
        <v>56.67</v>
      </c>
      <c r="Z63" s="5">
        <v>56.86</v>
      </c>
      <c r="AA63" s="9">
        <v>0.33</v>
      </c>
      <c r="AB63" s="9">
        <v>3.25</v>
      </c>
      <c r="AC63" s="5" t="s">
        <v>444</v>
      </c>
      <c r="AD63" s="12">
        <v>4.1500000000000004</v>
      </c>
      <c r="AE63" s="9">
        <v>0.48</v>
      </c>
      <c r="AF63" s="8">
        <v>8.92</v>
      </c>
      <c r="AG63" s="5" t="s">
        <v>121</v>
      </c>
      <c r="AH63" s="10">
        <v>3.71</v>
      </c>
      <c r="AI63" s="8">
        <v>7.84</v>
      </c>
      <c r="AJ63" s="8">
        <v>9.11</v>
      </c>
      <c r="AK63" s="5" t="s">
        <v>445</v>
      </c>
      <c r="AL63" s="5">
        <v>146.66999999999999</v>
      </c>
      <c r="AM63" s="9">
        <v>1.8</v>
      </c>
      <c r="AN63" s="9">
        <v>3.65</v>
      </c>
    </row>
    <row r="64" spans="1:40" ht="18" x14ac:dyDescent="0.35">
      <c r="A64" s="7">
        <v>45511</v>
      </c>
      <c r="B64" s="5" t="s">
        <v>18</v>
      </c>
      <c r="C64" s="5" t="str">
        <f t="shared" si="0"/>
        <v>45511C</v>
      </c>
      <c r="D64" s="5" t="s">
        <v>61</v>
      </c>
      <c r="E64" s="5">
        <v>7.61</v>
      </c>
      <c r="F64" s="8">
        <v>42.95</v>
      </c>
      <c r="G64" s="5" t="s">
        <v>281</v>
      </c>
      <c r="H64" s="5">
        <v>0</v>
      </c>
      <c r="I64" s="8">
        <v>100</v>
      </c>
      <c r="J64" s="5" t="s">
        <v>288</v>
      </c>
      <c r="K64" s="5">
        <v>83.87</v>
      </c>
      <c r="L64" s="8">
        <v>30.38</v>
      </c>
      <c r="M64" s="5" t="s">
        <v>430</v>
      </c>
      <c r="N64" s="10">
        <v>8.8800000000000008</v>
      </c>
      <c r="O64" s="8">
        <v>5.21</v>
      </c>
      <c r="P64" s="8">
        <v>8.9499999999999993</v>
      </c>
      <c r="Q64" s="5" t="s">
        <v>446</v>
      </c>
      <c r="R64" s="5">
        <v>38.75</v>
      </c>
      <c r="S64" s="9">
        <v>1.2</v>
      </c>
      <c r="T64" s="9">
        <v>7.0000000000000007E-2</v>
      </c>
      <c r="U64" s="5" t="s">
        <v>42</v>
      </c>
      <c r="V64" s="5">
        <v>28.04</v>
      </c>
      <c r="W64" s="8">
        <v>7.22</v>
      </c>
      <c r="X64" s="8">
        <v>6.98</v>
      </c>
      <c r="Y64" s="5">
        <v>56.65</v>
      </c>
      <c r="Z64" s="5">
        <v>56.86</v>
      </c>
      <c r="AA64" s="9">
        <v>0.37</v>
      </c>
      <c r="AB64" s="9">
        <v>3.25</v>
      </c>
      <c r="AC64" s="10">
        <v>4.3</v>
      </c>
      <c r="AD64" s="5">
        <v>4.1500000000000004</v>
      </c>
      <c r="AE64" s="9">
        <v>3.48</v>
      </c>
      <c r="AF64" s="8">
        <v>8.92</v>
      </c>
      <c r="AG64" s="5" t="s">
        <v>447</v>
      </c>
      <c r="AH64" s="10">
        <v>3.63</v>
      </c>
      <c r="AI64" s="9">
        <v>6.14</v>
      </c>
      <c r="AJ64" s="9">
        <v>6.76</v>
      </c>
      <c r="AK64" s="5" t="s">
        <v>448</v>
      </c>
      <c r="AL64" s="5">
        <v>147.25</v>
      </c>
      <c r="AM64" s="9">
        <v>2.1800000000000002</v>
      </c>
      <c r="AN64" s="9">
        <v>3.27</v>
      </c>
    </row>
    <row r="65" spans="1:40" x14ac:dyDescent="0.3">
      <c r="A65" s="7">
        <v>45512</v>
      </c>
      <c r="B65" s="5" t="s">
        <v>19</v>
      </c>
      <c r="C65" s="5" t="str">
        <f t="shared" si="0"/>
        <v>45512A</v>
      </c>
      <c r="D65" s="5" t="s">
        <v>60</v>
      </c>
      <c r="E65" s="5">
        <v>12.55</v>
      </c>
      <c r="F65" s="9">
        <v>5.78</v>
      </c>
      <c r="G65" s="5" t="s">
        <v>116</v>
      </c>
      <c r="H65" s="5">
        <v>0</v>
      </c>
      <c r="I65" s="5"/>
      <c r="J65" s="5" t="s">
        <v>412</v>
      </c>
      <c r="K65" s="5">
        <v>87.41</v>
      </c>
      <c r="L65" s="8">
        <v>27.32</v>
      </c>
      <c r="M65" s="5" t="s">
        <v>449</v>
      </c>
      <c r="N65" s="5">
        <v>8.44</v>
      </c>
      <c r="O65" s="8">
        <v>4.1900000000000004</v>
      </c>
      <c r="P65" s="8">
        <v>3.55</v>
      </c>
      <c r="Q65" s="5" t="s">
        <v>450</v>
      </c>
      <c r="R65" s="5">
        <v>36.67</v>
      </c>
      <c r="S65" s="9">
        <v>3.27</v>
      </c>
      <c r="T65" s="8">
        <v>5.44</v>
      </c>
      <c r="U65" s="5" t="s">
        <v>451</v>
      </c>
      <c r="V65" s="5">
        <v>28.09</v>
      </c>
      <c r="W65" s="8">
        <v>9.25</v>
      </c>
      <c r="X65" s="8">
        <v>7.17</v>
      </c>
      <c r="Y65" s="5" t="s">
        <v>452</v>
      </c>
      <c r="Z65" s="5">
        <v>56.17</v>
      </c>
      <c r="AA65" s="9">
        <v>0.79</v>
      </c>
      <c r="AB65" s="9">
        <v>1.99</v>
      </c>
      <c r="AC65" s="5" t="s">
        <v>453</v>
      </c>
      <c r="AD65" s="5">
        <v>4.1500000000000004</v>
      </c>
      <c r="AE65" s="9">
        <v>2.72</v>
      </c>
      <c r="AF65" s="8">
        <v>8.92</v>
      </c>
      <c r="AG65" s="5" t="s">
        <v>375</v>
      </c>
      <c r="AH65" s="5">
        <v>3.44</v>
      </c>
      <c r="AI65" s="9">
        <v>2.38</v>
      </c>
      <c r="AJ65" s="9">
        <v>1.17</v>
      </c>
      <c r="AK65" s="5" t="s">
        <v>454</v>
      </c>
      <c r="AL65" s="5">
        <v>144.33000000000001</v>
      </c>
      <c r="AM65" s="9">
        <v>2.41</v>
      </c>
      <c r="AN65" s="9">
        <v>5.18</v>
      </c>
    </row>
    <row r="66" spans="1:40" x14ac:dyDescent="0.3">
      <c r="A66" s="7">
        <v>45512</v>
      </c>
      <c r="B66" s="5" t="s">
        <v>20</v>
      </c>
      <c r="C66" s="5" t="str">
        <f t="shared" si="0"/>
        <v>45512B</v>
      </c>
      <c r="D66" s="5" t="s">
        <v>60</v>
      </c>
      <c r="E66" s="5">
        <v>14.57</v>
      </c>
      <c r="F66" s="8">
        <v>9.3800000000000008</v>
      </c>
      <c r="G66" s="5" t="s">
        <v>455</v>
      </c>
      <c r="H66" s="5">
        <v>0</v>
      </c>
      <c r="I66" s="8">
        <v>100</v>
      </c>
      <c r="J66" s="5" t="s">
        <v>417</v>
      </c>
      <c r="K66" s="5">
        <v>87.45</v>
      </c>
      <c r="L66" s="8">
        <v>27.29</v>
      </c>
      <c r="M66" s="5" t="s">
        <v>456</v>
      </c>
      <c r="N66" s="5">
        <v>8.24</v>
      </c>
      <c r="O66" s="9">
        <v>1.35</v>
      </c>
      <c r="P66" s="9">
        <v>1.1000000000000001</v>
      </c>
      <c r="Q66" s="5" t="s">
        <v>446</v>
      </c>
      <c r="R66" s="5">
        <v>37.33</v>
      </c>
      <c r="S66" s="9">
        <v>2.5</v>
      </c>
      <c r="T66" s="9">
        <v>3.73</v>
      </c>
      <c r="U66" s="5" t="s">
        <v>180</v>
      </c>
      <c r="V66" s="5">
        <v>27.04</v>
      </c>
      <c r="W66" s="9">
        <v>3.24</v>
      </c>
      <c r="X66" s="9">
        <v>3.16</v>
      </c>
      <c r="Y66" s="5" t="s">
        <v>457</v>
      </c>
      <c r="Z66" s="5">
        <v>56.17</v>
      </c>
      <c r="AA66" s="9">
        <v>0.15</v>
      </c>
      <c r="AB66" s="9">
        <v>1.99</v>
      </c>
      <c r="AC66" s="5" t="s">
        <v>286</v>
      </c>
      <c r="AD66" s="5">
        <v>4.01</v>
      </c>
      <c r="AE66" s="9">
        <v>1.51</v>
      </c>
      <c r="AF66" s="9">
        <v>5.24</v>
      </c>
      <c r="AG66" s="5" t="s">
        <v>375</v>
      </c>
      <c r="AH66" s="5">
        <v>3.3</v>
      </c>
      <c r="AI66" s="9">
        <v>1.78</v>
      </c>
      <c r="AJ66" s="9">
        <v>2.94</v>
      </c>
      <c r="AK66" s="5" t="s">
        <v>458</v>
      </c>
      <c r="AL66" s="5">
        <v>147.56</v>
      </c>
      <c r="AM66" s="9">
        <v>2.33</v>
      </c>
      <c r="AN66" s="9">
        <v>3.06</v>
      </c>
    </row>
    <row r="67" spans="1:40" x14ac:dyDescent="0.3">
      <c r="A67" s="7">
        <v>45512</v>
      </c>
      <c r="B67" s="5" t="s">
        <v>18</v>
      </c>
      <c r="C67" s="5" t="str">
        <f t="shared" si="0"/>
        <v>45512C</v>
      </c>
      <c r="D67" s="5" t="s">
        <v>62</v>
      </c>
      <c r="E67" s="5">
        <v>14.16</v>
      </c>
      <c r="F67" s="8">
        <v>27.23</v>
      </c>
      <c r="G67" s="5" t="s">
        <v>116</v>
      </c>
      <c r="H67" s="5">
        <v>0</v>
      </c>
      <c r="I67" s="5"/>
      <c r="J67" s="5" t="s">
        <v>148</v>
      </c>
      <c r="K67" s="5">
        <v>86.55</v>
      </c>
      <c r="L67" s="9">
        <v>6.5</v>
      </c>
      <c r="M67" s="5" t="s">
        <v>459</v>
      </c>
      <c r="N67" s="5">
        <v>8</v>
      </c>
      <c r="O67" s="9">
        <v>2.56</v>
      </c>
      <c r="P67" s="9">
        <v>1.84</v>
      </c>
      <c r="Q67" s="5" t="s">
        <v>460</v>
      </c>
      <c r="R67" s="5">
        <v>40.5</v>
      </c>
      <c r="S67" s="8">
        <v>6.6</v>
      </c>
      <c r="T67" s="9">
        <v>4.43</v>
      </c>
      <c r="U67" s="5" t="s">
        <v>461</v>
      </c>
      <c r="V67" s="5">
        <v>25.35</v>
      </c>
      <c r="W67" s="9">
        <v>2.64</v>
      </c>
      <c r="X67" s="9">
        <v>3.28</v>
      </c>
      <c r="Y67" s="5" t="s">
        <v>462</v>
      </c>
      <c r="Z67" s="5">
        <v>56.17</v>
      </c>
      <c r="AA67" s="9">
        <v>0.51</v>
      </c>
      <c r="AB67" s="9">
        <v>1.99</v>
      </c>
      <c r="AC67" s="5" t="s">
        <v>463</v>
      </c>
      <c r="AD67" s="5">
        <v>3.67</v>
      </c>
      <c r="AE67" s="9">
        <v>5.41</v>
      </c>
      <c r="AF67" s="9">
        <v>3.67</v>
      </c>
      <c r="AG67" s="5" t="s">
        <v>175</v>
      </c>
      <c r="AH67" s="5">
        <v>3.3</v>
      </c>
      <c r="AI67" s="9">
        <v>1.53</v>
      </c>
      <c r="AJ67" s="9">
        <v>2.94</v>
      </c>
      <c r="AK67" s="5" t="s">
        <v>464</v>
      </c>
      <c r="AL67" s="5">
        <v>153</v>
      </c>
      <c r="AM67" s="9">
        <v>6.51</v>
      </c>
      <c r="AN67" s="9">
        <v>0.5</v>
      </c>
    </row>
    <row r="68" spans="1:40" x14ac:dyDescent="0.3">
      <c r="A68" s="7">
        <v>45516</v>
      </c>
      <c r="B68" s="5" t="s">
        <v>19</v>
      </c>
      <c r="C68" s="5" t="str">
        <f t="shared" si="0"/>
        <v>45516A</v>
      </c>
      <c r="D68" s="5" t="s">
        <v>26</v>
      </c>
      <c r="E68" s="5">
        <v>24.44</v>
      </c>
      <c r="F68" s="8">
        <v>9.64</v>
      </c>
      <c r="G68" s="5" t="s">
        <v>116</v>
      </c>
      <c r="H68" s="5">
        <v>0</v>
      </c>
      <c r="I68" s="5"/>
      <c r="J68" s="5" t="s">
        <v>184</v>
      </c>
      <c r="K68" s="5">
        <v>68.989999999999995</v>
      </c>
      <c r="L68" s="9">
        <v>15.22</v>
      </c>
      <c r="M68" s="5" t="s">
        <v>465</v>
      </c>
      <c r="N68" s="5">
        <v>8.1999999999999993</v>
      </c>
      <c r="O68" s="8">
        <v>3.79</v>
      </c>
      <c r="P68" s="9">
        <v>0.61</v>
      </c>
      <c r="Q68" s="5" t="s">
        <v>466</v>
      </c>
      <c r="R68" s="5">
        <v>38.25</v>
      </c>
      <c r="S68" s="9">
        <v>1.36</v>
      </c>
      <c r="T68" s="9">
        <v>1.36</v>
      </c>
      <c r="U68" s="5" t="s">
        <v>467</v>
      </c>
      <c r="V68" s="5">
        <v>27.02</v>
      </c>
      <c r="W68" s="8">
        <v>6.79</v>
      </c>
      <c r="X68" s="9">
        <v>3.09</v>
      </c>
      <c r="Y68" s="5" t="s">
        <v>468</v>
      </c>
      <c r="Z68" s="12">
        <v>55.72</v>
      </c>
      <c r="AA68" s="9">
        <v>0.01</v>
      </c>
      <c r="AB68" s="9">
        <v>1.18</v>
      </c>
      <c r="AC68" s="5" t="s">
        <v>469</v>
      </c>
      <c r="AD68" s="5">
        <v>3.72</v>
      </c>
      <c r="AE68" s="9">
        <v>0.79</v>
      </c>
      <c r="AF68" s="9">
        <v>2.36</v>
      </c>
      <c r="AG68" s="5" t="s">
        <v>195</v>
      </c>
      <c r="AH68" s="5">
        <v>3.4</v>
      </c>
      <c r="AI68" s="9">
        <v>3.97</v>
      </c>
      <c r="AJ68" s="9">
        <v>0</v>
      </c>
      <c r="AK68" s="5" t="s">
        <v>470</v>
      </c>
      <c r="AL68" s="5">
        <v>144</v>
      </c>
      <c r="AM68" s="9">
        <v>3.19</v>
      </c>
      <c r="AN68" s="9">
        <v>5.4</v>
      </c>
    </row>
    <row r="69" spans="1:40" x14ac:dyDescent="0.3">
      <c r="A69" s="7">
        <v>45516</v>
      </c>
      <c r="B69" s="5" t="s">
        <v>20</v>
      </c>
      <c r="C69" s="5" t="str">
        <f t="shared" si="0"/>
        <v>45516B</v>
      </c>
      <c r="D69" s="5" t="s">
        <v>63</v>
      </c>
      <c r="E69" s="5">
        <v>21.14</v>
      </c>
      <c r="F69" s="8">
        <v>44.49</v>
      </c>
      <c r="G69" s="5" t="s">
        <v>471</v>
      </c>
      <c r="H69" s="5">
        <v>0</v>
      </c>
      <c r="I69" s="8">
        <v>100</v>
      </c>
      <c r="J69" s="5" t="s">
        <v>386</v>
      </c>
      <c r="K69" s="5">
        <v>77.69</v>
      </c>
      <c r="L69" s="9">
        <v>4.32</v>
      </c>
      <c r="M69" s="5" t="s">
        <v>472</v>
      </c>
      <c r="N69" s="5">
        <v>8.3000000000000007</v>
      </c>
      <c r="O69" s="9">
        <v>2.21</v>
      </c>
      <c r="P69" s="9">
        <v>1.84</v>
      </c>
      <c r="Q69" s="5" t="s">
        <v>473</v>
      </c>
      <c r="R69" s="5">
        <v>38.71</v>
      </c>
      <c r="S69" s="9">
        <v>0.23</v>
      </c>
      <c r="T69" s="9">
        <v>0.18</v>
      </c>
      <c r="U69" s="5" t="s">
        <v>402</v>
      </c>
      <c r="V69" s="5">
        <v>26.66</v>
      </c>
      <c r="W69" s="9">
        <v>1.91</v>
      </c>
      <c r="X69" s="9">
        <v>1.71</v>
      </c>
      <c r="Y69" s="5" t="s">
        <v>474</v>
      </c>
      <c r="Z69" s="5">
        <v>55.72</v>
      </c>
      <c r="AA69" s="9">
        <v>0.08</v>
      </c>
      <c r="AB69" s="9">
        <v>1.18</v>
      </c>
      <c r="AC69" s="5" t="s">
        <v>303</v>
      </c>
      <c r="AD69" s="5">
        <v>3.72</v>
      </c>
      <c r="AE69" s="9">
        <v>3.62</v>
      </c>
      <c r="AF69" s="9">
        <v>2.36</v>
      </c>
      <c r="AG69" s="5" t="s">
        <v>129</v>
      </c>
      <c r="AH69" s="5">
        <v>3.38</v>
      </c>
      <c r="AI69" s="9">
        <v>0</v>
      </c>
      <c r="AJ69" s="9">
        <v>0.57999999999999996</v>
      </c>
      <c r="AK69" s="5" t="s">
        <v>475</v>
      </c>
      <c r="AL69" s="5">
        <v>152.86000000000001</v>
      </c>
      <c r="AM69" s="9">
        <v>5.18</v>
      </c>
      <c r="AN69" s="9">
        <v>0.41</v>
      </c>
    </row>
    <row r="70" spans="1:40" x14ac:dyDescent="0.3">
      <c r="A70" s="7">
        <v>45516</v>
      </c>
      <c r="B70" s="5" t="s">
        <v>18</v>
      </c>
      <c r="C70" s="5" t="str">
        <f t="shared" si="0"/>
        <v>45516C</v>
      </c>
      <c r="D70" s="5" t="s">
        <v>64</v>
      </c>
      <c r="E70" s="5">
        <v>14.86</v>
      </c>
      <c r="F70" s="8">
        <v>13.75</v>
      </c>
      <c r="G70" s="5" t="s">
        <v>116</v>
      </c>
      <c r="H70" s="5">
        <v>0</v>
      </c>
      <c r="I70" s="5"/>
      <c r="J70" s="5" t="s">
        <v>140</v>
      </c>
      <c r="K70" s="5">
        <v>88.25</v>
      </c>
      <c r="L70" s="9">
        <v>8.64</v>
      </c>
      <c r="M70" s="5" t="s">
        <v>321</v>
      </c>
      <c r="N70" s="5">
        <v>8.1999999999999993</v>
      </c>
      <c r="O70" s="9">
        <v>1.86</v>
      </c>
      <c r="P70" s="9">
        <v>0.61</v>
      </c>
      <c r="Q70" s="5" t="s">
        <v>476</v>
      </c>
      <c r="R70" s="5">
        <v>39</v>
      </c>
      <c r="S70" s="9">
        <v>1.66</v>
      </c>
      <c r="T70" s="9">
        <v>0.56000000000000005</v>
      </c>
      <c r="U70" s="5" t="s">
        <v>383</v>
      </c>
      <c r="V70" s="5">
        <v>25.57</v>
      </c>
      <c r="W70" s="9">
        <v>2.14</v>
      </c>
      <c r="X70" s="9">
        <v>2.44</v>
      </c>
      <c r="Y70" s="5" t="s">
        <v>477</v>
      </c>
      <c r="Z70" s="5">
        <v>55.72</v>
      </c>
      <c r="AA70" s="9">
        <v>0.19</v>
      </c>
      <c r="AB70" s="9">
        <v>1.18</v>
      </c>
      <c r="AC70" s="5" t="s">
        <v>478</v>
      </c>
      <c r="AD70" s="5">
        <v>3.72</v>
      </c>
      <c r="AE70" s="9">
        <v>2.1</v>
      </c>
      <c r="AF70" s="9">
        <v>2.36</v>
      </c>
      <c r="AG70" s="5" t="s">
        <v>304</v>
      </c>
      <c r="AH70" s="5">
        <v>3.34</v>
      </c>
      <c r="AI70" s="9">
        <v>0.9</v>
      </c>
      <c r="AJ70" s="9">
        <v>1.76</v>
      </c>
      <c r="AK70" s="5" t="s">
        <v>479</v>
      </c>
      <c r="AL70" s="5">
        <v>150.75</v>
      </c>
      <c r="AM70" s="9">
        <v>0.78</v>
      </c>
      <c r="AN70" s="9">
        <v>0.97</v>
      </c>
    </row>
    <row r="71" spans="1:40" x14ac:dyDescent="0.3">
      <c r="A71" s="7">
        <v>45517</v>
      </c>
      <c r="B71" s="5" t="s">
        <v>19</v>
      </c>
      <c r="C71" s="5" t="str">
        <f t="shared" si="0"/>
        <v>45517A</v>
      </c>
      <c r="D71" s="5" t="s">
        <v>65</v>
      </c>
      <c r="E71" s="5">
        <v>22.27</v>
      </c>
      <c r="F71" s="8">
        <v>9.6999999999999993</v>
      </c>
      <c r="G71" s="5" t="s">
        <v>116</v>
      </c>
      <c r="H71" s="5">
        <v>0</v>
      </c>
      <c r="I71" s="5"/>
      <c r="J71" s="5" t="s">
        <v>229</v>
      </c>
      <c r="K71" s="5">
        <v>88.61</v>
      </c>
      <c r="L71" s="9">
        <v>9.0299999999999994</v>
      </c>
      <c r="M71" s="5" t="s">
        <v>396</v>
      </c>
      <c r="N71" s="5">
        <v>8.1199999999999992</v>
      </c>
      <c r="O71" s="9">
        <v>1.62</v>
      </c>
      <c r="P71" s="9">
        <v>0.36</v>
      </c>
      <c r="Q71" s="5" t="s">
        <v>480</v>
      </c>
      <c r="R71" s="5">
        <v>38.200000000000003</v>
      </c>
      <c r="S71" s="9">
        <v>2.12</v>
      </c>
      <c r="T71" s="9">
        <v>1.49</v>
      </c>
      <c r="U71" s="5" t="s">
        <v>481</v>
      </c>
      <c r="V71" s="5">
        <v>25.1</v>
      </c>
      <c r="W71" s="9">
        <v>0.82</v>
      </c>
      <c r="X71" s="9">
        <v>4.2300000000000004</v>
      </c>
      <c r="Y71" s="5" t="s">
        <v>482</v>
      </c>
      <c r="Z71" s="12">
        <v>56.21</v>
      </c>
      <c r="AA71" s="9">
        <v>1.24</v>
      </c>
      <c r="AB71" s="9">
        <v>2.0699999999999998</v>
      </c>
      <c r="AC71" s="5" t="s">
        <v>314</v>
      </c>
      <c r="AD71" s="12">
        <v>3.72</v>
      </c>
      <c r="AE71" s="9">
        <v>1.32</v>
      </c>
      <c r="AF71" s="9">
        <v>2.36</v>
      </c>
      <c r="AG71" s="5" t="s">
        <v>226</v>
      </c>
      <c r="AH71" s="5">
        <v>3.37</v>
      </c>
      <c r="AI71" s="9">
        <v>1.2</v>
      </c>
      <c r="AJ71" s="9">
        <v>0.88</v>
      </c>
      <c r="AK71" s="5" t="s">
        <v>483</v>
      </c>
      <c r="AL71" s="5">
        <v>144.6</v>
      </c>
      <c r="AM71" s="9">
        <v>3.21</v>
      </c>
      <c r="AN71" s="9">
        <v>5.01</v>
      </c>
    </row>
    <row r="72" spans="1:40" x14ac:dyDescent="0.3">
      <c r="A72" s="7">
        <v>45517</v>
      </c>
      <c r="B72" s="5" t="s">
        <v>20</v>
      </c>
      <c r="C72" s="5" t="str">
        <f t="shared" ref="C72:C105" si="1">A72&amp;B72</f>
        <v>45517B</v>
      </c>
      <c r="D72" s="5" t="s">
        <v>66</v>
      </c>
      <c r="E72" s="5">
        <v>20.98</v>
      </c>
      <c r="F72" s="8">
        <v>8.5299999999999994</v>
      </c>
      <c r="G72" s="5" t="s">
        <v>484</v>
      </c>
      <c r="H72" s="5">
        <v>0</v>
      </c>
      <c r="I72" s="8">
        <v>100</v>
      </c>
      <c r="J72" s="5" t="s">
        <v>485</v>
      </c>
      <c r="K72" s="5">
        <v>75.45</v>
      </c>
      <c r="L72" s="9">
        <v>14.14</v>
      </c>
      <c r="M72" s="5" t="s">
        <v>486</v>
      </c>
      <c r="N72" s="5">
        <v>8.1999999999999993</v>
      </c>
      <c r="O72" s="9">
        <v>0.73</v>
      </c>
      <c r="P72" s="9">
        <v>0.61</v>
      </c>
      <c r="Q72" s="5" t="s">
        <v>487</v>
      </c>
      <c r="R72" s="5">
        <v>38.83</v>
      </c>
      <c r="S72" s="9">
        <v>1.1399999999999999</v>
      </c>
      <c r="T72" s="9">
        <v>0.12</v>
      </c>
      <c r="U72" s="5" t="s">
        <v>488</v>
      </c>
      <c r="V72" s="5">
        <v>27.9</v>
      </c>
      <c r="W72" s="8">
        <v>9.06</v>
      </c>
      <c r="X72" s="8">
        <v>6.44</v>
      </c>
      <c r="Y72" s="5" t="s">
        <v>489</v>
      </c>
      <c r="Z72" s="5">
        <v>56.21</v>
      </c>
      <c r="AA72" s="9">
        <v>0.35</v>
      </c>
      <c r="AB72" s="9">
        <v>2.0699999999999998</v>
      </c>
      <c r="AC72" s="5" t="s">
        <v>296</v>
      </c>
      <c r="AD72" s="5">
        <v>3.38</v>
      </c>
      <c r="AE72" s="8">
        <v>13.99</v>
      </c>
      <c r="AF72" s="8">
        <v>11.28</v>
      </c>
      <c r="AG72" s="5" t="s">
        <v>129</v>
      </c>
      <c r="AH72" s="5">
        <v>3.21</v>
      </c>
      <c r="AI72" s="9">
        <v>5.0199999999999996</v>
      </c>
      <c r="AJ72" s="9">
        <v>5.58</v>
      </c>
      <c r="AK72" s="5" t="s">
        <v>490</v>
      </c>
      <c r="AL72" s="5">
        <v>148.5</v>
      </c>
      <c r="AM72" s="9">
        <v>0.6</v>
      </c>
      <c r="AN72" s="9">
        <v>2.4500000000000002</v>
      </c>
    </row>
    <row r="73" spans="1:40" x14ac:dyDescent="0.3">
      <c r="A73" s="7">
        <v>45517</v>
      </c>
      <c r="B73" s="5" t="s">
        <v>18</v>
      </c>
      <c r="C73" s="5" t="str">
        <f t="shared" si="1"/>
        <v>45517C</v>
      </c>
      <c r="D73" s="5" t="s">
        <v>67</v>
      </c>
      <c r="E73" s="5">
        <v>16.829999999999998</v>
      </c>
      <c r="F73" s="8">
        <v>28.83</v>
      </c>
      <c r="G73" s="5" t="s">
        <v>116</v>
      </c>
      <c r="H73" s="5">
        <v>0</v>
      </c>
      <c r="I73" s="5"/>
      <c r="J73" s="5" t="s">
        <v>169</v>
      </c>
      <c r="K73" s="5">
        <v>91.92</v>
      </c>
      <c r="L73" s="9">
        <v>13.03</v>
      </c>
      <c r="M73" s="5" t="s">
        <v>337</v>
      </c>
      <c r="N73" s="5">
        <v>8.1</v>
      </c>
      <c r="O73" s="9">
        <v>2.27</v>
      </c>
      <c r="P73" s="9">
        <v>0.61</v>
      </c>
      <c r="Q73" s="5" t="s">
        <v>119</v>
      </c>
      <c r="R73" s="5">
        <v>38</v>
      </c>
      <c r="S73" s="9">
        <v>1.22</v>
      </c>
      <c r="T73" s="9">
        <v>2.0099999999999998</v>
      </c>
      <c r="U73" s="5" t="s">
        <v>491</v>
      </c>
      <c r="V73" s="5">
        <v>25.45</v>
      </c>
      <c r="W73" s="9">
        <v>4.07</v>
      </c>
      <c r="X73" s="9">
        <v>2.89</v>
      </c>
      <c r="Y73" s="5" t="s">
        <v>492</v>
      </c>
      <c r="Z73" s="5">
        <v>56.21</v>
      </c>
      <c r="AA73" s="9">
        <v>0.73</v>
      </c>
      <c r="AB73" s="9">
        <v>2.0699999999999998</v>
      </c>
      <c r="AC73" s="5" t="s">
        <v>405</v>
      </c>
      <c r="AD73" s="5">
        <v>3.59</v>
      </c>
      <c r="AE73" s="9">
        <v>1.37</v>
      </c>
      <c r="AF73" s="9">
        <v>5.77</v>
      </c>
      <c r="AG73" s="5" t="s">
        <v>213</v>
      </c>
      <c r="AH73" s="5">
        <v>3.21</v>
      </c>
      <c r="AI73" s="9">
        <v>0.31</v>
      </c>
      <c r="AJ73" s="9">
        <v>5.58</v>
      </c>
      <c r="AK73" s="5" t="s">
        <v>493</v>
      </c>
      <c r="AL73" s="5">
        <v>146.75</v>
      </c>
      <c r="AM73" s="9">
        <v>1.1000000000000001</v>
      </c>
      <c r="AN73" s="9">
        <v>3.59</v>
      </c>
    </row>
    <row r="74" spans="1:40" ht="18" x14ac:dyDescent="0.35">
      <c r="A74" s="7">
        <v>45518</v>
      </c>
      <c r="B74" s="5" t="s">
        <v>19</v>
      </c>
      <c r="C74" s="5" t="str">
        <f t="shared" si="1"/>
        <v>45518A</v>
      </c>
      <c r="D74" s="5" t="s">
        <v>68</v>
      </c>
      <c r="E74" s="5">
        <v>26.58</v>
      </c>
      <c r="F74" s="8">
        <v>10.74</v>
      </c>
      <c r="G74" s="5" t="s">
        <v>494</v>
      </c>
      <c r="H74" s="5">
        <v>0</v>
      </c>
      <c r="I74" s="8">
        <v>100</v>
      </c>
      <c r="J74" s="5" t="s">
        <v>221</v>
      </c>
      <c r="K74" s="5">
        <v>72.5</v>
      </c>
      <c r="L74" s="9">
        <v>10.87</v>
      </c>
      <c r="M74" s="5" t="s">
        <v>495</v>
      </c>
      <c r="N74" s="5">
        <v>8.15</v>
      </c>
      <c r="O74" s="9">
        <v>0.99</v>
      </c>
      <c r="P74" s="9">
        <v>0</v>
      </c>
      <c r="Q74" s="5" t="s">
        <v>496</v>
      </c>
      <c r="R74" s="5">
        <v>37.67</v>
      </c>
      <c r="S74" s="9">
        <v>3.31</v>
      </c>
      <c r="T74" s="9">
        <v>2.86</v>
      </c>
      <c r="U74" s="5" t="s">
        <v>285</v>
      </c>
      <c r="V74" s="5">
        <v>26.77</v>
      </c>
      <c r="W74" s="8">
        <v>5.35</v>
      </c>
      <c r="X74" s="9">
        <v>2.13</v>
      </c>
      <c r="Y74" s="5" t="s">
        <v>497</v>
      </c>
      <c r="Z74" s="12">
        <v>55.77</v>
      </c>
      <c r="AA74" s="9">
        <v>0.17</v>
      </c>
      <c r="AB74" s="9">
        <v>1.27</v>
      </c>
      <c r="AC74" s="5" t="s">
        <v>399</v>
      </c>
      <c r="AD74" s="5">
        <v>3.63</v>
      </c>
      <c r="AE74" s="9">
        <v>1.89</v>
      </c>
      <c r="AF74" s="9">
        <v>4.72</v>
      </c>
      <c r="AG74" s="5" t="s">
        <v>153</v>
      </c>
      <c r="AH74" s="10">
        <v>3.49</v>
      </c>
      <c r="AI74" s="9">
        <v>5.75</v>
      </c>
      <c r="AJ74" s="9">
        <v>2.64</v>
      </c>
      <c r="AK74" s="5">
        <v>147.76</v>
      </c>
      <c r="AL74" s="5">
        <v>143.33000000000001</v>
      </c>
      <c r="AM74" s="9">
        <v>2.99</v>
      </c>
      <c r="AN74" s="9">
        <v>5.84</v>
      </c>
    </row>
    <row r="75" spans="1:40" x14ac:dyDescent="0.3">
      <c r="A75" s="7">
        <v>45518</v>
      </c>
      <c r="B75" s="5" t="s">
        <v>20</v>
      </c>
      <c r="C75" s="5" t="str">
        <f t="shared" si="1"/>
        <v>45518B</v>
      </c>
      <c r="D75" s="5" t="s">
        <v>69</v>
      </c>
      <c r="E75" s="5">
        <v>22.23</v>
      </c>
      <c r="F75" s="8">
        <v>20.09</v>
      </c>
      <c r="G75" s="5" t="s">
        <v>149</v>
      </c>
      <c r="H75" s="5">
        <v>0</v>
      </c>
      <c r="I75" s="8">
        <v>100</v>
      </c>
      <c r="J75" s="5" t="s">
        <v>498</v>
      </c>
      <c r="K75" s="5">
        <v>78.12</v>
      </c>
      <c r="L75" s="8">
        <v>27.68</v>
      </c>
      <c r="M75" s="5" t="s">
        <v>486</v>
      </c>
      <c r="N75" s="5">
        <v>8.3000000000000007</v>
      </c>
      <c r="O75" s="9">
        <v>1.96</v>
      </c>
      <c r="P75" s="9">
        <v>1.84</v>
      </c>
      <c r="Q75" s="5" t="s">
        <v>499</v>
      </c>
      <c r="R75" s="5">
        <v>39.33</v>
      </c>
      <c r="S75" s="9">
        <v>1.52</v>
      </c>
      <c r="T75" s="9">
        <v>1.41</v>
      </c>
      <c r="U75" s="5" t="s">
        <v>35</v>
      </c>
      <c r="V75" s="5">
        <v>26.41</v>
      </c>
      <c r="W75" s="9">
        <v>0.76</v>
      </c>
      <c r="X75" s="9">
        <v>0.76</v>
      </c>
      <c r="Y75" s="5" t="s">
        <v>500</v>
      </c>
      <c r="Z75" s="12">
        <v>55.44</v>
      </c>
      <c r="AA75" s="9">
        <v>0.52</v>
      </c>
      <c r="AB75" s="9">
        <v>0.67</v>
      </c>
      <c r="AC75" s="5" t="s">
        <v>303</v>
      </c>
      <c r="AD75" s="12">
        <v>3.63</v>
      </c>
      <c r="AE75" s="9">
        <v>5.95</v>
      </c>
      <c r="AF75" s="9">
        <v>4.72</v>
      </c>
      <c r="AG75" s="5" t="s">
        <v>375</v>
      </c>
      <c r="AH75" s="5">
        <v>3.36</v>
      </c>
      <c r="AI75" s="9">
        <v>0</v>
      </c>
      <c r="AJ75" s="9">
        <v>1.17</v>
      </c>
      <c r="AK75" s="5" t="s">
        <v>501</v>
      </c>
      <c r="AL75" s="5">
        <v>144</v>
      </c>
      <c r="AM75" s="9">
        <v>2.5099999999999998</v>
      </c>
      <c r="AN75" s="9">
        <v>5.4</v>
      </c>
    </row>
    <row r="76" spans="1:40" x14ac:dyDescent="0.3">
      <c r="A76" s="7">
        <v>45518</v>
      </c>
      <c r="B76" s="5" t="s">
        <v>18</v>
      </c>
      <c r="C76" s="5" t="str">
        <f t="shared" si="1"/>
        <v>45518C</v>
      </c>
      <c r="D76" s="5" t="s">
        <v>70</v>
      </c>
      <c r="E76" s="5">
        <v>16</v>
      </c>
      <c r="F76" s="9">
        <v>1.32</v>
      </c>
      <c r="G76" s="5" t="s">
        <v>502</v>
      </c>
      <c r="H76" s="5">
        <v>0</v>
      </c>
      <c r="I76" s="8">
        <v>100</v>
      </c>
      <c r="J76" s="5" t="s">
        <v>503</v>
      </c>
      <c r="K76" s="5">
        <v>79.78</v>
      </c>
      <c r="L76" s="9">
        <v>22.97</v>
      </c>
      <c r="M76" s="5" t="s">
        <v>456</v>
      </c>
      <c r="N76" s="5">
        <v>8.4</v>
      </c>
      <c r="O76" s="8">
        <v>3.32</v>
      </c>
      <c r="P76" s="8">
        <v>3.06</v>
      </c>
      <c r="Q76" s="5" t="s">
        <v>504</v>
      </c>
      <c r="R76" s="5">
        <v>40</v>
      </c>
      <c r="S76" s="9">
        <v>2.56</v>
      </c>
      <c r="T76" s="9">
        <v>3.14</v>
      </c>
      <c r="U76" s="5" t="s">
        <v>505</v>
      </c>
      <c r="V76" s="5">
        <v>26.96</v>
      </c>
      <c r="W76" s="9">
        <v>3.21</v>
      </c>
      <c r="X76" s="9">
        <v>2.86</v>
      </c>
      <c r="Y76" s="5" t="s">
        <v>506</v>
      </c>
      <c r="Z76" s="5">
        <v>55.44</v>
      </c>
      <c r="AA76" s="9">
        <v>0.16</v>
      </c>
      <c r="AB76" s="9">
        <v>0.67</v>
      </c>
      <c r="AC76" s="5" t="s">
        <v>303</v>
      </c>
      <c r="AD76" s="5">
        <v>3.63</v>
      </c>
      <c r="AE76" s="9">
        <v>5.95</v>
      </c>
      <c r="AF76" s="9">
        <v>4.72</v>
      </c>
      <c r="AG76" s="5" t="s">
        <v>137</v>
      </c>
      <c r="AH76" s="5">
        <v>3.45</v>
      </c>
      <c r="AI76" s="9">
        <v>1.47</v>
      </c>
      <c r="AJ76" s="9">
        <v>1.47</v>
      </c>
      <c r="AK76" s="5" t="s">
        <v>507</v>
      </c>
      <c r="AL76" s="5">
        <v>143.5</v>
      </c>
      <c r="AM76" s="9">
        <v>1.87</v>
      </c>
      <c r="AN76" s="9">
        <v>5.73</v>
      </c>
    </row>
    <row r="77" spans="1:40" x14ac:dyDescent="0.3">
      <c r="A77" s="7">
        <v>45519</v>
      </c>
      <c r="B77" s="5" t="s">
        <v>19</v>
      </c>
      <c r="C77" s="5" t="str">
        <f t="shared" si="1"/>
        <v>45519A</v>
      </c>
      <c r="D77" s="5" t="s">
        <v>71</v>
      </c>
      <c r="E77" s="5">
        <v>15.34</v>
      </c>
      <c r="F77" s="8">
        <v>6.08</v>
      </c>
      <c r="G77" s="5" t="s">
        <v>116</v>
      </c>
      <c r="H77" s="5">
        <v>0</v>
      </c>
      <c r="I77" s="5"/>
      <c r="J77" s="5" t="s">
        <v>117</v>
      </c>
      <c r="K77" s="5">
        <v>72.599999999999994</v>
      </c>
      <c r="L77" s="9">
        <v>10.56</v>
      </c>
      <c r="M77" s="5" t="s">
        <v>337</v>
      </c>
      <c r="N77" s="5">
        <v>8</v>
      </c>
      <c r="O77" s="9">
        <v>1.01</v>
      </c>
      <c r="P77" s="9">
        <v>1.84</v>
      </c>
      <c r="Q77" s="5" t="s">
        <v>508</v>
      </c>
      <c r="R77" s="5">
        <v>37.67</v>
      </c>
      <c r="S77" s="9">
        <v>0.99</v>
      </c>
      <c r="T77" s="9">
        <v>2.86</v>
      </c>
      <c r="U77" s="5" t="s">
        <v>509</v>
      </c>
      <c r="V77" s="5">
        <v>27.77</v>
      </c>
      <c r="W77" s="9">
        <v>4.71</v>
      </c>
      <c r="X77" s="8">
        <v>5.95</v>
      </c>
      <c r="Y77" s="5" t="s">
        <v>510</v>
      </c>
      <c r="Z77" s="12">
        <v>55.72</v>
      </c>
      <c r="AA77" s="9">
        <v>0.52</v>
      </c>
      <c r="AB77" s="9">
        <v>1.18</v>
      </c>
      <c r="AC77" s="5" t="s">
        <v>511</v>
      </c>
      <c r="AD77" s="12">
        <v>3.63</v>
      </c>
      <c r="AE77" s="9">
        <v>4.22</v>
      </c>
      <c r="AF77" s="9">
        <v>4.72</v>
      </c>
      <c r="AG77" s="5" t="s">
        <v>226</v>
      </c>
      <c r="AH77" s="5">
        <v>3.23</v>
      </c>
      <c r="AI77" s="9">
        <v>3</v>
      </c>
      <c r="AJ77" s="9">
        <v>4.99</v>
      </c>
      <c r="AK77" s="5" t="s">
        <v>512</v>
      </c>
      <c r="AL77" s="5">
        <v>140.33000000000001</v>
      </c>
      <c r="AM77" s="9">
        <v>1.3</v>
      </c>
      <c r="AN77" s="9">
        <v>7.81</v>
      </c>
    </row>
    <row r="78" spans="1:40" x14ac:dyDescent="0.3">
      <c r="A78" s="7">
        <v>45519</v>
      </c>
      <c r="B78" s="5" t="s">
        <v>20</v>
      </c>
      <c r="C78" s="5" t="str">
        <f t="shared" si="1"/>
        <v>45519B</v>
      </c>
      <c r="D78" s="5" t="s">
        <v>72</v>
      </c>
      <c r="E78" s="5">
        <v>15.21</v>
      </c>
      <c r="F78" s="8">
        <v>13.92</v>
      </c>
      <c r="G78" s="5" t="s">
        <v>116</v>
      </c>
      <c r="H78" s="5">
        <v>0</v>
      </c>
      <c r="I78" s="5"/>
      <c r="J78" s="5" t="s">
        <v>140</v>
      </c>
      <c r="K78" s="5">
        <v>87.27</v>
      </c>
      <c r="L78" s="9">
        <v>7.43</v>
      </c>
      <c r="M78" s="5" t="s">
        <v>513</v>
      </c>
      <c r="N78" s="5">
        <v>7.93</v>
      </c>
      <c r="O78" s="9">
        <v>0.62</v>
      </c>
      <c r="P78" s="9">
        <v>2.69</v>
      </c>
      <c r="Q78" s="5" t="s">
        <v>179</v>
      </c>
      <c r="R78" s="5">
        <v>39</v>
      </c>
      <c r="S78" s="9">
        <v>3.44</v>
      </c>
      <c r="T78" s="9">
        <v>0.56000000000000005</v>
      </c>
      <c r="U78" s="5" t="s">
        <v>514</v>
      </c>
      <c r="V78" s="5">
        <v>26.5</v>
      </c>
      <c r="W78" s="9">
        <v>2.21</v>
      </c>
      <c r="X78" s="9">
        <v>1.1000000000000001</v>
      </c>
      <c r="Y78" s="5" t="s">
        <v>515</v>
      </c>
      <c r="Z78" s="5">
        <v>55.74</v>
      </c>
      <c r="AA78" s="9">
        <v>0.08</v>
      </c>
      <c r="AB78" s="9">
        <v>1.21</v>
      </c>
      <c r="AC78" s="5" t="s">
        <v>516</v>
      </c>
      <c r="AD78" s="5">
        <v>3.58</v>
      </c>
      <c r="AE78" s="9">
        <v>3.5</v>
      </c>
      <c r="AF78" s="9">
        <v>6.03</v>
      </c>
      <c r="AG78" s="5" t="s">
        <v>195</v>
      </c>
      <c r="AH78" s="5">
        <v>3.23</v>
      </c>
      <c r="AI78" s="9">
        <v>1.22</v>
      </c>
      <c r="AJ78" s="9">
        <v>4.99</v>
      </c>
      <c r="AK78" s="5" t="s">
        <v>517</v>
      </c>
      <c r="AL78" s="5">
        <v>146.19999999999999</v>
      </c>
      <c r="AM78" s="9">
        <v>3.4</v>
      </c>
      <c r="AN78" s="9">
        <v>3.96</v>
      </c>
    </row>
    <row r="79" spans="1:40" ht="18" x14ac:dyDescent="0.35">
      <c r="A79" s="7">
        <v>45520</v>
      </c>
      <c r="B79" s="5" t="s">
        <v>19</v>
      </c>
      <c r="C79" s="5" t="str">
        <f t="shared" si="1"/>
        <v>45520A</v>
      </c>
      <c r="D79" s="5" t="s">
        <v>28</v>
      </c>
      <c r="E79" s="5">
        <v>20.51</v>
      </c>
      <c r="F79" s="8">
        <v>13.82</v>
      </c>
      <c r="G79" s="5" t="s">
        <v>116</v>
      </c>
      <c r="H79" s="5">
        <v>0</v>
      </c>
      <c r="I79" s="5"/>
      <c r="J79" s="5" t="s">
        <v>197</v>
      </c>
      <c r="K79" s="5">
        <v>79.67</v>
      </c>
      <c r="L79" s="9">
        <v>2.04</v>
      </c>
      <c r="M79" s="5" t="s">
        <v>239</v>
      </c>
      <c r="N79" s="5">
        <v>7.98</v>
      </c>
      <c r="O79" s="9">
        <v>0.25</v>
      </c>
      <c r="P79" s="9">
        <v>2.08</v>
      </c>
      <c r="Q79" s="5" t="s">
        <v>518</v>
      </c>
      <c r="R79" s="5">
        <v>37.5</v>
      </c>
      <c r="S79" s="9">
        <v>3.47</v>
      </c>
      <c r="T79" s="9">
        <v>3.3</v>
      </c>
      <c r="U79" s="5" t="s">
        <v>519</v>
      </c>
      <c r="V79" s="5">
        <v>26.15</v>
      </c>
      <c r="W79" s="9">
        <v>2.2999999999999998</v>
      </c>
      <c r="X79" s="9">
        <v>0.22</v>
      </c>
      <c r="Y79" s="5" t="s">
        <v>520</v>
      </c>
      <c r="Z79" s="5">
        <v>55</v>
      </c>
      <c r="AA79" s="9">
        <v>0.84</v>
      </c>
      <c r="AB79" s="9">
        <v>0.12</v>
      </c>
      <c r="AC79" s="5">
        <v>3.67</v>
      </c>
      <c r="AD79" s="5">
        <v>3.61</v>
      </c>
      <c r="AE79" s="9">
        <v>1.63</v>
      </c>
      <c r="AF79" s="9">
        <v>5.24</v>
      </c>
      <c r="AG79" s="5" t="s">
        <v>153</v>
      </c>
      <c r="AH79" s="5">
        <v>3.31</v>
      </c>
      <c r="AI79" s="9">
        <v>0.3</v>
      </c>
      <c r="AJ79" s="9">
        <v>2.64</v>
      </c>
      <c r="AK79" s="5" t="s">
        <v>521</v>
      </c>
      <c r="AL79" s="5">
        <v>143</v>
      </c>
      <c r="AM79" s="9">
        <v>2.82</v>
      </c>
      <c r="AN79" s="9">
        <v>6.06</v>
      </c>
    </row>
    <row r="80" spans="1:40" x14ac:dyDescent="0.3">
      <c r="A80" s="7">
        <v>45520</v>
      </c>
      <c r="B80" s="5" t="s">
        <v>20</v>
      </c>
      <c r="C80" s="5" t="str">
        <f t="shared" si="1"/>
        <v>45520B</v>
      </c>
      <c r="D80" s="5" t="s">
        <v>73</v>
      </c>
      <c r="E80" s="5">
        <v>18.02</v>
      </c>
      <c r="F80" s="9">
        <v>5.87</v>
      </c>
      <c r="G80" s="5" t="s">
        <v>116</v>
      </c>
      <c r="H80" s="5">
        <v>0</v>
      </c>
      <c r="I80" s="5"/>
      <c r="J80" s="5" t="s">
        <v>132</v>
      </c>
      <c r="K80" s="5">
        <v>69.09</v>
      </c>
      <c r="L80" s="9">
        <v>14.93</v>
      </c>
      <c r="M80" s="5" t="s">
        <v>472</v>
      </c>
      <c r="N80" s="5">
        <v>8.3699999999999992</v>
      </c>
      <c r="O80" s="8">
        <v>3.07</v>
      </c>
      <c r="P80" s="9">
        <v>2.69</v>
      </c>
      <c r="Q80" s="5" t="s">
        <v>522</v>
      </c>
      <c r="R80" s="5">
        <v>38.67</v>
      </c>
      <c r="S80" s="9">
        <v>0.87</v>
      </c>
      <c r="T80" s="9">
        <v>0.28000000000000003</v>
      </c>
      <c r="U80" s="5" t="s">
        <v>523</v>
      </c>
      <c r="V80" s="5">
        <v>27.03</v>
      </c>
      <c r="W80" s="9">
        <v>3.04</v>
      </c>
      <c r="X80" s="9">
        <v>3.12</v>
      </c>
      <c r="Y80" s="5" t="s">
        <v>524</v>
      </c>
      <c r="Z80" s="5">
        <v>55</v>
      </c>
      <c r="AA80" s="9">
        <v>0.39</v>
      </c>
      <c r="AB80" s="9">
        <v>0.12</v>
      </c>
      <c r="AC80" s="5" t="s">
        <v>469</v>
      </c>
      <c r="AD80" s="5">
        <v>3.79</v>
      </c>
      <c r="AE80" s="9">
        <v>1.06</v>
      </c>
      <c r="AF80" s="9">
        <v>0.52</v>
      </c>
      <c r="AG80" s="5" t="s">
        <v>375</v>
      </c>
      <c r="AH80" s="5">
        <v>3.39</v>
      </c>
      <c r="AI80" s="9">
        <v>0.89</v>
      </c>
      <c r="AJ80" s="9">
        <v>0.28999999999999998</v>
      </c>
      <c r="AK80" s="5" t="s">
        <v>525</v>
      </c>
      <c r="AL80" s="5">
        <v>144</v>
      </c>
      <c r="AM80" s="9">
        <v>3.38</v>
      </c>
      <c r="AN80" s="9">
        <v>5.4</v>
      </c>
    </row>
    <row r="81" spans="1:40" x14ac:dyDescent="0.3">
      <c r="A81" s="7">
        <v>45520</v>
      </c>
      <c r="B81" s="5" t="s">
        <v>18</v>
      </c>
      <c r="C81" s="5" t="str">
        <f t="shared" si="1"/>
        <v>45520C</v>
      </c>
      <c r="D81" s="5" t="s">
        <v>74</v>
      </c>
      <c r="E81" s="5">
        <v>16.03</v>
      </c>
      <c r="F81" s="8">
        <v>20.98</v>
      </c>
      <c r="G81" s="5" t="s">
        <v>116</v>
      </c>
      <c r="H81" s="5">
        <v>0</v>
      </c>
      <c r="I81" s="5"/>
      <c r="J81" s="5" t="s">
        <v>526</v>
      </c>
      <c r="K81" s="5">
        <v>84.93</v>
      </c>
      <c r="L81" s="9">
        <v>7.99</v>
      </c>
      <c r="M81" s="5" t="s">
        <v>321</v>
      </c>
      <c r="N81" s="5">
        <v>8.43</v>
      </c>
      <c r="O81" s="8">
        <v>4.72</v>
      </c>
      <c r="P81" s="8">
        <v>3.43</v>
      </c>
      <c r="Q81" s="5" t="s">
        <v>460</v>
      </c>
      <c r="R81" s="5">
        <v>39</v>
      </c>
      <c r="S81" s="9">
        <v>2.65</v>
      </c>
      <c r="T81" s="9">
        <v>0.56000000000000005</v>
      </c>
      <c r="U81" s="5" t="s">
        <v>527</v>
      </c>
      <c r="V81" s="5">
        <v>26.6</v>
      </c>
      <c r="W81" s="9">
        <v>1.88</v>
      </c>
      <c r="X81" s="9">
        <v>1.48</v>
      </c>
      <c r="Y81" s="5" t="s">
        <v>528</v>
      </c>
      <c r="Z81" s="5">
        <v>55</v>
      </c>
      <c r="AA81" s="9">
        <v>0.5</v>
      </c>
      <c r="AB81" s="9">
        <v>0.12</v>
      </c>
      <c r="AC81" s="5" t="s">
        <v>314</v>
      </c>
      <c r="AD81" s="5">
        <v>3.79</v>
      </c>
      <c r="AE81" s="9">
        <v>0.53</v>
      </c>
      <c r="AF81" s="9">
        <v>0.52</v>
      </c>
      <c r="AG81" s="5" t="s">
        <v>297</v>
      </c>
      <c r="AH81" s="5">
        <v>3.46</v>
      </c>
      <c r="AI81" s="9">
        <v>4.21</v>
      </c>
      <c r="AJ81" s="9">
        <v>1.76</v>
      </c>
      <c r="AK81" s="5" t="s">
        <v>529</v>
      </c>
      <c r="AL81" s="5">
        <v>152</v>
      </c>
      <c r="AM81" s="9">
        <v>3.78</v>
      </c>
      <c r="AN81" s="9">
        <v>0.15</v>
      </c>
    </row>
    <row r="82" spans="1:40" x14ac:dyDescent="0.3">
      <c r="A82" s="7">
        <v>45523</v>
      </c>
      <c r="B82" s="5" t="s">
        <v>19</v>
      </c>
      <c r="C82" s="5" t="str">
        <f t="shared" si="1"/>
        <v>45523A</v>
      </c>
      <c r="D82" s="5" t="s">
        <v>47</v>
      </c>
      <c r="E82" s="5">
        <v>15.4</v>
      </c>
      <c r="F82" s="8">
        <v>16.489999999999998</v>
      </c>
      <c r="G82" s="5" t="s">
        <v>116</v>
      </c>
      <c r="H82" s="5">
        <v>0</v>
      </c>
      <c r="I82" s="5"/>
      <c r="J82" s="5" t="s">
        <v>530</v>
      </c>
      <c r="K82" s="5">
        <v>74.83</v>
      </c>
      <c r="L82" s="9">
        <v>9.57</v>
      </c>
      <c r="M82" s="5" t="s">
        <v>396</v>
      </c>
      <c r="N82" s="5">
        <v>8.43</v>
      </c>
      <c r="O82" s="8">
        <v>5.5</v>
      </c>
      <c r="P82" s="8">
        <v>3.43</v>
      </c>
      <c r="Q82" s="5" t="s">
        <v>290</v>
      </c>
      <c r="R82" s="5">
        <v>37.17</v>
      </c>
      <c r="S82" s="9">
        <v>3.17</v>
      </c>
      <c r="T82" s="9">
        <v>4.1500000000000004</v>
      </c>
      <c r="U82" s="5" t="s">
        <v>531</v>
      </c>
      <c r="V82" s="5">
        <v>28.38</v>
      </c>
      <c r="W82" s="8">
        <v>8.15</v>
      </c>
      <c r="X82" s="8">
        <v>8.27</v>
      </c>
      <c r="Y82" s="5" t="s">
        <v>532</v>
      </c>
      <c r="Z82" s="12">
        <v>55.77</v>
      </c>
      <c r="AA82" s="9">
        <v>1.17</v>
      </c>
      <c r="AB82" s="9">
        <v>1.27</v>
      </c>
      <c r="AC82" s="5" t="s">
        <v>269</v>
      </c>
      <c r="AD82" s="5">
        <v>3.96</v>
      </c>
      <c r="AE82" s="9">
        <v>3.66</v>
      </c>
      <c r="AF82" s="9">
        <v>3.93</v>
      </c>
      <c r="AG82" s="5" t="s">
        <v>145</v>
      </c>
      <c r="AH82" s="10">
        <v>3.51</v>
      </c>
      <c r="AI82" s="9">
        <v>5.08</v>
      </c>
      <c r="AJ82" s="9">
        <v>3.23</v>
      </c>
      <c r="AK82" s="5" t="s">
        <v>533</v>
      </c>
      <c r="AL82" s="5">
        <v>142.16999999999999</v>
      </c>
      <c r="AM82" s="9">
        <v>4.9800000000000004</v>
      </c>
      <c r="AN82" s="9">
        <v>6.6</v>
      </c>
    </row>
    <row r="83" spans="1:40" ht="18" x14ac:dyDescent="0.35">
      <c r="A83" s="7">
        <v>45523</v>
      </c>
      <c r="B83" s="5" t="s">
        <v>20</v>
      </c>
      <c r="C83" s="5" t="str">
        <f t="shared" si="1"/>
        <v>45523B</v>
      </c>
      <c r="D83" s="5" t="s">
        <v>60</v>
      </c>
      <c r="E83" s="5">
        <v>12.94</v>
      </c>
      <c r="F83" s="9">
        <v>2.85</v>
      </c>
      <c r="G83" s="5" t="s">
        <v>534</v>
      </c>
      <c r="H83" s="5">
        <v>0</v>
      </c>
      <c r="I83" s="8">
        <v>100</v>
      </c>
      <c r="J83" s="5" t="s">
        <v>535</v>
      </c>
      <c r="K83" s="5">
        <v>73.58</v>
      </c>
      <c r="L83" s="8">
        <v>38.85</v>
      </c>
      <c r="M83" s="5" t="s">
        <v>407</v>
      </c>
      <c r="N83" s="10">
        <v>8.6999999999999993</v>
      </c>
      <c r="O83" s="8">
        <v>6.22</v>
      </c>
      <c r="P83" s="8">
        <v>6.74</v>
      </c>
      <c r="Q83" s="5" t="s">
        <v>536</v>
      </c>
      <c r="R83" s="5">
        <v>38.67</v>
      </c>
      <c r="S83" s="9">
        <v>0.44</v>
      </c>
      <c r="T83" s="9">
        <v>0.28000000000000003</v>
      </c>
      <c r="U83" s="5" t="s">
        <v>318</v>
      </c>
      <c r="V83" s="5">
        <v>27.63</v>
      </c>
      <c r="W83" s="8">
        <v>6.26</v>
      </c>
      <c r="X83" s="8">
        <v>5.41</v>
      </c>
      <c r="Y83" s="5" t="s">
        <v>537</v>
      </c>
      <c r="Z83" s="12">
        <v>54.98</v>
      </c>
      <c r="AA83" s="9">
        <v>1.57</v>
      </c>
      <c r="AB83" s="9">
        <v>0.16</v>
      </c>
      <c r="AC83" s="5">
        <v>3.96</v>
      </c>
      <c r="AD83" s="12">
        <v>4.04</v>
      </c>
      <c r="AE83" s="9">
        <v>2.02</v>
      </c>
      <c r="AF83" s="9">
        <v>6.03</v>
      </c>
      <c r="AG83" s="5">
        <v>3.4</v>
      </c>
      <c r="AH83" s="10">
        <v>3.59</v>
      </c>
      <c r="AI83" s="9">
        <v>5.58</v>
      </c>
      <c r="AJ83" s="9">
        <v>5.58</v>
      </c>
      <c r="AK83" s="5" t="s">
        <v>538</v>
      </c>
      <c r="AL83" s="5">
        <v>149.33000000000001</v>
      </c>
      <c r="AM83" s="9">
        <v>4.8</v>
      </c>
      <c r="AN83" s="9">
        <v>1.9</v>
      </c>
    </row>
    <row r="84" spans="1:40" ht="18" x14ac:dyDescent="0.35">
      <c r="A84" s="7">
        <v>45523</v>
      </c>
      <c r="B84" s="5" t="s">
        <v>18</v>
      </c>
      <c r="C84" s="5" t="str">
        <f t="shared" si="1"/>
        <v>45523C</v>
      </c>
      <c r="D84" s="5" t="s">
        <v>60</v>
      </c>
      <c r="E84" s="5">
        <v>11.08</v>
      </c>
      <c r="F84" s="8">
        <v>16.809999999999999</v>
      </c>
      <c r="G84" s="5" t="s">
        <v>116</v>
      </c>
      <c r="H84" s="5">
        <v>0</v>
      </c>
      <c r="I84" s="5"/>
      <c r="J84" s="5" t="s">
        <v>412</v>
      </c>
      <c r="K84" s="5">
        <v>75.959999999999994</v>
      </c>
      <c r="L84" s="8">
        <v>36.840000000000003</v>
      </c>
      <c r="M84" s="5" t="s">
        <v>436</v>
      </c>
      <c r="N84" s="5">
        <v>8.4700000000000006</v>
      </c>
      <c r="O84" s="9">
        <v>2.04</v>
      </c>
      <c r="P84" s="8">
        <v>3.92</v>
      </c>
      <c r="Q84" s="5" t="s">
        <v>539</v>
      </c>
      <c r="R84" s="5">
        <v>38.83</v>
      </c>
      <c r="S84" s="9">
        <v>2.75</v>
      </c>
      <c r="T84" s="9">
        <v>0.12</v>
      </c>
      <c r="U84" s="5" t="s">
        <v>540</v>
      </c>
      <c r="V84" s="5">
        <v>26.59</v>
      </c>
      <c r="W84" s="9">
        <v>0.22</v>
      </c>
      <c r="X84" s="9">
        <v>1.44</v>
      </c>
      <c r="Y84" s="5" t="s">
        <v>541</v>
      </c>
      <c r="Z84" s="5">
        <v>54.98</v>
      </c>
      <c r="AA84" s="9">
        <v>0.48</v>
      </c>
      <c r="AB84" s="9">
        <v>0.16</v>
      </c>
      <c r="AC84" s="5">
        <v>3.95</v>
      </c>
      <c r="AD84" s="5">
        <v>4.04</v>
      </c>
      <c r="AE84" s="9">
        <v>2.27</v>
      </c>
      <c r="AF84" s="9">
        <v>6.03</v>
      </c>
      <c r="AG84" s="5" t="s">
        <v>291</v>
      </c>
      <c r="AH84" s="5">
        <v>3.44</v>
      </c>
      <c r="AI84" s="9">
        <v>2.0699999999999998</v>
      </c>
      <c r="AJ84" s="9">
        <v>1.17</v>
      </c>
      <c r="AK84" s="5" t="s">
        <v>542</v>
      </c>
      <c r="AL84" s="5">
        <v>148.5</v>
      </c>
      <c r="AM84" s="9">
        <v>3.6</v>
      </c>
      <c r="AN84" s="9">
        <v>2.4500000000000002</v>
      </c>
    </row>
    <row r="85" spans="1:40" x14ac:dyDescent="0.3">
      <c r="A85" s="7">
        <v>45524</v>
      </c>
      <c r="B85" s="5" t="s">
        <v>19</v>
      </c>
      <c r="C85" s="5" t="str">
        <f t="shared" si="1"/>
        <v>45524A</v>
      </c>
      <c r="D85" s="5" t="s">
        <v>74</v>
      </c>
      <c r="E85" s="5">
        <v>13.73</v>
      </c>
      <c r="F85" s="9">
        <v>3.62</v>
      </c>
      <c r="G85" s="5" t="s">
        <v>116</v>
      </c>
      <c r="H85" s="5">
        <v>0</v>
      </c>
      <c r="I85" s="5"/>
      <c r="J85" s="5" t="s">
        <v>543</v>
      </c>
      <c r="K85" s="5">
        <v>86.18</v>
      </c>
      <c r="L85" s="9">
        <v>9.42</v>
      </c>
      <c r="M85" s="5" t="s">
        <v>209</v>
      </c>
      <c r="N85" s="5">
        <v>8.15</v>
      </c>
      <c r="O85" s="8">
        <v>3.03</v>
      </c>
      <c r="P85" s="9">
        <v>0</v>
      </c>
      <c r="Q85" s="5" t="s">
        <v>544</v>
      </c>
      <c r="R85" s="5">
        <v>38.25</v>
      </c>
      <c r="S85" s="9">
        <v>1.21</v>
      </c>
      <c r="T85" s="9">
        <v>1.36</v>
      </c>
      <c r="U85" s="5" t="s">
        <v>545</v>
      </c>
      <c r="V85" s="5">
        <v>26.4</v>
      </c>
      <c r="W85" s="9">
        <v>3.12</v>
      </c>
      <c r="X85" s="9">
        <v>0.72</v>
      </c>
      <c r="Y85" s="5" t="s">
        <v>546</v>
      </c>
      <c r="Z85" s="5">
        <v>54.44</v>
      </c>
      <c r="AA85" s="9">
        <v>1.1399999999999999</v>
      </c>
      <c r="AB85" s="9">
        <v>1.1399999999999999</v>
      </c>
      <c r="AC85" s="5" t="s">
        <v>463</v>
      </c>
      <c r="AD85" s="5">
        <v>4.0599999999999996</v>
      </c>
      <c r="AE85" s="9">
        <v>4.63</v>
      </c>
      <c r="AF85" s="9">
        <v>6.56</v>
      </c>
      <c r="AG85" s="5" t="s">
        <v>375</v>
      </c>
      <c r="AH85" s="5">
        <v>3.34</v>
      </c>
      <c r="AI85" s="9">
        <v>0.59</v>
      </c>
      <c r="AJ85" s="9">
        <v>1.76</v>
      </c>
      <c r="AK85" s="5" t="s">
        <v>547</v>
      </c>
      <c r="AL85" s="5">
        <v>140</v>
      </c>
      <c r="AM85" s="9">
        <v>4.74</v>
      </c>
      <c r="AN85" s="9">
        <v>8.0299999999999994</v>
      </c>
    </row>
    <row r="86" spans="1:40" x14ac:dyDescent="0.3">
      <c r="A86" s="7">
        <v>45524</v>
      </c>
      <c r="B86" s="5" t="s">
        <v>20</v>
      </c>
      <c r="C86" s="5" t="str">
        <f t="shared" si="1"/>
        <v>45524B</v>
      </c>
      <c r="D86" s="5" t="s">
        <v>75</v>
      </c>
      <c r="E86" s="5">
        <v>13.62</v>
      </c>
      <c r="F86" s="9">
        <v>2.48</v>
      </c>
      <c r="G86" s="5" t="s">
        <v>116</v>
      </c>
      <c r="H86" s="5">
        <v>0</v>
      </c>
      <c r="I86" s="5"/>
      <c r="J86" s="5" t="s">
        <v>548</v>
      </c>
      <c r="K86" s="5">
        <v>72.709999999999994</v>
      </c>
      <c r="L86" s="8">
        <v>34.71</v>
      </c>
      <c r="M86" s="5" t="s">
        <v>170</v>
      </c>
      <c r="N86" s="5">
        <v>8.0500000000000007</v>
      </c>
      <c r="O86" s="8">
        <v>3.33</v>
      </c>
      <c r="P86" s="9">
        <v>1.22</v>
      </c>
      <c r="Q86" s="5" t="s">
        <v>549</v>
      </c>
      <c r="R86" s="5">
        <v>38</v>
      </c>
      <c r="S86" s="9">
        <v>0.88</v>
      </c>
      <c r="T86" s="9">
        <v>2.0099999999999998</v>
      </c>
      <c r="U86" s="5" t="s">
        <v>550</v>
      </c>
      <c r="V86" s="5">
        <v>26.8</v>
      </c>
      <c r="W86" s="9">
        <v>1.36</v>
      </c>
      <c r="X86" s="9">
        <v>2.25</v>
      </c>
      <c r="Y86" s="5" t="s">
        <v>551</v>
      </c>
      <c r="Z86" s="5">
        <v>56.44</v>
      </c>
      <c r="AA86" s="9">
        <v>2.93</v>
      </c>
      <c r="AB86" s="9">
        <v>2.48</v>
      </c>
      <c r="AC86" s="5" t="s">
        <v>552</v>
      </c>
      <c r="AD86" s="5">
        <v>3.65</v>
      </c>
      <c r="AE86" s="9">
        <v>4.6900000000000004</v>
      </c>
      <c r="AF86" s="9">
        <v>4.1900000000000004</v>
      </c>
      <c r="AG86" s="5" t="s">
        <v>145</v>
      </c>
      <c r="AH86" s="5">
        <v>3.27</v>
      </c>
      <c r="AI86" s="9">
        <v>2.09</v>
      </c>
      <c r="AJ86" s="9">
        <v>3.82</v>
      </c>
      <c r="AK86" s="5" t="s">
        <v>553</v>
      </c>
      <c r="AL86" s="5">
        <v>152.33000000000001</v>
      </c>
      <c r="AM86" s="9">
        <v>7.01</v>
      </c>
      <c r="AN86" s="9">
        <v>0.06</v>
      </c>
    </row>
    <row r="87" spans="1:40" ht="18" x14ac:dyDescent="0.35">
      <c r="A87" s="7">
        <v>45524</v>
      </c>
      <c r="B87" s="5" t="s">
        <v>18</v>
      </c>
      <c r="C87" s="5" t="str">
        <f t="shared" si="1"/>
        <v>45524C</v>
      </c>
      <c r="D87" s="5">
        <v>23.19</v>
      </c>
      <c r="E87" s="5">
        <v>14.1</v>
      </c>
      <c r="F87" s="8">
        <v>39.19</v>
      </c>
      <c r="G87" s="5" t="s">
        <v>554</v>
      </c>
      <c r="H87" s="5">
        <v>0</v>
      </c>
      <c r="I87" s="8">
        <v>100</v>
      </c>
      <c r="J87" s="5" t="s">
        <v>184</v>
      </c>
      <c r="K87" s="5">
        <v>93.67</v>
      </c>
      <c r="L87" s="9">
        <v>15.1</v>
      </c>
      <c r="M87" s="5" t="s">
        <v>486</v>
      </c>
      <c r="N87" s="5">
        <v>8.15</v>
      </c>
      <c r="O87" s="9">
        <v>0.12</v>
      </c>
      <c r="P87" s="9">
        <v>0</v>
      </c>
      <c r="Q87" s="5" t="s">
        <v>544</v>
      </c>
      <c r="R87" s="5">
        <v>37.83</v>
      </c>
      <c r="S87" s="9">
        <v>2.29</v>
      </c>
      <c r="T87" s="9">
        <v>2.44</v>
      </c>
      <c r="U87" s="5" t="s">
        <v>555</v>
      </c>
      <c r="V87" s="5">
        <v>26.16</v>
      </c>
      <c r="W87" s="9">
        <v>1.04</v>
      </c>
      <c r="X87" s="9">
        <v>0.19</v>
      </c>
      <c r="Y87" s="5">
        <v>56.06</v>
      </c>
      <c r="Z87" s="5">
        <v>56.43</v>
      </c>
      <c r="AA87" s="9">
        <v>0.66</v>
      </c>
      <c r="AB87" s="9">
        <v>2.46</v>
      </c>
      <c r="AC87" s="5" t="s">
        <v>269</v>
      </c>
      <c r="AD87" s="5">
        <v>3.65</v>
      </c>
      <c r="AE87" s="9">
        <v>4.45</v>
      </c>
      <c r="AF87" s="9">
        <v>4.1900000000000004</v>
      </c>
      <c r="AG87" s="5" t="s">
        <v>153</v>
      </c>
      <c r="AH87" s="5">
        <v>3.25</v>
      </c>
      <c r="AI87" s="9">
        <v>1.51</v>
      </c>
      <c r="AJ87" s="9">
        <v>4.41</v>
      </c>
      <c r="AK87" s="5" t="s">
        <v>556</v>
      </c>
      <c r="AL87" s="5">
        <v>147.33000000000001</v>
      </c>
      <c r="AM87" s="9">
        <v>1.85</v>
      </c>
      <c r="AN87" s="9">
        <v>3.21</v>
      </c>
    </row>
    <row r="88" spans="1:40" x14ac:dyDescent="0.3">
      <c r="A88" s="7">
        <v>45525</v>
      </c>
      <c r="B88" s="5" t="s">
        <v>19</v>
      </c>
      <c r="C88" s="5" t="str">
        <f t="shared" si="1"/>
        <v>45525A</v>
      </c>
      <c r="D88" s="5" t="s">
        <v>76</v>
      </c>
      <c r="E88" s="5">
        <v>22.8</v>
      </c>
      <c r="F88" s="9">
        <v>0.78</v>
      </c>
      <c r="G88" s="5" t="s">
        <v>557</v>
      </c>
      <c r="H88" s="5">
        <v>0</v>
      </c>
      <c r="I88" s="8">
        <v>100</v>
      </c>
      <c r="J88" s="5" t="s">
        <v>197</v>
      </c>
      <c r="K88" s="5">
        <v>69.37</v>
      </c>
      <c r="L88" s="9">
        <v>14.7</v>
      </c>
      <c r="M88" s="5" t="s">
        <v>495</v>
      </c>
      <c r="N88" s="5">
        <v>7.9</v>
      </c>
      <c r="O88" s="9">
        <v>2.1</v>
      </c>
      <c r="P88" s="8">
        <v>3.06</v>
      </c>
      <c r="Q88" s="5" t="s">
        <v>558</v>
      </c>
      <c r="R88" s="5">
        <v>37.67</v>
      </c>
      <c r="S88" s="9">
        <v>3.63</v>
      </c>
      <c r="T88" s="9">
        <v>2.86</v>
      </c>
      <c r="U88" s="5" t="s">
        <v>559</v>
      </c>
      <c r="V88" s="5">
        <v>25.9</v>
      </c>
      <c r="W88" s="9">
        <v>3.22</v>
      </c>
      <c r="X88" s="9">
        <v>1.18</v>
      </c>
      <c r="Y88" s="5" t="s">
        <v>489</v>
      </c>
      <c r="Z88" s="12">
        <v>55.79</v>
      </c>
      <c r="AA88" s="9">
        <v>0.39</v>
      </c>
      <c r="AB88" s="9">
        <v>1.3</v>
      </c>
      <c r="AC88" s="5" t="s">
        <v>394</v>
      </c>
      <c r="AD88" s="5">
        <v>3.65</v>
      </c>
      <c r="AE88" s="9">
        <v>2.4</v>
      </c>
      <c r="AF88" s="9">
        <v>4.1900000000000004</v>
      </c>
      <c r="AG88" s="5" t="s">
        <v>297</v>
      </c>
      <c r="AH88" s="5">
        <v>3.32</v>
      </c>
      <c r="AI88" s="9">
        <v>0</v>
      </c>
      <c r="AJ88" s="9">
        <v>2.35</v>
      </c>
      <c r="AK88" s="5" t="s">
        <v>560</v>
      </c>
      <c r="AL88" s="5">
        <v>142.33000000000001</v>
      </c>
      <c r="AM88" s="9">
        <v>3.83</v>
      </c>
      <c r="AN88" s="9">
        <v>6.5</v>
      </c>
    </row>
    <row r="89" spans="1:40" x14ac:dyDescent="0.3">
      <c r="A89" s="7">
        <v>45525</v>
      </c>
      <c r="B89" s="5" t="s">
        <v>20</v>
      </c>
      <c r="C89" s="5" t="str">
        <f t="shared" si="1"/>
        <v>45525B</v>
      </c>
      <c r="D89" s="5" t="s">
        <v>77</v>
      </c>
      <c r="E89" s="5">
        <v>18.84</v>
      </c>
      <c r="F89" s="8">
        <v>8.49</v>
      </c>
      <c r="G89" s="5" t="s">
        <v>561</v>
      </c>
      <c r="H89" s="5">
        <v>0</v>
      </c>
      <c r="I89" s="8">
        <v>100</v>
      </c>
      <c r="J89" s="5" t="s">
        <v>562</v>
      </c>
      <c r="K89" s="5">
        <v>64.47</v>
      </c>
      <c r="L89" s="8">
        <v>38.67</v>
      </c>
      <c r="M89" s="5" t="s">
        <v>486</v>
      </c>
      <c r="N89" s="5">
        <v>8.08</v>
      </c>
      <c r="O89" s="9">
        <v>0.73</v>
      </c>
      <c r="P89" s="9">
        <v>0.85</v>
      </c>
      <c r="Q89" s="5" t="s">
        <v>563</v>
      </c>
      <c r="R89" s="5">
        <v>38</v>
      </c>
      <c r="S89" s="9">
        <v>2.76</v>
      </c>
      <c r="T89" s="9">
        <v>2.0099999999999998</v>
      </c>
      <c r="U89" s="5" t="s">
        <v>564</v>
      </c>
      <c r="V89" s="5">
        <v>26.9</v>
      </c>
      <c r="W89" s="9">
        <v>3.26</v>
      </c>
      <c r="X89" s="9">
        <v>2.63</v>
      </c>
      <c r="Y89" s="5" t="s">
        <v>565</v>
      </c>
      <c r="Z89" s="5">
        <v>55.09</v>
      </c>
      <c r="AA89" s="9">
        <v>1.1599999999999999</v>
      </c>
      <c r="AB89" s="9">
        <v>0.03</v>
      </c>
      <c r="AC89" s="5" t="s">
        <v>566</v>
      </c>
      <c r="AD89" s="5">
        <v>3.65</v>
      </c>
      <c r="AE89" s="9">
        <v>5.68</v>
      </c>
      <c r="AF89" s="9">
        <v>4.1900000000000004</v>
      </c>
      <c r="AG89" s="5" t="s">
        <v>291</v>
      </c>
      <c r="AH89" s="5">
        <v>3.39</v>
      </c>
      <c r="AI89" s="9">
        <v>0.59</v>
      </c>
      <c r="AJ89" s="9">
        <v>0.28999999999999998</v>
      </c>
      <c r="AK89" s="5" t="s">
        <v>567</v>
      </c>
      <c r="AL89" s="5">
        <v>140.66999999999999</v>
      </c>
      <c r="AM89" s="9">
        <v>4.79</v>
      </c>
      <c r="AN89" s="9">
        <v>7.59</v>
      </c>
    </row>
    <row r="90" spans="1:40" x14ac:dyDescent="0.3">
      <c r="A90" s="7">
        <v>45525</v>
      </c>
      <c r="B90" s="5" t="s">
        <v>18</v>
      </c>
      <c r="C90" s="5" t="str">
        <f t="shared" si="1"/>
        <v>45525C</v>
      </c>
      <c r="D90" s="5" t="s">
        <v>78</v>
      </c>
      <c r="E90" s="5">
        <v>16.22</v>
      </c>
      <c r="F90" s="8">
        <v>6.01</v>
      </c>
      <c r="G90" s="5" t="s">
        <v>116</v>
      </c>
      <c r="H90" s="5">
        <v>0</v>
      </c>
      <c r="I90" s="5"/>
      <c r="J90" s="5" t="s">
        <v>386</v>
      </c>
      <c r="K90" s="5">
        <v>73.11</v>
      </c>
      <c r="L90" s="9">
        <v>9.9600000000000009</v>
      </c>
      <c r="M90" s="5" t="s">
        <v>513</v>
      </c>
      <c r="N90" s="5">
        <v>8.33</v>
      </c>
      <c r="O90" s="8">
        <v>4.38</v>
      </c>
      <c r="P90" s="9">
        <v>2.2000000000000002</v>
      </c>
      <c r="Q90" s="5" t="s">
        <v>568</v>
      </c>
      <c r="R90" s="5">
        <v>38.67</v>
      </c>
      <c r="S90" s="9">
        <v>0.7</v>
      </c>
      <c r="T90" s="9">
        <v>0.28000000000000003</v>
      </c>
      <c r="U90" s="5" t="s">
        <v>540</v>
      </c>
      <c r="V90" s="5">
        <v>26.5</v>
      </c>
      <c r="W90" s="9">
        <v>0.56000000000000005</v>
      </c>
      <c r="X90" s="9">
        <v>1.1000000000000001</v>
      </c>
      <c r="Y90" s="5" t="s">
        <v>528</v>
      </c>
      <c r="Z90" s="5">
        <v>55.08</v>
      </c>
      <c r="AA90" s="9">
        <v>0.36</v>
      </c>
      <c r="AB90" s="9">
        <v>0.01</v>
      </c>
      <c r="AC90" s="5" t="s">
        <v>511</v>
      </c>
      <c r="AD90" s="5">
        <v>3.65</v>
      </c>
      <c r="AE90" s="9">
        <v>3.69</v>
      </c>
      <c r="AF90" s="9">
        <v>4.1900000000000004</v>
      </c>
      <c r="AG90" s="5" t="s">
        <v>145</v>
      </c>
      <c r="AH90" s="5">
        <v>3.45</v>
      </c>
      <c r="AI90" s="9">
        <v>3.29</v>
      </c>
      <c r="AJ90" s="9">
        <v>1.47</v>
      </c>
      <c r="AK90" s="5" t="s">
        <v>569</v>
      </c>
      <c r="AL90" s="5">
        <v>148.66999999999999</v>
      </c>
      <c r="AM90" s="9">
        <v>3.66</v>
      </c>
      <c r="AN90" s="9">
        <v>2.33</v>
      </c>
    </row>
    <row r="91" spans="1:40" x14ac:dyDescent="0.3">
      <c r="A91" s="7">
        <v>45526</v>
      </c>
      <c r="B91" s="5" t="s">
        <v>19</v>
      </c>
      <c r="C91" s="5" t="str">
        <f t="shared" si="1"/>
        <v>45526A</v>
      </c>
      <c r="D91" s="5" t="s">
        <v>47</v>
      </c>
      <c r="E91" s="5">
        <v>21.37</v>
      </c>
      <c r="F91" s="8">
        <v>61.64</v>
      </c>
      <c r="G91" s="5" t="s">
        <v>116</v>
      </c>
      <c r="H91" s="5">
        <v>0</v>
      </c>
      <c r="I91" s="5"/>
      <c r="J91" s="5" t="s">
        <v>349</v>
      </c>
      <c r="K91" s="5">
        <v>81.180000000000007</v>
      </c>
      <c r="L91" s="9">
        <v>0.56999999999999995</v>
      </c>
      <c r="M91" s="5" t="s">
        <v>307</v>
      </c>
      <c r="N91" s="5">
        <v>7.85</v>
      </c>
      <c r="O91" s="9">
        <v>2.84</v>
      </c>
      <c r="P91" s="8">
        <v>3.68</v>
      </c>
      <c r="Q91" s="5" t="s">
        <v>570</v>
      </c>
      <c r="R91" s="5">
        <v>39.33</v>
      </c>
      <c r="S91" s="9">
        <v>1.49</v>
      </c>
      <c r="T91" s="9">
        <v>1.41</v>
      </c>
      <c r="U91" s="5" t="s">
        <v>571</v>
      </c>
      <c r="V91" s="5">
        <v>25</v>
      </c>
      <c r="W91" s="9">
        <v>4.0999999999999996</v>
      </c>
      <c r="X91" s="9">
        <v>4.6100000000000003</v>
      </c>
      <c r="Y91" s="5" t="s">
        <v>524</v>
      </c>
      <c r="Z91" s="5">
        <v>55.08</v>
      </c>
      <c r="AA91" s="9">
        <v>0.25</v>
      </c>
      <c r="AB91" s="9">
        <v>0.01</v>
      </c>
      <c r="AC91" s="5" t="s">
        <v>511</v>
      </c>
      <c r="AD91" s="5">
        <v>3.65</v>
      </c>
      <c r="AE91" s="9">
        <v>3.69</v>
      </c>
      <c r="AF91" s="9">
        <v>4.1900000000000004</v>
      </c>
      <c r="AG91" s="5" t="s">
        <v>291</v>
      </c>
      <c r="AH91" s="5">
        <v>3.37</v>
      </c>
      <c r="AI91" s="9">
        <v>0</v>
      </c>
      <c r="AJ91" s="9">
        <v>0.88</v>
      </c>
      <c r="AK91" s="5" t="s">
        <v>572</v>
      </c>
      <c r="AL91" s="5">
        <v>147.33000000000001</v>
      </c>
      <c r="AM91" s="9">
        <v>1.03</v>
      </c>
      <c r="AN91" s="9">
        <v>3.21</v>
      </c>
    </row>
    <row r="92" spans="1:40" ht="18" x14ac:dyDescent="0.35">
      <c r="A92" s="7">
        <v>45526</v>
      </c>
      <c r="B92" s="5" t="s">
        <v>20</v>
      </c>
      <c r="C92" s="5" t="str">
        <f t="shared" si="1"/>
        <v>45526B</v>
      </c>
      <c r="D92" s="5" t="s">
        <v>79</v>
      </c>
      <c r="E92" s="5">
        <v>18.79</v>
      </c>
      <c r="F92" s="9">
        <v>4.91</v>
      </c>
      <c r="G92" s="5" t="s">
        <v>116</v>
      </c>
      <c r="H92" s="5">
        <v>0</v>
      </c>
      <c r="I92" s="5"/>
      <c r="J92" s="5" t="s">
        <v>573</v>
      </c>
      <c r="K92" s="5">
        <v>63.06</v>
      </c>
      <c r="L92" s="9">
        <v>22.37</v>
      </c>
      <c r="M92" s="5" t="s">
        <v>258</v>
      </c>
      <c r="N92" s="5">
        <v>7.98</v>
      </c>
      <c r="O92" s="9">
        <v>0.99</v>
      </c>
      <c r="P92" s="9">
        <v>2.08</v>
      </c>
      <c r="Q92" s="5" t="s">
        <v>574</v>
      </c>
      <c r="R92" s="10">
        <v>36</v>
      </c>
      <c r="S92" s="8">
        <v>8.7899999999999991</v>
      </c>
      <c r="T92" s="8">
        <v>7.16</v>
      </c>
      <c r="U92" s="5" t="s">
        <v>25</v>
      </c>
      <c r="V92" s="5">
        <v>27.9</v>
      </c>
      <c r="W92" s="8">
        <v>8.85</v>
      </c>
      <c r="X92" s="8">
        <v>6.44</v>
      </c>
      <c r="Y92" s="5" t="s">
        <v>524</v>
      </c>
      <c r="Z92" s="5">
        <v>55.88</v>
      </c>
      <c r="AA92" s="9">
        <v>1.19</v>
      </c>
      <c r="AB92" s="9">
        <v>1.47</v>
      </c>
      <c r="AC92" s="5">
        <v>3.79</v>
      </c>
      <c r="AD92" s="12">
        <v>3.84</v>
      </c>
      <c r="AE92" s="9">
        <v>1.31</v>
      </c>
      <c r="AF92" s="9">
        <v>0.78</v>
      </c>
      <c r="AG92" s="5" t="s">
        <v>137</v>
      </c>
      <c r="AH92" s="5">
        <v>3.42</v>
      </c>
      <c r="AI92" s="9">
        <v>0.57999999999999996</v>
      </c>
      <c r="AJ92" s="9">
        <v>0.57999999999999996</v>
      </c>
      <c r="AK92" s="5" t="s">
        <v>575</v>
      </c>
      <c r="AL92" s="5">
        <v>142</v>
      </c>
      <c r="AM92" s="9">
        <v>3.97</v>
      </c>
      <c r="AN92" s="9">
        <v>6.72</v>
      </c>
    </row>
    <row r="93" spans="1:40" x14ac:dyDescent="0.3">
      <c r="A93" s="7">
        <v>45526</v>
      </c>
      <c r="B93" s="5" t="s">
        <v>18</v>
      </c>
      <c r="C93" s="5" t="str">
        <f t="shared" si="1"/>
        <v>45526C</v>
      </c>
      <c r="D93" s="5" t="s">
        <v>80</v>
      </c>
      <c r="E93" s="5">
        <v>16.95</v>
      </c>
      <c r="F93" s="8">
        <v>9.56</v>
      </c>
      <c r="G93" s="5" t="s">
        <v>116</v>
      </c>
      <c r="H93" s="5">
        <v>0</v>
      </c>
      <c r="I93" s="5"/>
      <c r="J93" s="5" t="s">
        <v>576</v>
      </c>
      <c r="K93" s="5">
        <v>86.76</v>
      </c>
      <c r="L93" s="9">
        <v>23.48</v>
      </c>
      <c r="M93" s="5" t="s">
        <v>577</v>
      </c>
      <c r="N93" s="5">
        <v>8.5500000000000007</v>
      </c>
      <c r="O93" s="8">
        <v>6.74</v>
      </c>
      <c r="P93" s="8">
        <v>4.9000000000000004</v>
      </c>
      <c r="Q93" s="5" t="s">
        <v>578</v>
      </c>
      <c r="R93" s="5">
        <v>38.67</v>
      </c>
      <c r="S93" s="9">
        <v>1.07</v>
      </c>
      <c r="T93" s="9">
        <v>0.28000000000000003</v>
      </c>
      <c r="U93" s="5" t="s">
        <v>579</v>
      </c>
      <c r="V93" s="5">
        <v>25.61</v>
      </c>
      <c r="W93" s="9">
        <v>3.57</v>
      </c>
      <c r="X93" s="9">
        <v>2.2799999999999998</v>
      </c>
      <c r="Y93" s="5" t="s">
        <v>580</v>
      </c>
      <c r="Z93" s="5">
        <v>55.24</v>
      </c>
      <c r="AA93" s="9">
        <v>0.82</v>
      </c>
      <c r="AB93" s="9">
        <v>0.3</v>
      </c>
      <c r="AC93" s="5" t="s">
        <v>303</v>
      </c>
      <c r="AD93" s="5">
        <v>3.84</v>
      </c>
      <c r="AE93" s="9">
        <v>0.51</v>
      </c>
      <c r="AF93" s="9">
        <v>0.78</v>
      </c>
      <c r="AG93" s="5" t="s">
        <v>375</v>
      </c>
      <c r="AH93" s="10">
        <v>3.59</v>
      </c>
      <c r="AI93" s="9">
        <v>6.84</v>
      </c>
      <c r="AJ93" s="9">
        <v>5.58</v>
      </c>
      <c r="AK93" s="5" t="s">
        <v>454</v>
      </c>
      <c r="AL93" s="5">
        <v>147.33000000000001</v>
      </c>
      <c r="AM93" s="9">
        <v>4.54</v>
      </c>
      <c r="AN93" s="9">
        <v>3.21</v>
      </c>
    </row>
    <row r="94" spans="1:40" ht="18" x14ac:dyDescent="0.35">
      <c r="A94" s="7">
        <v>45530</v>
      </c>
      <c r="B94" s="5" t="s">
        <v>19</v>
      </c>
      <c r="C94" s="5" t="str">
        <f t="shared" si="1"/>
        <v>45530A</v>
      </c>
      <c r="D94" s="5" t="s">
        <v>59</v>
      </c>
      <c r="E94" s="5">
        <v>17.36</v>
      </c>
      <c r="F94" s="8">
        <v>30.72</v>
      </c>
      <c r="G94" s="5" t="s">
        <v>581</v>
      </c>
      <c r="H94" s="5">
        <v>17.079999999999998</v>
      </c>
      <c r="I94" s="8">
        <v>3613.04</v>
      </c>
      <c r="J94" s="5" t="s">
        <v>582</v>
      </c>
      <c r="K94" s="5">
        <v>78.739999999999995</v>
      </c>
      <c r="L94" s="9">
        <v>23.74</v>
      </c>
      <c r="M94" s="5" t="s">
        <v>289</v>
      </c>
      <c r="N94" s="10">
        <v>9.1</v>
      </c>
      <c r="O94" s="8">
        <v>10.97</v>
      </c>
      <c r="P94" s="8">
        <v>11.65</v>
      </c>
      <c r="Q94" s="5" t="s">
        <v>583</v>
      </c>
      <c r="R94" s="5">
        <v>40</v>
      </c>
      <c r="S94" s="9">
        <v>2.0099999999999998</v>
      </c>
      <c r="T94" s="9">
        <v>3.14</v>
      </c>
      <c r="U94" s="5" t="s">
        <v>584</v>
      </c>
      <c r="V94" s="10">
        <v>28.8</v>
      </c>
      <c r="W94" s="8">
        <v>14.14</v>
      </c>
      <c r="X94" s="8">
        <v>9.8800000000000008</v>
      </c>
      <c r="Y94" s="5">
        <v>55.37</v>
      </c>
      <c r="Z94" s="12">
        <v>56.12</v>
      </c>
      <c r="AA94" s="9">
        <v>1.35</v>
      </c>
      <c r="AB94" s="9">
        <v>1.9</v>
      </c>
      <c r="AC94" s="5" t="s">
        <v>585</v>
      </c>
      <c r="AD94" s="12">
        <v>3.75</v>
      </c>
      <c r="AE94" s="9">
        <v>4.09</v>
      </c>
      <c r="AF94" s="9">
        <v>1.57</v>
      </c>
      <c r="AG94" s="5" t="s">
        <v>121</v>
      </c>
      <c r="AH94" s="10">
        <v>3.7</v>
      </c>
      <c r="AI94" s="8">
        <v>7.55</v>
      </c>
      <c r="AJ94" s="8">
        <v>8.82</v>
      </c>
      <c r="AK94" s="5" t="s">
        <v>586</v>
      </c>
      <c r="AL94" s="5">
        <v>132</v>
      </c>
      <c r="AM94" s="9">
        <v>9.65</v>
      </c>
      <c r="AN94" s="8">
        <v>13.28</v>
      </c>
    </row>
    <row r="95" spans="1:40" ht="18" x14ac:dyDescent="0.35">
      <c r="A95" s="7">
        <v>45530</v>
      </c>
      <c r="B95" s="5" t="s">
        <v>20</v>
      </c>
      <c r="C95" s="5" t="str">
        <f t="shared" si="1"/>
        <v>45530B</v>
      </c>
      <c r="D95" s="5" t="s">
        <v>61</v>
      </c>
      <c r="E95" s="5">
        <v>9.7100000000000009</v>
      </c>
      <c r="F95" s="8">
        <v>27.21</v>
      </c>
      <c r="G95" s="5" t="s">
        <v>281</v>
      </c>
      <c r="H95" s="5">
        <v>7.12</v>
      </c>
      <c r="I95" s="8">
        <v>20.71</v>
      </c>
      <c r="J95" s="5" t="s">
        <v>288</v>
      </c>
      <c r="K95" s="5">
        <v>81.349999999999994</v>
      </c>
      <c r="L95" s="8">
        <v>32.47</v>
      </c>
      <c r="M95" s="5" t="s">
        <v>587</v>
      </c>
      <c r="N95" s="5">
        <v>8.61</v>
      </c>
      <c r="O95" s="9">
        <v>2.4900000000000002</v>
      </c>
      <c r="P95" s="8">
        <v>5.64</v>
      </c>
      <c r="Q95" s="5" t="s">
        <v>588</v>
      </c>
      <c r="R95" s="10">
        <v>42</v>
      </c>
      <c r="S95" s="8">
        <v>7.63</v>
      </c>
      <c r="T95" s="8">
        <v>8.3000000000000007</v>
      </c>
      <c r="U95" s="5" t="s">
        <v>172</v>
      </c>
      <c r="V95" s="5">
        <v>25.5</v>
      </c>
      <c r="W95" s="9">
        <v>1.69</v>
      </c>
      <c r="X95" s="9">
        <v>2.7</v>
      </c>
      <c r="Y95" s="5">
        <v>56.14</v>
      </c>
      <c r="Z95" s="5">
        <v>56.47</v>
      </c>
      <c r="AA95" s="9">
        <v>0.57999999999999996</v>
      </c>
      <c r="AB95" s="9">
        <v>2.54</v>
      </c>
      <c r="AC95" s="5" t="s">
        <v>589</v>
      </c>
      <c r="AD95" s="10">
        <v>4.29</v>
      </c>
      <c r="AE95" s="9">
        <v>5.66</v>
      </c>
      <c r="AF95" s="8">
        <v>12.59</v>
      </c>
      <c r="AG95" s="10">
        <v>3.48</v>
      </c>
      <c r="AH95" s="10">
        <v>3.66</v>
      </c>
      <c r="AI95" s="9">
        <v>5.17</v>
      </c>
      <c r="AJ95" s="8">
        <v>7.64</v>
      </c>
      <c r="AK95" s="5" t="s">
        <v>590</v>
      </c>
      <c r="AL95" s="5">
        <v>159</v>
      </c>
      <c r="AM95" s="8">
        <v>14.64</v>
      </c>
      <c r="AN95" s="9">
        <v>4.4400000000000004</v>
      </c>
    </row>
    <row r="96" spans="1:40" x14ac:dyDescent="0.3">
      <c r="A96" s="7">
        <v>45530</v>
      </c>
      <c r="B96" s="5" t="s">
        <v>18</v>
      </c>
      <c r="C96" s="5" t="str">
        <f t="shared" si="1"/>
        <v>45530C</v>
      </c>
      <c r="D96" s="5" t="s">
        <v>81</v>
      </c>
      <c r="E96" s="5">
        <v>9.23</v>
      </c>
      <c r="F96" s="8">
        <v>30.75</v>
      </c>
      <c r="G96" s="5" t="s">
        <v>591</v>
      </c>
      <c r="H96" s="5">
        <v>11.73</v>
      </c>
      <c r="I96" s="8">
        <v>71.989999999999995</v>
      </c>
      <c r="J96" s="5" t="s">
        <v>592</v>
      </c>
      <c r="K96" s="5">
        <v>86.15</v>
      </c>
      <c r="L96" s="8">
        <v>28.46</v>
      </c>
      <c r="M96" s="5" t="s">
        <v>593</v>
      </c>
      <c r="N96" s="5">
        <v>8.5</v>
      </c>
      <c r="O96" s="9">
        <v>1.07</v>
      </c>
      <c r="P96" s="8">
        <v>4.29</v>
      </c>
      <c r="Q96" s="5" t="s">
        <v>594</v>
      </c>
      <c r="R96" s="5">
        <v>38.33</v>
      </c>
      <c r="S96" s="9">
        <v>0.69</v>
      </c>
      <c r="T96" s="9">
        <v>1.1599999999999999</v>
      </c>
      <c r="U96" s="5" t="s">
        <v>595</v>
      </c>
      <c r="V96" s="5">
        <v>25.75</v>
      </c>
      <c r="W96" s="9">
        <v>0.15</v>
      </c>
      <c r="X96" s="9">
        <v>1.75</v>
      </c>
      <c r="Y96" s="5" t="s">
        <v>596</v>
      </c>
      <c r="Z96" s="5">
        <v>56.46</v>
      </c>
      <c r="AA96" s="9">
        <v>0.15</v>
      </c>
      <c r="AB96" s="9">
        <v>2.52</v>
      </c>
      <c r="AC96" s="10" t="s">
        <v>597</v>
      </c>
      <c r="AD96" s="10">
        <v>4.29</v>
      </c>
      <c r="AE96" s="9">
        <v>0.69</v>
      </c>
      <c r="AF96" s="8">
        <v>12.59</v>
      </c>
      <c r="AG96" s="5" t="s">
        <v>182</v>
      </c>
      <c r="AH96" s="10">
        <v>3.58</v>
      </c>
      <c r="AI96" s="9">
        <v>3.76</v>
      </c>
      <c r="AJ96" s="9">
        <v>5.29</v>
      </c>
      <c r="AK96" s="5" t="s">
        <v>598</v>
      </c>
      <c r="AL96" s="5">
        <v>144.83000000000001</v>
      </c>
      <c r="AM96" s="9">
        <v>2.5099999999999998</v>
      </c>
      <c r="AN96" s="9">
        <v>4.8600000000000003</v>
      </c>
    </row>
    <row r="97" spans="1:40" x14ac:dyDescent="0.3">
      <c r="A97" s="7">
        <v>45531</v>
      </c>
      <c r="B97" s="5" t="s">
        <v>19</v>
      </c>
      <c r="C97" s="5" t="str">
        <f t="shared" si="1"/>
        <v>45531A</v>
      </c>
      <c r="D97" s="5" t="s">
        <v>60</v>
      </c>
      <c r="E97" s="5">
        <v>16.239999999999998</v>
      </c>
      <c r="F97" s="8">
        <v>21.92</v>
      </c>
      <c r="G97" s="5" t="s">
        <v>599</v>
      </c>
      <c r="H97" s="5">
        <v>17.559999999999999</v>
      </c>
      <c r="I97" s="8">
        <v>9142.1</v>
      </c>
      <c r="J97" s="5" t="s">
        <v>412</v>
      </c>
      <c r="K97" s="5">
        <v>94.86</v>
      </c>
      <c r="L97" s="9">
        <v>21.12</v>
      </c>
      <c r="M97" s="5" t="s">
        <v>273</v>
      </c>
      <c r="N97" s="5">
        <v>8.5</v>
      </c>
      <c r="O97" s="8">
        <v>4.29</v>
      </c>
      <c r="P97" s="8">
        <v>4.29</v>
      </c>
      <c r="Q97" s="5" t="s">
        <v>600</v>
      </c>
      <c r="R97" s="5">
        <v>37.5</v>
      </c>
      <c r="S97" s="9">
        <v>4.1100000000000003</v>
      </c>
      <c r="T97" s="9">
        <v>3.3</v>
      </c>
      <c r="U97" s="5" t="s">
        <v>601</v>
      </c>
      <c r="V97" s="5">
        <v>26.43</v>
      </c>
      <c r="W97" s="9">
        <v>4.54</v>
      </c>
      <c r="X97" s="9">
        <v>0.83</v>
      </c>
      <c r="Y97" s="5" t="s">
        <v>268</v>
      </c>
      <c r="Z97" s="12">
        <v>57.09</v>
      </c>
      <c r="AA97" s="9">
        <v>1.02</v>
      </c>
      <c r="AB97" s="9">
        <v>3.66</v>
      </c>
      <c r="AC97" s="5" t="s">
        <v>602</v>
      </c>
      <c r="AD97" s="11">
        <v>4.29</v>
      </c>
      <c r="AE97" s="9">
        <v>4.37</v>
      </c>
      <c r="AF97" s="8">
        <v>12.59</v>
      </c>
      <c r="AG97" s="5" t="s">
        <v>603</v>
      </c>
      <c r="AH97" s="5">
        <v>3.29</v>
      </c>
      <c r="AI97" s="9">
        <v>4.08</v>
      </c>
      <c r="AJ97" s="9">
        <v>3.23</v>
      </c>
      <c r="AK97" s="5" t="s">
        <v>604</v>
      </c>
      <c r="AL97" s="5">
        <v>131.5</v>
      </c>
      <c r="AM97" s="9">
        <v>8.09</v>
      </c>
      <c r="AN97" s="8">
        <v>13.61</v>
      </c>
    </row>
    <row r="98" spans="1:40" x14ac:dyDescent="0.3">
      <c r="A98" s="7">
        <v>45531</v>
      </c>
      <c r="B98" s="5" t="s">
        <v>20</v>
      </c>
      <c r="C98" s="5" t="str">
        <f t="shared" si="1"/>
        <v>45531B</v>
      </c>
      <c r="D98" s="5" t="s">
        <v>82</v>
      </c>
      <c r="E98" s="5">
        <v>14.24</v>
      </c>
      <c r="F98" s="8">
        <v>7.17</v>
      </c>
      <c r="G98" s="5" t="s">
        <v>605</v>
      </c>
      <c r="H98" s="5">
        <v>17.54</v>
      </c>
      <c r="I98" s="8">
        <v>146.34</v>
      </c>
      <c r="J98" s="5" t="s">
        <v>288</v>
      </c>
      <c r="K98" s="5">
        <v>77.81</v>
      </c>
      <c r="L98" s="8">
        <v>35.409999999999997</v>
      </c>
      <c r="M98" s="5" t="s">
        <v>273</v>
      </c>
      <c r="N98" s="5">
        <v>8.4600000000000009</v>
      </c>
      <c r="O98" s="8">
        <v>3.8</v>
      </c>
      <c r="P98" s="8">
        <v>3.8</v>
      </c>
      <c r="Q98" s="5" t="s">
        <v>419</v>
      </c>
      <c r="R98" s="5">
        <v>37.799999999999997</v>
      </c>
      <c r="S98" s="9">
        <v>3.44</v>
      </c>
      <c r="T98" s="9">
        <v>2.52</v>
      </c>
      <c r="U98" s="5" t="s">
        <v>295</v>
      </c>
      <c r="V98" s="5">
        <v>27.3</v>
      </c>
      <c r="W98" s="8">
        <v>6.55</v>
      </c>
      <c r="X98" s="9">
        <v>4.1500000000000004</v>
      </c>
      <c r="Y98" s="5" t="s">
        <v>606</v>
      </c>
      <c r="Z98" s="10">
        <v>57.78</v>
      </c>
      <c r="AA98" s="9">
        <v>1.42</v>
      </c>
      <c r="AB98" s="9">
        <v>4.92</v>
      </c>
      <c r="AC98" s="5" t="s">
        <v>607</v>
      </c>
      <c r="AD98" s="10">
        <v>4.29</v>
      </c>
      <c r="AE98" s="9">
        <v>3.37</v>
      </c>
      <c r="AF98" s="8">
        <v>12.59</v>
      </c>
      <c r="AG98" s="5" t="s">
        <v>440</v>
      </c>
      <c r="AH98" s="5">
        <v>3.4</v>
      </c>
      <c r="AI98" s="9">
        <v>0.28999999999999998</v>
      </c>
      <c r="AJ98" s="9">
        <v>0</v>
      </c>
      <c r="AK98" s="5" t="s">
        <v>608</v>
      </c>
      <c r="AL98" s="5">
        <v>145.80000000000001</v>
      </c>
      <c r="AM98" s="9">
        <v>3.71</v>
      </c>
      <c r="AN98" s="9">
        <v>4.22</v>
      </c>
    </row>
    <row r="99" spans="1:40" ht="18" x14ac:dyDescent="0.35">
      <c r="A99" s="7">
        <v>45531</v>
      </c>
      <c r="B99" s="5" t="s">
        <v>18</v>
      </c>
      <c r="C99" s="5" t="str">
        <f t="shared" si="1"/>
        <v>45531C</v>
      </c>
      <c r="D99" s="5" t="s">
        <v>83</v>
      </c>
      <c r="E99" s="5">
        <v>13.62</v>
      </c>
      <c r="F99" s="8">
        <v>34.58</v>
      </c>
      <c r="G99" s="5" t="s">
        <v>146</v>
      </c>
      <c r="H99" s="5">
        <v>12.74</v>
      </c>
      <c r="I99" s="8">
        <v>308.33</v>
      </c>
      <c r="J99" s="5" t="s">
        <v>609</v>
      </c>
      <c r="K99" s="5">
        <v>98.94</v>
      </c>
      <c r="L99" s="9">
        <v>16.850000000000001</v>
      </c>
      <c r="M99" s="5" t="s">
        <v>273</v>
      </c>
      <c r="N99" s="5">
        <v>8.23</v>
      </c>
      <c r="O99" s="9">
        <v>0.98</v>
      </c>
      <c r="P99" s="9">
        <v>0.98</v>
      </c>
      <c r="Q99" s="5" t="s">
        <v>610</v>
      </c>
      <c r="R99" s="5">
        <v>38.33</v>
      </c>
      <c r="S99" s="9">
        <v>0.64</v>
      </c>
      <c r="T99" s="9">
        <v>1.1599999999999999</v>
      </c>
      <c r="U99" s="5" t="s">
        <v>611</v>
      </c>
      <c r="V99" s="5">
        <v>26.3</v>
      </c>
      <c r="W99" s="9">
        <v>3.38</v>
      </c>
      <c r="X99" s="9">
        <v>0.34</v>
      </c>
      <c r="Y99" s="5" t="s">
        <v>612</v>
      </c>
      <c r="Z99" s="10">
        <v>57.78</v>
      </c>
      <c r="AA99" s="9">
        <v>0.8</v>
      </c>
      <c r="AB99" s="9">
        <v>4.92</v>
      </c>
      <c r="AC99" s="5" t="s">
        <v>439</v>
      </c>
      <c r="AD99" s="10">
        <v>4.29</v>
      </c>
      <c r="AE99" s="9">
        <v>4.63</v>
      </c>
      <c r="AF99" s="8">
        <v>12.59</v>
      </c>
      <c r="AG99" s="5">
        <v>3.33</v>
      </c>
      <c r="AH99" s="5">
        <v>3.4</v>
      </c>
      <c r="AI99" s="9">
        <v>2.1</v>
      </c>
      <c r="AJ99" s="9">
        <v>0</v>
      </c>
      <c r="AK99" s="5" t="s">
        <v>613</v>
      </c>
      <c r="AL99" s="5">
        <v>143.66999999999999</v>
      </c>
      <c r="AM99" s="9">
        <v>0.4</v>
      </c>
      <c r="AN99" s="9">
        <v>5.62</v>
      </c>
    </row>
    <row r="100" spans="1:40" x14ac:dyDescent="0.3">
      <c r="A100" s="7">
        <v>45532</v>
      </c>
      <c r="B100" s="5" t="s">
        <v>19</v>
      </c>
      <c r="C100" s="5" t="str">
        <f t="shared" si="1"/>
        <v>45532A</v>
      </c>
      <c r="D100" s="5" t="s">
        <v>36</v>
      </c>
      <c r="E100" s="5">
        <v>19.86</v>
      </c>
      <c r="F100" s="8">
        <v>11.73</v>
      </c>
      <c r="G100" s="5" t="s">
        <v>614</v>
      </c>
      <c r="H100" s="5">
        <v>16.98</v>
      </c>
      <c r="I100" s="8">
        <v>1017.1</v>
      </c>
      <c r="J100" s="5" t="s">
        <v>615</v>
      </c>
      <c r="K100" s="5">
        <v>86.71</v>
      </c>
      <c r="L100" s="9">
        <v>20.9</v>
      </c>
      <c r="M100" s="5" t="s">
        <v>247</v>
      </c>
      <c r="N100" s="5">
        <v>8.33</v>
      </c>
      <c r="O100" s="9">
        <v>2.71</v>
      </c>
      <c r="P100" s="9">
        <v>2.2000000000000002</v>
      </c>
      <c r="Q100" s="5" t="s">
        <v>616</v>
      </c>
      <c r="R100" s="5">
        <v>38</v>
      </c>
      <c r="S100" s="9">
        <v>3.57</v>
      </c>
      <c r="T100" s="9">
        <v>2.0099999999999998</v>
      </c>
      <c r="U100" s="5" t="s">
        <v>617</v>
      </c>
      <c r="V100" s="5">
        <v>25.6</v>
      </c>
      <c r="W100" s="9">
        <v>4.6100000000000003</v>
      </c>
      <c r="X100" s="9">
        <v>2.3199999999999998</v>
      </c>
      <c r="Y100" s="5" t="s">
        <v>618</v>
      </c>
      <c r="Z100" s="12">
        <v>56.04</v>
      </c>
      <c r="AA100" s="9">
        <v>2.09</v>
      </c>
      <c r="AB100" s="9">
        <v>1.76</v>
      </c>
      <c r="AC100" s="5" t="s">
        <v>602</v>
      </c>
      <c r="AD100" s="12">
        <v>4.0199999999999996</v>
      </c>
      <c r="AE100" s="9">
        <v>2.1800000000000002</v>
      </c>
      <c r="AF100" s="9">
        <v>5.51</v>
      </c>
      <c r="AG100" s="5" t="s">
        <v>129</v>
      </c>
      <c r="AH100" s="5">
        <v>3.41</v>
      </c>
      <c r="AI100" s="9">
        <v>0.88</v>
      </c>
      <c r="AJ100" s="9">
        <v>0.28999999999999998</v>
      </c>
      <c r="AK100" s="5" t="s">
        <v>619</v>
      </c>
      <c r="AL100" s="5">
        <v>139.33000000000001</v>
      </c>
      <c r="AM100" s="9">
        <v>2.38</v>
      </c>
      <c r="AN100" s="9">
        <v>8.4700000000000006</v>
      </c>
    </row>
    <row r="101" spans="1:40" x14ac:dyDescent="0.3">
      <c r="A101" s="7">
        <v>45532</v>
      </c>
      <c r="B101" s="5" t="s">
        <v>20</v>
      </c>
      <c r="C101" s="5" t="str">
        <f t="shared" si="1"/>
        <v>45532B</v>
      </c>
      <c r="D101" s="5" t="s">
        <v>84</v>
      </c>
      <c r="E101" s="5">
        <v>20.45</v>
      </c>
      <c r="F101" s="8">
        <v>36.06</v>
      </c>
      <c r="G101" s="5" t="s">
        <v>243</v>
      </c>
      <c r="H101" s="5">
        <v>16.53</v>
      </c>
      <c r="I101" s="8">
        <v>368.27</v>
      </c>
      <c r="J101" s="5" t="s">
        <v>620</v>
      </c>
      <c r="K101" s="5">
        <v>92.54</v>
      </c>
      <c r="L101" s="9">
        <v>23.13</v>
      </c>
      <c r="M101" s="5" t="s">
        <v>247</v>
      </c>
      <c r="N101" s="12">
        <v>8.6</v>
      </c>
      <c r="O101" s="8">
        <v>6.04</v>
      </c>
      <c r="P101" s="8">
        <v>5.52</v>
      </c>
      <c r="Q101" s="5" t="s">
        <v>266</v>
      </c>
      <c r="R101" s="5">
        <v>39</v>
      </c>
      <c r="S101" s="9">
        <v>0.69</v>
      </c>
      <c r="T101" s="9">
        <v>0.56000000000000005</v>
      </c>
      <c r="U101" s="5" t="s">
        <v>621</v>
      </c>
      <c r="V101" s="5">
        <v>26.6</v>
      </c>
      <c r="W101" s="9">
        <v>1.75</v>
      </c>
      <c r="X101" s="9">
        <v>1.48</v>
      </c>
      <c r="Y101" s="5" t="s">
        <v>622</v>
      </c>
      <c r="Z101" s="5">
        <v>56.03</v>
      </c>
      <c r="AA101" s="9">
        <v>0.28000000000000003</v>
      </c>
      <c r="AB101" s="9">
        <v>1.74</v>
      </c>
      <c r="AC101" s="5" t="s">
        <v>286</v>
      </c>
      <c r="AD101" s="12">
        <v>4.0199999999999996</v>
      </c>
      <c r="AE101" s="9">
        <v>1.77</v>
      </c>
      <c r="AF101" s="9">
        <v>5.51</v>
      </c>
      <c r="AG101" s="5" t="s">
        <v>623</v>
      </c>
      <c r="AH101" s="10">
        <v>3.52</v>
      </c>
      <c r="AI101" s="9">
        <v>3.83</v>
      </c>
      <c r="AJ101" s="9">
        <v>3.52</v>
      </c>
      <c r="AK101" s="5" t="s">
        <v>624</v>
      </c>
      <c r="AL101" s="5">
        <v>145</v>
      </c>
      <c r="AM101" s="9">
        <v>2.68</v>
      </c>
      <c r="AN101" s="9">
        <v>4.74</v>
      </c>
    </row>
    <row r="102" spans="1:40" x14ac:dyDescent="0.3">
      <c r="A102" s="7">
        <v>45532</v>
      </c>
      <c r="B102" s="5" t="s">
        <v>18</v>
      </c>
      <c r="C102" s="5" t="str">
        <f t="shared" si="1"/>
        <v>45532C</v>
      </c>
      <c r="D102" s="5" t="s">
        <v>61</v>
      </c>
      <c r="E102" s="5">
        <v>14.23</v>
      </c>
      <c r="F102" s="8">
        <v>6.67</v>
      </c>
      <c r="G102" s="5" t="s">
        <v>281</v>
      </c>
      <c r="H102" s="5">
        <v>17.190000000000001</v>
      </c>
      <c r="I102" s="8">
        <v>91.42</v>
      </c>
      <c r="J102" s="5" t="s">
        <v>288</v>
      </c>
      <c r="K102" s="5">
        <v>63.25</v>
      </c>
      <c r="L102" s="8">
        <v>47.5</v>
      </c>
      <c r="M102" s="5" t="s">
        <v>625</v>
      </c>
      <c r="N102" s="10">
        <v>9</v>
      </c>
      <c r="O102" s="8">
        <v>6.5</v>
      </c>
      <c r="P102" s="8">
        <v>10.42</v>
      </c>
      <c r="Q102" s="5" t="s">
        <v>626</v>
      </c>
      <c r="R102" s="5">
        <v>39</v>
      </c>
      <c r="S102" s="9">
        <v>0.77</v>
      </c>
      <c r="T102" s="9">
        <v>0.56000000000000005</v>
      </c>
      <c r="U102" s="5" t="s">
        <v>627</v>
      </c>
      <c r="V102" s="5">
        <v>25.85</v>
      </c>
      <c r="W102" s="9">
        <v>1.33</v>
      </c>
      <c r="X102" s="9">
        <v>1.37</v>
      </c>
      <c r="Y102" s="5" t="s">
        <v>275</v>
      </c>
      <c r="Z102" s="5">
        <v>56.57</v>
      </c>
      <c r="AA102" s="9">
        <v>0.08</v>
      </c>
      <c r="AB102" s="9">
        <v>2.72</v>
      </c>
      <c r="AC102" s="5" t="s">
        <v>628</v>
      </c>
      <c r="AD102" s="5">
        <v>4.0199999999999996</v>
      </c>
      <c r="AE102" s="9">
        <v>2.89</v>
      </c>
      <c r="AF102" s="9">
        <v>5.51</v>
      </c>
      <c r="AG102" s="5" t="s">
        <v>447</v>
      </c>
      <c r="AH102" s="10">
        <v>3.78</v>
      </c>
      <c r="AI102" s="8">
        <v>10.52</v>
      </c>
      <c r="AJ102" s="8">
        <v>11.17</v>
      </c>
      <c r="AK102" s="5" t="s">
        <v>629</v>
      </c>
      <c r="AL102" s="5">
        <v>152</v>
      </c>
      <c r="AM102" s="9">
        <v>3.49</v>
      </c>
      <c r="AN102" s="9">
        <v>0.15</v>
      </c>
    </row>
    <row r="103" spans="1:40" x14ac:dyDescent="0.3">
      <c r="A103" s="7">
        <v>45533</v>
      </c>
      <c r="B103" s="5" t="s">
        <v>19</v>
      </c>
      <c r="C103" s="5" t="str">
        <f t="shared" si="1"/>
        <v>45533A</v>
      </c>
      <c r="D103" s="5" t="s">
        <v>61</v>
      </c>
      <c r="E103" s="5">
        <v>10.5</v>
      </c>
      <c r="F103" s="8">
        <v>21.28</v>
      </c>
      <c r="G103" s="5" t="s">
        <v>281</v>
      </c>
      <c r="H103" s="5">
        <v>17.12</v>
      </c>
      <c r="I103" s="8">
        <v>90.64</v>
      </c>
      <c r="J103" s="5" t="s">
        <v>288</v>
      </c>
      <c r="K103" s="5">
        <v>78.86</v>
      </c>
      <c r="L103" s="8">
        <v>34.54</v>
      </c>
      <c r="M103" s="5" t="s">
        <v>630</v>
      </c>
      <c r="N103" s="12">
        <v>8.6</v>
      </c>
      <c r="O103" s="9">
        <v>1.41</v>
      </c>
      <c r="P103" s="8">
        <v>5.52</v>
      </c>
      <c r="Q103" s="5" t="s">
        <v>631</v>
      </c>
      <c r="R103" s="5">
        <v>38</v>
      </c>
      <c r="S103" s="9">
        <v>4.45</v>
      </c>
      <c r="T103" s="9">
        <v>2.0099999999999998</v>
      </c>
      <c r="U103" s="5" t="s">
        <v>632</v>
      </c>
      <c r="V103" s="5">
        <v>25.4</v>
      </c>
      <c r="W103" s="8">
        <v>5.04</v>
      </c>
      <c r="X103" s="9">
        <v>3.09</v>
      </c>
      <c r="Y103" s="5" t="s">
        <v>457</v>
      </c>
      <c r="Z103" s="10">
        <v>53.19</v>
      </c>
      <c r="AA103" s="9">
        <v>5.45</v>
      </c>
      <c r="AB103" s="9">
        <v>3.41</v>
      </c>
      <c r="AC103" s="10" t="s">
        <v>633</v>
      </c>
      <c r="AD103" s="5">
        <v>4.0199999999999996</v>
      </c>
      <c r="AE103" s="9">
        <v>4.96</v>
      </c>
      <c r="AF103" s="9">
        <v>5.51</v>
      </c>
      <c r="AG103" s="10" t="s">
        <v>634</v>
      </c>
      <c r="AH103" s="5">
        <v>3.36</v>
      </c>
      <c r="AI103" s="9">
        <v>4.54</v>
      </c>
      <c r="AJ103" s="9">
        <v>1.17</v>
      </c>
      <c r="AK103" s="5" t="s">
        <v>525</v>
      </c>
      <c r="AL103" s="5">
        <v>148</v>
      </c>
      <c r="AM103" s="9">
        <v>0.69</v>
      </c>
      <c r="AN103" s="9">
        <v>2.77</v>
      </c>
    </row>
    <row r="104" spans="1:40" x14ac:dyDescent="0.3">
      <c r="A104" s="7">
        <v>45533</v>
      </c>
      <c r="B104" s="5" t="s">
        <v>20</v>
      </c>
      <c r="C104" s="5" t="str">
        <f t="shared" si="1"/>
        <v>45533B</v>
      </c>
      <c r="D104" s="5" t="s">
        <v>60</v>
      </c>
      <c r="E104" s="5">
        <v>12.01</v>
      </c>
      <c r="F104" s="8">
        <v>9.83</v>
      </c>
      <c r="G104" s="5" t="s">
        <v>116</v>
      </c>
      <c r="H104" s="5">
        <v>17.82</v>
      </c>
      <c r="I104" s="5"/>
      <c r="J104" s="5" t="s">
        <v>412</v>
      </c>
      <c r="K104" s="5">
        <v>103.52</v>
      </c>
      <c r="L104" s="9">
        <v>13.92</v>
      </c>
      <c r="M104" s="5" t="s">
        <v>265</v>
      </c>
      <c r="N104" s="5">
        <v>8.1</v>
      </c>
      <c r="O104" s="9">
        <v>1.93</v>
      </c>
      <c r="P104" s="9">
        <v>0.61</v>
      </c>
      <c r="Q104" s="5" t="s">
        <v>508</v>
      </c>
      <c r="R104" s="5">
        <v>36.799999999999997</v>
      </c>
      <c r="S104" s="9">
        <v>3.28</v>
      </c>
      <c r="T104" s="8">
        <v>5.0999999999999996</v>
      </c>
      <c r="U104" s="5" t="s">
        <v>127</v>
      </c>
      <c r="V104" s="5">
        <v>26.96</v>
      </c>
      <c r="W104" s="9">
        <v>0.7</v>
      </c>
      <c r="X104" s="9">
        <v>2.86</v>
      </c>
      <c r="Y104" s="10" t="s">
        <v>635</v>
      </c>
      <c r="Z104" s="10">
        <v>53.19</v>
      </c>
      <c r="AA104" s="9">
        <v>1.18</v>
      </c>
      <c r="AB104" s="9">
        <v>3.41</v>
      </c>
      <c r="AC104" s="5" t="s">
        <v>414</v>
      </c>
      <c r="AD104" s="5">
        <v>4.0199999999999996</v>
      </c>
      <c r="AE104" s="9">
        <v>4.41</v>
      </c>
      <c r="AF104" s="9">
        <v>5.51</v>
      </c>
      <c r="AG104" s="5" t="s">
        <v>623</v>
      </c>
      <c r="AH104" s="5">
        <v>3.29</v>
      </c>
      <c r="AI104" s="9">
        <v>2.94</v>
      </c>
      <c r="AJ104" s="9">
        <v>3.23</v>
      </c>
      <c r="AK104" s="5" t="s">
        <v>636</v>
      </c>
      <c r="AL104" s="5">
        <v>143.6</v>
      </c>
      <c r="AM104" s="9">
        <v>1.69</v>
      </c>
      <c r="AN104" s="9">
        <v>5.66</v>
      </c>
    </row>
    <row r="105" spans="1:40" x14ac:dyDescent="0.3">
      <c r="A105" s="7">
        <v>45533</v>
      </c>
      <c r="B105" s="5" t="s">
        <v>18</v>
      </c>
      <c r="C105" s="5" t="str">
        <f t="shared" si="1"/>
        <v>45533C</v>
      </c>
      <c r="D105" s="5" t="s">
        <v>59</v>
      </c>
      <c r="E105" s="5">
        <v>14.83</v>
      </c>
      <c r="F105" s="8">
        <v>11.67</v>
      </c>
      <c r="G105" s="5" t="s">
        <v>116</v>
      </c>
      <c r="H105" s="5">
        <v>9.58</v>
      </c>
      <c r="I105" s="5"/>
      <c r="J105" s="5" t="s">
        <v>637</v>
      </c>
      <c r="K105" s="5">
        <v>98.92</v>
      </c>
      <c r="L105" s="9">
        <v>6.73</v>
      </c>
      <c r="M105" s="5" t="s">
        <v>185</v>
      </c>
      <c r="N105" s="12">
        <v>7.8</v>
      </c>
      <c r="O105" s="9">
        <v>1.43</v>
      </c>
      <c r="P105" s="8">
        <v>4.29</v>
      </c>
      <c r="Q105" s="5" t="s">
        <v>638</v>
      </c>
      <c r="R105" s="5">
        <v>37.5</v>
      </c>
      <c r="S105" s="9">
        <v>0.6</v>
      </c>
      <c r="T105" s="9">
        <v>3.3</v>
      </c>
      <c r="U105" s="5" t="s">
        <v>639</v>
      </c>
      <c r="V105" s="5">
        <v>26.77</v>
      </c>
      <c r="W105" s="9">
        <v>1.43</v>
      </c>
      <c r="X105" s="9">
        <v>2.13</v>
      </c>
      <c r="Y105" s="10" t="s">
        <v>640</v>
      </c>
      <c r="Z105" s="10">
        <v>53.19</v>
      </c>
      <c r="AA105" s="9">
        <v>1.1100000000000001</v>
      </c>
      <c r="AB105" s="9">
        <v>3.41</v>
      </c>
      <c r="AC105" s="5" t="s">
        <v>174</v>
      </c>
      <c r="AD105" s="5">
        <v>4.0199999999999996</v>
      </c>
      <c r="AE105" s="8">
        <v>8.94</v>
      </c>
      <c r="AF105" s="9">
        <v>5.51</v>
      </c>
      <c r="AG105" s="5" t="s">
        <v>195</v>
      </c>
      <c r="AH105" s="5">
        <v>3.34</v>
      </c>
      <c r="AI105" s="9">
        <v>2.14</v>
      </c>
      <c r="AJ105" s="9">
        <v>1.76</v>
      </c>
      <c r="AK105" s="5" t="s">
        <v>641</v>
      </c>
      <c r="AL105" s="5">
        <v>142.5</v>
      </c>
      <c r="AM105" s="9">
        <v>0.9</v>
      </c>
      <c r="AN105" s="9">
        <v>6.39</v>
      </c>
    </row>
    <row r="106" spans="1:40" x14ac:dyDescent="0.3">
      <c r="A106" s="5" t="s">
        <v>642</v>
      </c>
      <c r="B106" s="5"/>
      <c r="C106" s="5"/>
      <c r="D106" s="5">
        <v>4.21</v>
      </c>
      <c r="E106" s="5"/>
      <c r="F106" s="5"/>
      <c r="G106" s="5">
        <v>5.47</v>
      </c>
      <c r="H106" s="5"/>
      <c r="I106" s="5"/>
      <c r="J106" s="5">
        <v>22.67</v>
      </c>
      <c r="K106" s="5"/>
      <c r="L106" s="5"/>
      <c r="M106" s="5">
        <v>0.3</v>
      </c>
      <c r="N106" s="5"/>
      <c r="O106" s="5"/>
      <c r="P106" s="5"/>
      <c r="Q106" s="5">
        <v>1.23</v>
      </c>
      <c r="R106" s="5"/>
      <c r="S106" s="5"/>
      <c r="T106" s="5"/>
      <c r="U106" s="5">
        <v>1.33</v>
      </c>
      <c r="V106" s="5"/>
      <c r="W106" s="5"/>
      <c r="X106" s="5"/>
      <c r="Y106" s="5">
        <v>0.61</v>
      </c>
      <c r="Z106" s="5"/>
      <c r="AA106" s="5"/>
      <c r="AB106" s="5"/>
      <c r="AC106" s="5">
        <v>0.16</v>
      </c>
      <c r="AD106" s="5"/>
      <c r="AE106" s="5"/>
      <c r="AF106" s="5"/>
      <c r="AG106" s="5">
        <v>0.14000000000000001</v>
      </c>
      <c r="AH106" s="5"/>
      <c r="AI106" s="5"/>
      <c r="AJ106" s="5"/>
      <c r="AK106" s="5">
        <v>5.67</v>
      </c>
      <c r="AL106" s="5"/>
      <c r="AM106" s="5"/>
      <c r="AN106" s="5"/>
    </row>
    <row r="107" spans="1:40" x14ac:dyDescent="0.3">
      <c r="A107" s="5" t="s">
        <v>643</v>
      </c>
      <c r="B107" s="5"/>
      <c r="C107" s="5"/>
      <c r="D107" s="5">
        <v>4.57</v>
      </c>
      <c r="E107" s="5">
        <v>5.98</v>
      </c>
      <c r="F107" s="5"/>
      <c r="G107" s="5">
        <v>2.92</v>
      </c>
      <c r="H107" s="5">
        <v>5.76</v>
      </c>
      <c r="I107" s="5"/>
      <c r="J107" s="5">
        <v>16.39</v>
      </c>
      <c r="K107" s="5">
        <v>12.2</v>
      </c>
      <c r="L107" s="5"/>
      <c r="M107" s="5">
        <v>0.23</v>
      </c>
      <c r="N107" s="5">
        <v>0.33</v>
      </c>
      <c r="O107" s="5"/>
      <c r="P107" s="5"/>
      <c r="Q107" s="5">
        <v>0.57999999999999996</v>
      </c>
      <c r="R107" s="5">
        <v>1.1200000000000001</v>
      </c>
      <c r="S107" s="5"/>
      <c r="T107" s="5"/>
      <c r="U107" s="5">
        <v>0.62</v>
      </c>
      <c r="V107" s="5">
        <v>0.98</v>
      </c>
      <c r="W107" s="5"/>
      <c r="X107" s="5"/>
      <c r="Y107" s="5">
        <v>0.91</v>
      </c>
      <c r="Z107" s="5">
        <v>1.0900000000000001</v>
      </c>
      <c r="AA107" s="5"/>
      <c r="AB107" s="5"/>
      <c r="AC107" s="5">
        <v>0.23</v>
      </c>
      <c r="AD107" s="5">
        <v>0.26</v>
      </c>
      <c r="AE107" s="5"/>
      <c r="AF107" s="5"/>
      <c r="AG107" s="5">
        <v>0.09</v>
      </c>
      <c r="AH107" s="5">
        <v>0.19</v>
      </c>
      <c r="AI107" s="5"/>
      <c r="AJ107" s="5"/>
      <c r="AK107" s="5">
        <v>4.25</v>
      </c>
      <c r="AL107" s="5">
        <v>6.02</v>
      </c>
      <c r="AM107" s="5"/>
      <c r="AN107" s="5"/>
    </row>
  </sheetData>
  <mergeCells count="12">
    <mergeCell ref="A2:A3"/>
    <mergeCell ref="B2:B3"/>
    <mergeCell ref="D2:F2"/>
    <mergeCell ref="G2:I2"/>
    <mergeCell ref="J2:L2"/>
    <mergeCell ref="AG2:AJ2"/>
    <mergeCell ref="AK2:AN2"/>
    <mergeCell ref="M2:P2"/>
    <mergeCell ref="Q2:T2"/>
    <mergeCell ref="U2:X2"/>
    <mergeCell ref="Y2:AB2"/>
    <mergeCell ref="AC2:A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Sheet1</vt:lpstr>
      <vt:lpstr>Sheet5</vt:lpstr>
      <vt:lpstr>Sheet4</vt:lpstr>
      <vt:lpstr>Sheet3</vt:lpstr>
      <vt:lpstr>Sheet2</vt:lpstr>
      <vt:lpstr>fff</vt:lpstr>
      <vt:lpstr>ggg</vt:lpstr>
      <vt:lpstr>kut</vt:lpstr>
      <vt:lpstr>qw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rahul v</cp:lastModifiedBy>
  <dcterms:created xsi:type="dcterms:W3CDTF">2024-09-20T04:33:17Z</dcterms:created>
  <dcterms:modified xsi:type="dcterms:W3CDTF">2024-09-20T06:21:33Z</dcterms:modified>
</cp:coreProperties>
</file>