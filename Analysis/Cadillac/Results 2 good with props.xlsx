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 Area\workspace\sadmix code\Sand mix Final\Analysis\Cadillac\"/>
    </mc:Choice>
  </mc:AlternateContent>
  <xr:revisionPtr revIDLastSave="0" documentId="13_ncr:1_{2A22D4E1-9E8C-4E0B-B483-92D01228A08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definedNames>
    <definedName name="_xlnm._FilterDatabase" localSheetId="0" hidden="1">Sheet1!$A$6:$AV$67</definedName>
    <definedName name="_xlnm._FilterDatabase" localSheetId="1" hidden="1">Sheet4!$A$6:$AT$67</definedName>
    <definedName name="fff">Sheet3!$A$1:$C$48</definedName>
    <definedName name="ggg">Sheet2!$C$7:$AN$69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7" i="1" l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36" i="1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7" i="4"/>
  <c r="F70" i="4"/>
  <c r="AT67" i="4"/>
  <c r="Y67" i="4" s="1"/>
  <c r="AO67" i="4"/>
  <c r="AN67" i="4"/>
  <c r="AM67" i="4"/>
  <c r="AL67" i="4"/>
  <c r="AK67" i="4"/>
  <c r="AJ67" i="4"/>
  <c r="AI67" i="4"/>
  <c r="AH67" i="4"/>
  <c r="AG67" i="4"/>
  <c r="AT66" i="4"/>
  <c r="AB66" i="4" s="1"/>
  <c r="AO66" i="4"/>
  <c r="AN66" i="4"/>
  <c r="AM66" i="4"/>
  <c r="AL66" i="4"/>
  <c r="AK66" i="4"/>
  <c r="AJ66" i="4"/>
  <c r="AI66" i="4"/>
  <c r="AH66" i="4"/>
  <c r="AG66" i="4"/>
  <c r="AC66" i="4"/>
  <c r="AT65" i="4"/>
  <c r="AC65" i="4" s="1"/>
  <c r="AO65" i="4"/>
  <c r="AN65" i="4"/>
  <c r="AM65" i="4"/>
  <c r="AL65" i="4"/>
  <c r="AK65" i="4"/>
  <c r="AJ65" i="4"/>
  <c r="AI65" i="4"/>
  <c r="AH65" i="4"/>
  <c r="AG65" i="4"/>
  <c r="AT64" i="4"/>
  <c r="AA64" i="4" s="1"/>
  <c r="AO64" i="4"/>
  <c r="AN64" i="4"/>
  <c r="AM64" i="4"/>
  <c r="AL64" i="4"/>
  <c r="AK64" i="4"/>
  <c r="AJ64" i="4"/>
  <c r="AI64" i="4"/>
  <c r="AH64" i="4"/>
  <c r="AG64" i="4"/>
  <c r="AC64" i="4"/>
  <c r="Z64" i="4"/>
  <c r="AT63" i="4"/>
  <c r="X63" i="4" s="1"/>
  <c r="AO63" i="4"/>
  <c r="AN63" i="4"/>
  <c r="AM63" i="4"/>
  <c r="AL63" i="4"/>
  <c r="AK63" i="4"/>
  <c r="AJ63" i="4"/>
  <c r="AI63" i="4"/>
  <c r="AH63" i="4"/>
  <c r="AG63" i="4"/>
  <c r="AT62" i="4"/>
  <c r="Z62" i="4" s="1"/>
  <c r="AO62" i="4"/>
  <c r="AN62" i="4"/>
  <c r="AM62" i="4"/>
  <c r="AL62" i="4"/>
  <c r="AK62" i="4"/>
  <c r="AJ62" i="4"/>
  <c r="AI62" i="4"/>
  <c r="AH62" i="4"/>
  <c r="AG62" i="4"/>
  <c r="AT61" i="4"/>
  <c r="AB61" i="4" s="1"/>
  <c r="AO61" i="4"/>
  <c r="AN61" i="4"/>
  <c r="AM61" i="4"/>
  <c r="AL61" i="4"/>
  <c r="AK61" i="4"/>
  <c r="AJ61" i="4"/>
  <c r="AI61" i="4"/>
  <c r="AH61" i="4"/>
  <c r="AG61" i="4"/>
  <c r="Z61" i="4"/>
  <c r="Y61" i="4"/>
  <c r="AT60" i="4"/>
  <c r="AC60" i="4" s="1"/>
  <c r="AO60" i="4"/>
  <c r="AN60" i="4"/>
  <c r="AM60" i="4"/>
  <c r="AL60" i="4"/>
  <c r="AK60" i="4"/>
  <c r="AJ60" i="4"/>
  <c r="AI60" i="4"/>
  <c r="AH60" i="4"/>
  <c r="AG60" i="4"/>
  <c r="AT59" i="4"/>
  <c r="AC59" i="4" s="1"/>
  <c r="AO59" i="4"/>
  <c r="AN59" i="4"/>
  <c r="AM59" i="4"/>
  <c r="AL59" i="4"/>
  <c r="AK59" i="4"/>
  <c r="AJ59" i="4"/>
  <c r="AI59" i="4"/>
  <c r="AH59" i="4"/>
  <c r="AG59" i="4"/>
  <c r="AT58" i="4"/>
  <c r="X58" i="4" s="1"/>
  <c r="AO58" i="4"/>
  <c r="AN58" i="4"/>
  <c r="AM58" i="4"/>
  <c r="AL58" i="4"/>
  <c r="AK58" i="4"/>
  <c r="AJ58" i="4"/>
  <c r="AI58" i="4"/>
  <c r="AH58" i="4"/>
  <c r="AG58" i="4"/>
  <c r="AT57" i="4"/>
  <c r="Z57" i="4" s="1"/>
  <c r="AO57" i="4"/>
  <c r="AN57" i="4"/>
  <c r="AM57" i="4"/>
  <c r="AL57" i="4"/>
  <c r="AK57" i="4"/>
  <c r="AJ57" i="4"/>
  <c r="AI57" i="4"/>
  <c r="AH57" i="4"/>
  <c r="AG57" i="4"/>
  <c r="AT56" i="4"/>
  <c r="AB56" i="4" s="1"/>
  <c r="AO56" i="4"/>
  <c r="AN56" i="4"/>
  <c r="AM56" i="4"/>
  <c r="AL56" i="4"/>
  <c r="AK56" i="4"/>
  <c r="AJ56" i="4"/>
  <c r="AI56" i="4"/>
  <c r="AH56" i="4"/>
  <c r="AG56" i="4"/>
  <c r="AT55" i="4"/>
  <c r="AC55" i="4" s="1"/>
  <c r="AO55" i="4"/>
  <c r="AN55" i="4"/>
  <c r="AM55" i="4"/>
  <c r="AL55" i="4"/>
  <c r="AK55" i="4"/>
  <c r="AJ55" i="4"/>
  <c r="AI55" i="4"/>
  <c r="AH55" i="4"/>
  <c r="AG55" i="4"/>
  <c r="AT54" i="4"/>
  <c r="U54" i="4" s="1"/>
  <c r="AO54" i="4"/>
  <c r="AN54" i="4"/>
  <c r="AM54" i="4"/>
  <c r="AL54" i="4"/>
  <c r="AK54" i="4"/>
  <c r="AJ54" i="4"/>
  <c r="AI54" i="4"/>
  <c r="AH54" i="4"/>
  <c r="AG54" i="4"/>
  <c r="AC54" i="4"/>
  <c r="Y54" i="4"/>
  <c r="X54" i="4"/>
  <c r="AT53" i="4"/>
  <c r="X53" i="4" s="1"/>
  <c r="AO53" i="4"/>
  <c r="AN53" i="4"/>
  <c r="AM53" i="4"/>
  <c r="AL53" i="4"/>
  <c r="AK53" i="4"/>
  <c r="AJ53" i="4"/>
  <c r="AI53" i="4"/>
  <c r="AH53" i="4"/>
  <c r="AG53" i="4"/>
  <c r="AT52" i="4"/>
  <c r="Z52" i="4" s="1"/>
  <c r="AO52" i="4"/>
  <c r="AN52" i="4"/>
  <c r="AM52" i="4"/>
  <c r="AL52" i="4"/>
  <c r="AK52" i="4"/>
  <c r="AJ52" i="4"/>
  <c r="AI52" i="4"/>
  <c r="AH52" i="4"/>
  <c r="AG52" i="4"/>
  <c r="AT51" i="4"/>
  <c r="AB51" i="4" s="1"/>
  <c r="AO51" i="4"/>
  <c r="AN51" i="4"/>
  <c r="AM51" i="4"/>
  <c r="AL51" i="4"/>
  <c r="AK51" i="4"/>
  <c r="AJ51" i="4"/>
  <c r="AI51" i="4"/>
  <c r="AH51" i="4"/>
  <c r="AG51" i="4"/>
  <c r="U51" i="4"/>
  <c r="AT50" i="4"/>
  <c r="AC50" i="4" s="1"/>
  <c r="AO50" i="4"/>
  <c r="AN50" i="4"/>
  <c r="AM50" i="4"/>
  <c r="AL50" i="4"/>
  <c r="AK50" i="4"/>
  <c r="AJ50" i="4"/>
  <c r="AI50" i="4"/>
  <c r="AH50" i="4"/>
  <c r="AG50" i="4"/>
  <c r="AT49" i="4"/>
  <c r="AA49" i="4" s="1"/>
  <c r="AO49" i="4"/>
  <c r="AN49" i="4"/>
  <c r="AM49" i="4"/>
  <c r="AL49" i="4"/>
  <c r="AK49" i="4"/>
  <c r="AJ49" i="4"/>
  <c r="AI49" i="4"/>
  <c r="AH49" i="4"/>
  <c r="AG49" i="4"/>
  <c r="AC49" i="4"/>
  <c r="Y49" i="4"/>
  <c r="U49" i="4"/>
  <c r="AT48" i="4"/>
  <c r="X48" i="4" s="1"/>
  <c r="AO48" i="4"/>
  <c r="AN48" i="4"/>
  <c r="AM48" i="4"/>
  <c r="AL48" i="4"/>
  <c r="AK48" i="4"/>
  <c r="AJ48" i="4"/>
  <c r="AI48" i="4"/>
  <c r="AH48" i="4"/>
  <c r="AG48" i="4"/>
  <c r="AT47" i="4"/>
  <c r="Z47" i="4" s="1"/>
  <c r="AO47" i="4"/>
  <c r="AN47" i="4"/>
  <c r="AM47" i="4"/>
  <c r="AL47" i="4"/>
  <c r="AK47" i="4"/>
  <c r="AJ47" i="4"/>
  <c r="AI47" i="4"/>
  <c r="AH47" i="4"/>
  <c r="AG47" i="4"/>
  <c r="AB47" i="4"/>
  <c r="AT46" i="4"/>
  <c r="AB46" i="4" s="1"/>
  <c r="AO46" i="4"/>
  <c r="AN46" i="4"/>
  <c r="AM46" i="4"/>
  <c r="AL46" i="4"/>
  <c r="AK46" i="4"/>
  <c r="AJ46" i="4"/>
  <c r="AI46" i="4"/>
  <c r="AH46" i="4"/>
  <c r="AG46" i="4"/>
  <c r="AT45" i="4"/>
  <c r="AC45" i="4" s="1"/>
  <c r="AO45" i="4"/>
  <c r="AN45" i="4"/>
  <c r="AM45" i="4"/>
  <c r="AL45" i="4"/>
  <c r="AK45" i="4"/>
  <c r="AJ45" i="4"/>
  <c r="AI45" i="4"/>
  <c r="AH45" i="4"/>
  <c r="AG45" i="4"/>
  <c r="AT44" i="4"/>
  <c r="U44" i="4" s="1"/>
  <c r="AO44" i="4"/>
  <c r="AN44" i="4"/>
  <c r="AM44" i="4"/>
  <c r="AL44" i="4"/>
  <c r="AK44" i="4"/>
  <c r="AJ44" i="4"/>
  <c r="AI44" i="4"/>
  <c r="AH44" i="4"/>
  <c r="AG44" i="4"/>
  <c r="AT43" i="4"/>
  <c r="X43" i="4" s="1"/>
  <c r="AO43" i="4"/>
  <c r="AN43" i="4"/>
  <c r="AM43" i="4"/>
  <c r="AL43" i="4"/>
  <c r="AK43" i="4"/>
  <c r="AJ43" i="4"/>
  <c r="AI43" i="4"/>
  <c r="AH43" i="4"/>
  <c r="AG43" i="4"/>
  <c r="AT42" i="4"/>
  <c r="Z42" i="4" s="1"/>
  <c r="AO42" i="4"/>
  <c r="AN42" i="4"/>
  <c r="AM42" i="4"/>
  <c r="AL42" i="4"/>
  <c r="AK42" i="4"/>
  <c r="AJ42" i="4"/>
  <c r="AI42" i="4"/>
  <c r="AH42" i="4"/>
  <c r="AG42" i="4"/>
  <c r="U42" i="4"/>
  <c r="AT41" i="4"/>
  <c r="AB41" i="4" s="1"/>
  <c r="AO41" i="4"/>
  <c r="AN41" i="4"/>
  <c r="AM41" i="4"/>
  <c r="AL41" i="4"/>
  <c r="AK41" i="4"/>
  <c r="AJ41" i="4"/>
  <c r="AI41" i="4"/>
  <c r="AH41" i="4"/>
  <c r="AG41" i="4"/>
  <c r="AT40" i="4"/>
  <c r="AC40" i="4" s="1"/>
  <c r="AO40" i="4"/>
  <c r="AN40" i="4"/>
  <c r="AM40" i="4"/>
  <c r="AL40" i="4"/>
  <c r="AK40" i="4"/>
  <c r="AJ40" i="4"/>
  <c r="AI40" i="4"/>
  <c r="AH40" i="4"/>
  <c r="AG40" i="4"/>
  <c r="AT39" i="4"/>
  <c r="AB39" i="4" s="1"/>
  <c r="AO39" i="4"/>
  <c r="AN39" i="4"/>
  <c r="AM39" i="4"/>
  <c r="AL39" i="4"/>
  <c r="AK39" i="4"/>
  <c r="AJ39" i="4"/>
  <c r="AI39" i="4"/>
  <c r="AH39" i="4"/>
  <c r="AG39" i="4"/>
  <c r="AT38" i="4"/>
  <c r="X38" i="4" s="1"/>
  <c r="AO38" i="4"/>
  <c r="AN38" i="4"/>
  <c r="AM38" i="4"/>
  <c r="AL38" i="4"/>
  <c r="AK38" i="4"/>
  <c r="AJ38" i="4"/>
  <c r="AI38" i="4"/>
  <c r="AH38" i="4"/>
  <c r="AG38" i="4"/>
  <c r="AT37" i="4"/>
  <c r="Z37" i="4" s="1"/>
  <c r="AO37" i="4"/>
  <c r="AN37" i="4"/>
  <c r="AM37" i="4"/>
  <c r="AL37" i="4"/>
  <c r="AK37" i="4"/>
  <c r="AJ37" i="4"/>
  <c r="AI37" i="4"/>
  <c r="AH37" i="4"/>
  <c r="AG37" i="4"/>
  <c r="AT36" i="4"/>
  <c r="AB36" i="4" s="1"/>
  <c r="AO36" i="4"/>
  <c r="AN36" i="4"/>
  <c r="AM36" i="4"/>
  <c r="AL36" i="4"/>
  <c r="AK36" i="4"/>
  <c r="AJ36" i="4"/>
  <c r="AI36" i="4"/>
  <c r="AH36" i="4"/>
  <c r="AG36" i="4"/>
  <c r="AT35" i="4"/>
  <c r="AC35" i="4" s="1"/>
  <c r="AO35" i="4"/>
  <c r="AN35" i="4"/>
  <c r="AM35" i="4"/>
  <c r="AL35" i="4"/>
  <c r="AK35" i="4"/>
  <c r="AJ35" i="4"/>
  <c r="AI35" i="4"/>
  <c r="AH35" i="4"/>
  <c r="AG35" i="4"/>
  <c r="AT34" i="4"/>
  <c r="AB34" i="4" s="1"/>
  <c r="AO34" i="4"/>
  <c r="AN34" i="4"/>
  <c r="AM34" i="4"/>
  <c r="AL34" i="4"/>
  <c r="AK34" i="4"/>
  <c r="AJ34" i="4"/>
  <c r="AI34" i="4"/>
  <c r="AH34" i="4"/>
  <c r="AG34" i="4"/>
  <c r="AA34" i="4"/>
  <c r="Z34" i="4"/>
  <c r="AT33" i="4"/>
  <c r="X33" i="4" s="1"/>
  <c r="AO33" i="4"/>
  <c r="AN33" i="4"/>
  <c r="AM33" i="4"/>
  <c r="AL33" i="4"/>
  <c r="AK33" i="4"/>
  <c r="AJ33" i="4"/>
  <c r="AI33" i="4"/>
  <c r="AH33" i="4"/>
  <c r="AG33" i="4"/>
  <c r="AT32" i="4"/>
  <c r="Z32" i="4" s="1"/>
  <c r="AO32" i="4"/>
  <c r="AN32" i="4"/>
  <c r="AM32" i="4"/>
  <c r="AL32" i="4"/>
  <c r="AK32" i="4"/>
  <c r="AJ32" i="4"/>
  <c r="AI32" i="4"/>
  <c r="AH32" i="4"/>
  <c r="AG32" i="4"/>
  <c r="AT31" i="4"/>
  <c r="AB31" i="4" s="1"/>
  <c r="AO31" i="4"/>
  <c r="AN31" i="4"/>
  <c r="AM31" i="4"/>
  <c r="AL31" i="4"/>
  <c r="AK31" i="4"/>
  <c r="AJ31" i="4"/>
  <c r="AI31" i="4"/>
  <c r="AH31" i="4"/>
  <c r="AG31" i="4"/>
  <c r="AT30" i="4"/>
  <c r="U30" i="4" s="1"/>
  <c r="AO30" i="4"/>
  <c r="AN30" i="4"/>
  <c r="AM30" i="4"/>
  <c r="AL30" i="4"/>
  <c r="AK30" i="4"/>
  <c r="AJ30" i="4"/>
  <c r="AI30" i="4"/>
  <c r="AH30" i="4"/>
  <c r="AG30" i="4"/>
  <c r="AT29" i="4"/>
  <c r="AC29" i="4" s="1"/>
  <c r="AO29" i="4"/>
  <c r="AN29" i="4"/>
  <c r="AM29" i="4"/>
  <c r="AL29" i="4"/>
  <c r="AK29" i="4"/>
  <c r="AJ29" i="4"/>
  <c r="AI29" i="4"/>
  <c r="AH29" i="4"/>
  <c r="AG29" i="4"/>
  <c r="AT28" i="4"/>
  <c r="X28" i="4" s="1"/>
  <c r="AO28" i="4"/>
  <c r="AN28" i="4"/>
  <c r="AM28" i="4"/>
  <c r="AL28" i="4"/>
  <c r="AK28" i="4"/>
  <c r="AJ28" i="4"/>
  <c r="AI28" i="4"/>
  <c r="AH28" i="4"/>
  <c r="AG28" i="4"/>
  <c r="AA28" i="4"/>
  <c r="AT27" i="4"/>
  <c r="Z27" i="4" s="1"/>
  <c r="AO27" i="4"/>
  <c r="AN27" i="4"/>
  <c r="AM27" i="4"/>
  <c r="AL27" i="4"/>
  <c r="AK27" i="4"/>
  <c r="AJ27" i="4"/>
  <c r="AI27" i="4"/>
  <c r="AH27" i="4"/>
  <c r="AG27" i="4"/>
  <c r="AT26" i="4"/>
  <c r="AB26" i="4" s="1"/>
  <c r="AO26" i="4"/>
  <c r="AN26" i="4"/>
  <c r="AM26" i="4"/>
  <c r="AL26" i="4"/>
  <c r="AK26" i="4"/>
  <c r="AJ26" i="4"/>
  <c r="AI26" i="4"/>
  <c r="AH26" i="4"/>
  <c r="AG26" i="4"/>
  <c r="AT25" i="4"/>
  <c r="AC25" i="4" s="1"/>
  <c r="AO25" i="4"/>
  <c r="AN25" i="4"/>
  <c r="AM25" i="4"/>
  <c r="AL25" i="4"/>
  <c r="AK25" i="4"/>
  <c r="AJ25" i="4"/>
  <c r="AI25" i="4"/>
  <c r="AH25" i="4"/>
  <c r="AG25" i="4"/>
  <c r="AT24" i="4"/>
  <c r="U24" i="4" s="1"/>
  <c r="AO24" i="4"/>
  <c r="AN24" i="4"/>
  <c r="AM24" i="4"/>
  <c r="AL24" i="4"/>
  <c r="AK24" i="4"/>
  <c r="AJ24" i="4"/>
  <c r="AI24" i="4"/>
  <c r="AH24" i="4"/>
  <c r="AG24" i="4"/>
  <c r="AT23" i="4"/>
  <c r="X23" i="4" s="1"/>
  <c r="AO23" i="4"/>
  <c r="AN23" i="4"/>
  <c r="AM23" i="4"/>
  <c r="AL23" i="4"/>
  <c r="AK23" i="4"/>
  <c r="AJ23" i="4"/>
  <c r="AI23" i="4"/>
  <c r="AH23" i="4"/>
  <c r="AG23" i="4"/>
  <c r="AT22" i="4"/>
  <c r="Z22" i="4" s="1"/>
  <c r="AO22" i="4"/>
  <c r="AN22" i="4"/>
  <c r="AM22" i="4"/>
  <c r="AL22" i="4"/>
  <c r="AK22" i="4"/>
  <c r="AJ22" i="4"/>
  <c r="AI22" i="4"/>
  <c r="AH22" i="4"/>
  <c r="AG22" i="4"/>
  <c r="AT21" i="4"/>
  <c r="AB21" i="4" s="1"/>
  <c r="AO21" i="4"/>
  <c r="AN21" i="4"/>
  <c r="AM21" i="4"/>
  <c r="AL21" i="4"/>
  <c r="AK21" i="4"/>
  <c r="AJ21" i="4"/>
  <c r="AI21" i="4"/>
  <c r="AH21" i="4"/>
  <c r="AG21" i="4"/>
  <c r="AT20" i="4"/>
  <c r="AB20" i="4" s="1"/>
  <c r="AO20" i="4"/>
  <c r="AN20" i="4"/>
  <c r="AM20" i="4"/>
  <c r="AL20" i="4"/>
  <c r="AK20" i="4"/>
  <c r="AJ20" i="4"/>
  <c r="AI20" i="4"/>
  <c r="AH20" i="4"/>
  <c r="AG20" i="4"/>
  <c r="AT19" i="4"/>
  <c r="U19" i="4" s="1"/>
  <c r="AO19" i="4"/>
  <c r="AN19" i="4"/>
  <c r="AM19" i="4"/>
  <c r="AL19" i="4"/>
  <c r="AK19" i="4"/>
  <c r="AJ19" i="4"/>
  <c r="AI19" i="4"/>
  <c r="AH19" i="4"/>
  <c r="AG19" i="4"/>
  <c r="AT18" i="4"/>
  <c r="X18" i="4" s="1"/>
  <c r="AO18" i="4"/>
  <c r="AN18" i="4"/>
  <c r="AM18" i="4"/>
  <c r="AL18" i="4"/>
  <c r="AK18" i="4"/>
  <c r="AJ18" i="4"/>
  <c r="AI18" i="4"/>
  <c r="AH18" i="4"/>
  <c r="AG18" i="4"/>
  <c r="AC18" i="4"/>
  <c r="AB18" i="4"/>
  <c r="AT17" i="4"/>
  <c r="Z17" i="4" s="1"/>
  <c r="AO17" i="4"/>
  <c r="AN17" i="4"/>
  <c r="AM17" i="4"/>
  <c r="AL17" i="4"/>
  <c r="AK17" i="4"/>
  <c r="AJ17" i="4"/>
  <c r="AI17" i="4"/>
  <c r="AH17" i="4"/>
  <c r="AG17" i="4"/>
  <c r="AA17" i="4"/>
  <c r="AT16" i="4"/>
  <c r="AB16" i="4" s="1"/>
  <c r="AO16" i="4"/>
  <c r="AN16" i="4"/>
  <c r="AM16" i="4"/>
  <c r="AL16" i="4"/>
  <c r="AK16" i="4"/>
  <c r="AJ16" i="4"/>
  <c r="AI16" i="4"/>
  <c r="AH16" i="4"/>
  <c r="AG16" i="4"/>
  <c r="AT15" i="4"/>
  <c r="AC15" i="4" s="1"/>
  <c r="AO15" i="4"/>
  <c r="AN15" i="4"/>
  <c r="AM15" i="4"/>
  <c r="AL15" i="4"/>
  <c r="AK15" i="4"/>
  <c r="AJ15" i="4"/>
  <c r="AI15" i="4"/>
  <c r="AH15" i="4"/>
  <c r="AG15" i="4"/>
  <c r="AT14" i="4"/>
  <c r="U14" i="4" s="1"/>
  <c r="AO14" i="4"/>
  <c r="AN14" i="4"/>
  <c r="AM14" i="4"/>
  <c r="AL14" i="4"/>
  <c r="AK14" i="4"/>
  <c r="AJ14" i="4"/>
  <c r="AI14" i="4"/>
  <c r="AH14" i="4"/>
  <c r="AG14" i="4"/>
  <c r="AT13" i="4"/>
  <c r="X13" i="4" s="1"/>
  <c r="AO13" i="4"/>
  <c r="AN13" i="4"/>
  <c r="AM13" i="4"/>
  <c r="AL13" i="4"/>
  <c r="AK13" i="4"/>
  <c r="AJ13" i="4"/>
  <c r="AI13" i="4"/>
  <c r="AH13" i="4"/>
  <c r="AG13" i="4"/>
  <c r="AT12" i="4"/>
  <c r="Z12" i="4" s="1"/>
  <c r="AO12" i="4"/>
  <c r="AN12" i="4"/>
  <c r="AM12" i="4"/>
  <c r="AL12" i="4"/>
  <c r="AK12" i="4"/>
  <c r="AJ12" i="4"/>
  <c r="AI12" i="4"/>
  <c r="AH12" i="4"/>
  <c r="AG12" i="4"/>
  <c r="AT11" i="4"/>
  <c r="AB11" i="4" s="1"/>
  <c r="AO11" i="4"/>
  <c r="AN11" i="4"/>
  <c r="AM11" i="4"/>
  <c r="AL11" i="4"/>
  <c r="AK11" i="4"/>
  <c r="AJ11" i="4"/>
  <c r="AI11" i="4"/>
  <c r="AH11" i="4"/>
  <c r="AG11" i="4"/>
  <c r="AT10" i="4"/>
  <c r="AB10" i="4" s="1"/>
  <c r="AO10" i="4"/>
  <c r="AN10" i="4"/>
  <c r="AM10" i="4"/>
  <c r="AL10" i="4"/>
  <c r="AK10" i="4"/>
  <c r="AJ10" i="4"/>
  <c r="AI10" i="4"/>
  <c r="AH10" i="4"/>
  <c r="AG10" i="4"/>
  <c r="AT9" i="4"/>
  <c r="U9" i="4" s="1"/>
  <c r="AO9" i="4"/>
  <c r="AN9" i="4"/>
  <c r="AM9" i="4"/>
  <c r="AL9" i="4"/>
  <c r="AK9" i="4"/>
  <c r="AJ9" i="4"/>
  <c r="AI9" i="4"/>
  <c r="AH9" i="4"/>
  <c r="AG9" i="4"/>
  <c r="AB9" i="4"/>
  <c r="AT8" i="4"/>
  <c r="X8" i="4" s="1"/>
  <c r="AO8" i="4"/>
  <c r="AN8" i="4"/>
  <c r="AM8" i="4"/>
  <c r="AL8" i="4"/>
  <c r="AK8" i="4"/>
  <c r="AJ8" i="4"/>
  <c r="AI8" i="4"/>
  <c r="AH8" i="4"/>
  <c r="AG8" i="4"/>
  <c r="AT7" i="4"/>
  <c r="Z7" i="4" s="1"/>
  <c r="AO7" i="4"/>
  <c r="AN7" i="4"/>
  <c r="AM7" i="4"/>
  <c r="AL7" i="4"/>
  <c r="AK7" i="4"/>
  <c r="AJ7" i="4"/>
  <c r="AI7" i="4"/>
  <c r="AH7" i="4"/>
  <c r="AG7" i="4"/>
  <c r="J3" i="1"/>
  <c r="F70" i="1"/>
  <c r="AV67" i="1"/>
  <c r="AA67" i="1" s="1"/>
  <c r="AQ67" i="1"/>
  <c r="AP67" i="1"/>
  <c r="AO67" i="1"/>
  <c r="AN67" i="1"/>
  <c r="AM67" i="1"/>
  <c r="AL67" i="1"/>
  <c r="AK67" i="1"/>
  <c r="AJ67" i="1"/>
  <c r="AI67" i="1"/>
  <c r="AV66" i="1"/>
  <c r="AQ66" i="1"/>
  <c r="AP66" i="1"/>
  <c r="AO66" i="1"/>
  <c r="AN66" i="1"/>
  <c r="AM66" i="1"/>
  <c r="AL66" i="1"/>
  <c r="AK66" i="1"/>
  <c r="AJ66" i="1"/>
  <c r="AI66" i="1"/>
  <c r="AV65" i="1"/>
  <c r="AE65" i="1" s="1"/>
  <c r="AQ65" i="1"/>
  <c r="AP65" i="1"/>
  <c r="AO65" i="1"/>
  <c r="AN65" i="1"/>
  <c r="AM65" i="1"/>
  <c r="AL65" i="1"/>
  <c r="AK65" i="1"/>
  <c r="AJ65" i="1"/>
  <c r="AI65" i="1"/>
  <c r="AV64" i="1"/>
  <c r="AD64" i="1" s="1"/>
  <c r="AQ64" i="1"/>
  <c r="AP64" i="1"/>
  <c r="AO64" i="1"/>
  <c r="AN64" i="1"/>
  <c r="AM64" i="1"/>
  <c r="AL64" i="1"/>
  <c r="AK64" i="1"/>
  <c r="AJ64" i="1"/>
  <c r="AI64" i="1"/>
  <c r="AV63" i="1"/>
  <c r="AE63" i="1" s="1"/>
  <c r="AQ63" i="1"/>
  <c r="AP63" i="1"/>
  <c r="AO63" i="1"/>
  <c r="AN63" i="1"/>
  <c r="AM63" i="1"/>
  <c r="AL63" i="1"/>
  <c r="AK63" i="1"/>
  <c r="AJ63" i="1"/>
  <c r="AI63" i="1"/>
  <c r="AV62" i="1"/>
  <c r="AE62" i="1" s="1"/>
  <c r="AQ62" i="1"/>
  <c r="AP62" i="1"/>
  <c r="AO62" i="1"/>
  <c r="AN62" i="1"/>
  <c r="AM62" i="1"/>
  <c r="AL62" i="1"/>
  <c r="AK62" i="1"/>
  <c r="AJ62" i="1"/>
  <c r="AI62" i="1"/>
  <c r="AV61" i="1"/>
  <c r="AD61" i="1" s="1"/>
  <c r="AQ61" i="1"/>
  <c r="AP61" i="1"/>
  <c r="AO61" i="1"/>
  <c r="AN61" i="1"/>
  <c r="AM61" i="1"/>
  <c r="AL61" i="1"/>
  <c r="AK61" i="1"/>
  <c r="AJ61" i="1"/>
  <c r="AI61" i="1"/>
  <c r="AV60" i="1"/>
  <c r="AD60" i="1" s="1"/>
  <c r="AQ60" i="1"/>
  <c r="AP60" i="1"/>
  <c r="AO60" i="1"/>
  <c r="AN60" i="1"/>
  <c r="AM60" i="1"/>
  <c r="AL60" i="1"/>
  <c r="AK60" i="1"/>
  <c r="AJ60" i="1"/>
  <c r="AI60" i="1"/>
  <c r="AV59" i="1"/>
  <c r="W59" i="1" s="1"/>
  <c r="AQ59" i="1"/>
  <c r="AP59" i="1"/>
  <c r="AO59" i="1"/>
  <c r="AN59" i="1"/>
  <c r="AM59" i="1"/>
  <c r="AL59" i="1"/>
  <c r="AK59" i="1"/>
  <c r="AJ59" i="1"/>
  <c r="AI59" i="1"/>
  <c r="AV58" i="1"/>
  <c r="AD58" i="1" s="1"/>
  <c r="AQ58" i="1"/>
  <c r="AP58" i="1"/>
  <c r="AO58" i="1"/>
  <c r="AN58" i="1"/>
  <c r="AM58" i="1"/>
  <c r="AL58" i="1"/>
  <c r="AK58" i="1"/>
  <c r="AJ58" i="1"/>
  <c r="AI58" i="1"/>
  <c r="AV57" i="1"/>
  <c r="AA57" i="1" s="1"/>
  <c r="AQ57" i="1"/>
  <c r="AP57" i="1"/>
  <c r="AO57" i="1"/>
  <c r="AN57" i="1"/>
  <c r="AM57" i="1"/>
  <c r="AL57" i="1"/>
  <c r="AK57" i="1"/>
  <c r="AJ57" i="1"/>
  <c r="AI57" i="1"/>
  <c r="AV56" i="1"/>
  <c r="AQ56" i="1"/>
  <c r="AP56" i="1"/>
  <c r="AO56" i="1"/>
  <c r="AN56" i="1"/>
  <c r="AM56" i="1"/>
  <c r="AL56" i="1"/>
  <c r="AK56" i="1"/>
  <c r="AJ56" i="1"/>
  <c r="AI56" i="1"/>
  <c r="AV55" i="1"/>
  <c r="AD55" i="1" s="1"/>
  <c r="AQ55" i="1"/>
  <c r="AP55" i="1"/>
  <c r="AO55" i="1"/>
  <c r="AN55" i="1"/>
  <c r="AM55" i="1"/>
  <c r="AL55" i="1"/>
  <c r="AK55" i="1"/>
  <c r="AJ55" i="1"/>
  <c r="AI55" i="1"/>
  <c r="AV54" i="1"/>
  <c r="AE54" i="1" s="1"/>
  <c r="AQ54" i="1"/>
  <c r="AP54" i="1"/>
  <c r="AO54" i="1"/>
  <c r="AN54" i="1"/>
  <c r="AM54" i="1"/>
  <c r="AL54" i="1"/>
  <c r="AK54" i="1"/>
  <c r="AJ54" i="1"/>
  <c r="AI54" i="1"/>
  <c r="AV53" i="1"/>
  <c r="AD53" i="1" s="1"/>
  <c r="AQ53" i="1"/>
  <c r="AP53" i="1"/>
  <c r="AO53" i="1"/>
  <c r="AN53" i="1"/>
  <c r="AM53" i="1"/>
  <c r="AL53" i="1"/>
  <c r="AK53" i="1"/>
  <c r="AJ53" i="1"/>
  <c r="AI53" i="1"/>
  <c r="AV52" i="1"/>
  <c r="AA52" i="1" s="1"/>
  <c r="AQ52" i="1"/>
  <c r="AP52" i="1"/>
  <c r="AO52" i="1"/>
  <c r="AN52" i="1"/>
  <c r="AM52" i="1"/>
  <c r="AL52" i="1"/>
  <c r="AK52" i="1"/>
  <c r="AJ52" i="1"/>
  <c r="AI52" i="1"/>
  <c r="AV51" i="1"/>
  <c r="AA51" i="1" s="1"/>
  <c r="AQ51" i="1"/>
  <c r="AP51" i="1"/>
  <c r="AO51" i="1"/>
  <c r="AN51" i="1"/>
  <c r="AM51" i="1"/>
  <c r="AL51" i="1"/>
  <c r="AK51" i="1"/>
  <c r="AJ51" i="1"/>
  <c r="AI51" i="1"/>
  <c r="AV50" i="1"/>
  <c r="AA50" i="1" s="1"/>
  <c r="AQ50" i="1"/>
  <c r="AP50" i="1"/>
  <c r="AO50" i="1"/>
  <c r="AN50" i="1"/>
  <c r="AM50" i="1"/>
  <c r="AL50" i="1"/>
  <c r="AK50" i="1"/>
  <c r="AJ50" i="1"/>
  <c r="AI50" i="1"/>
  <c r="AV49" i="1"/>
  <c r="AQ49" i="1"/>
  <c r="AP49" i="1"/>
  <c r="AO49" i="1"/>
  <c r="AN49" i="1"/>
  <c r="AM49" i="1"/>
  <c r="AL49" i="1"/>
  <c r="AK49" i="1"/>
  <c r="AJ49" i="1"/>
  <c r="AI49" i="1"/>
  <c r="AV48" i="1"/>
  <c r="Z48" i="1" s="1"/>
  <c r="AQ48" i="1"/>
  <c r="AP48" i="1"/>
  <c r="AO48" i="1"/>
  <c r="AN48" i="1"/>
  <c r="AM48" i="1"/>
  <c r="AL48" i="1"/>
  <c r="AK48" i="1"/>
  <c r="AJ48" i="1"/>
  <c r="AI48" i="1"/>
  <c r="AV47" i="1"/>
  <c r="AA47" i="1" s="1"/>
  <c r="AQ47" i="1"/>
  <c r="AP47" i="1"/>
  <c r="AO47" i="1"/>
  <c r="AN47" i="1"/>
  <c r="AM47" i="1"/>
  <c r="AL47" i="1"/>
  <c r="AK47" i="1"/>
  <c r="AJ47" i="1"/>
  <c r="AI47" i="1"/>
  <c r="AV46" i="1"/>
  <c r="W46" i="1" s="1"/>
  <c r="AQ46" i="1"/>
  <c r="AP46" i="1"/>
  <c r="AO46" i="1"/>
  <c r="AN46" i="1"/>
  <c r="AM46" i="1"/>
  <c r="AL46" i="1"/>
  <c r="AK46" i="1"/>
  <c r="AJ46" i="1"/>
  <c r="AI46" i="1"/>
  <c r="AV45" i="1"/>
  <c r="AD45" i="1" s="1"/>
  <c r="AQ45" i="1"/>
  <c r="AP45" i="1"/>
  <c r="AO45" i="1"/>
  <c r="AN45" i="1"/>
  <c r="AM45" i="1"/>
  <c r="AL45" i="1"/>
  <c r="AK45" i="1"/>
  <c r="AJ45" i="1"/>
  <c r="AI45" i="1"/>
  <c r="AV44" i="1"/>
  <c r="AQ44" i="1"/>
  <c r="AP44" i="1"/>
  <c r="AO44" i="1"/>
  <c r="AN44" i="1"/>
  <c r="AM44" i="1"/>
  <c r="AL44" i="1"/>
  <c r="AK44" i="1"/>
  <c r="AJ44" i="1"/>
  <c r="AI44" i="1"/>
  <c r="AV43" i="1"/>
  <c r="AE43" i="1" s="1"/>
  <c r="AQ43" i="1"/>
  <c r="AP43" i="1"/>
  <c r="AO43" i="1"/>
  <c r="AN43" i="1"/>
  <c r="AM43" i="1"/>
  <c r="AL43" i="1"/>
  <c r="AK43" i="1"/>
  <c r="AJ43" i="1"/>
  <c r="AI43" i="1"/>
  <c r="AV42" i="1"/>
  <c r="W42" i="1" s="1"/>
  <c r="AQ42" i="1"/>
  <c r="AP42" i="1"/>
  <c r="AO42" i="1"/>
  <c r="AN42" i="1"/>
  <c r="AM42" i="1"/>
  <c r="AL42" i="1"/>
  <c r="AK42" i="1"/>
  <c r="AJ42" i="1"/>
  <c r="AI42" i="1"/>
  <c r="AV41" i="1"/>
  <c r="AC41" i="1" s="1"/>
  <c r="AQ41" i="1"/>
  <c r="AP41" i="1"/>
  <c r="AO41" i="1"/>
  <c r="AN41" i="1"/>
  <c r="AM41" i="1"/>
  <c r="AL41" i="1"/>
  <c r="AK41" i="1"/>
  <c r="AJ41" i="1"/>
  <c r="AI41" i="1"/>
  <c r="AV40" i="1"/>
  <c r="AC40" i="1" s="1"/>
  <c r="AQ40" i="1"/>
  <c r="AP40" i="1"/>
  <c r="AO40" i="1"/>
  <c r="AN40" i="1"/>
  <c r="AM40" i="1"/>
  <c r="AL40" i="1"/>
  <c r="AK40" i="1"/>
  <c r="AJ40" i="1"/>
  <c r="AI40" i="1"/>
  <c r="AV39" i="1"/>
  <c r="AC39" i="1" s="1"/>
  <c r="AQ39" i="1"/>
  <c r="AP39" i="1"/>
  <c r="AO39" i="1"/>
  <c r="AN39" i="1"/>
  <c r="AM39" i="1"/>
  <c r="AL39" i="1"/>
  <c r="AK39" i="1"/>
  <c r="AJ39" i="1"/>
  <c r="AI39" i="1"/>
  <c r="AV38" i="1"/>
  <c r="AC38" i="1" s="1"/>
  <c r="AQ38" i="1"/>
  <c r="AP38" i="1"/>
  <c r="AO38" i="1"/>
  <c r="AN38" i="1"/>
  <c r="AM38" i="1"/>
  <c r="AL38" i="1"/>
  <c r="AK38" i="1"/>
  <c r="AJ38" i="1"/>
  <c r="AI38" i="1"/>
  <c r="AV37" i="1"/>
  <c r="AC37" i="1" s="1"/>
  <c r="AQ37" i="1"/>
  <c r="AP37" i="1"/>
  <c r="AO37" i="1"/>
  <c r="AN37" i="1"/>
  <c r="AM37" i="1"/>
  <c r="AL37" i="1"/>
  <c r="AK37" i="1"/>
  <c r="AJ37" i="1"/>
  <c r="AI37" i="1"/>
  <c r="AV36" i="1"/>
  <c r="AC36" i="1" s="1"/>
  <c r="AQ36" i="1"/>
  <c r="AP36" i="1"/>
  <c r="AO36" i="1"/>
  <c r="AN36" i="1"/>
  <c r="AM36" i="1"/>
  <c r="AL36" i="1"/>
  <c r="AK36" i="1"/>
  <c r="AJ36" i="1"/>
  <c r="AI36" i="1"/>
  <c r="AV35" i="1"/>
  <c r="AC35" i="1" s="1"/>
  <c r="AQ35" i="1"/>
  <c r="AP35" i="1"/>
  <c r="AO35" i="1"/>
  <c r="AN35" i="1"/>
  <c r="AM35" i="1"/>
  <c r="AL35" i="1"/>
  <c r="AK35" i="1"/>
  <c r="AJ35" i="1"/>
  <c r="AI35" i="1"/>
  <c r="AV34" i="1"/>
  <c r="AQ34" i="1"/>
  <c r="AP34" i="1"/>
  <c r="AO34" i="1"/>
  <c r="AN34" i="1"/>
  <c r="AM34" i="1"/>
  <c r="AL34" i="1"/>
  <c r="AK34" i="1"/>
  <c r="AJ34" i="1"/>
  <c r="AI34" i="1"/>
  <c r="AV33" i="1"/>
  <c r="Z33" i="1" s="1"/>
  <c r="AQ33" i="1"/>
  <c r="AP33" i="1"/>
  <c r="AO33" i="1"/>
  <c r="AN33" i="1"/>
  <c r="AM33" i="1"/>
  <c r="AL33" i="1"/>
  <c r="AK33" i="1"/>
  <c r="AJ33" i="1"/>
  <c r="AI33" i="1"/>
  <c r="AV32" i="1"/>
  <c r="AA32" i="1" s="1"/>
  <c r="AQ32" i="1"/>
  <c r="AP32" i="1"/>
  <c r="AO32" i="1"/>
  <c r="AN32" i="1"/>
  <c r="AM32" i="1"/>
  <c r="AL32" i="1"/>
  <c r="AK32" i="1"/>
  <c r="AJ32" i="1"/>
  <c r="AI32" i="1"/>
  <c r="AV31" i="1"/>
  <c r="Z31" i="1" s="1"/>
  <c r="AQ31" i="1"/>
  <c r="AP31" i="1"/>
  <c r="AO31" i="1"/>
  <c r="AN31" i="1"/>
  <c r="AM31" i="1"/>
  <c r="AL31" i="1"/>
  <c r="AK31" i="1"/>
  <c r="AJ31" i="1"/>
  <c r="AI31" i="1"/>
  <c r="AV30" i="1"/>
  <c r="W30" i="1" s="1"/>
  <c r="AQ30" i="1"/>
  <c r="AP30" i="1"/>
  <c r="AO30" i="1"/>
  <c r="AN30" i="1"/>
  <c r="AM30" i="1"/>
  <c r="AL30" i="1"/>
  <c r="AK30" i="1"/>
  <c r="AJ30" i="1"/>
  <c r="AI30" i="1"/>
  <c r="AV29" i="1"/>
  <c r="AE29" i="1" s="1"/>
  <c r="AQ29" i="1"/>
  <c r="AP29" i="1"/>
  <c r="AO29" i="1"/>
  <c r="AN29" i="1"/>
  <c r="AM29" i="1"/>
  <c r="AL29" i="1"/>
  <c r="AK29" i="1"/>
  <c r="AJ29" i="1"/>
  <c r="AI29" i="1"/>
  <c r="AV28" i="1"/>
  <c r="AE28" i="1" s="1"/>
  <c r="AQ28" i="1"/>
  <c r="AP28" i="1"/>
  <c r="AO28" i="1"/>
  <c r="AN28" i="1"/>
  <c r="AM28" i="1"/>
  <c r="AL28" i="1"/>
  <c r="AK28" i="1"/>
  <c r="AJ28" i="1"/>
  <c r="AI28" i="1"/>
  <c r="AV27" i="1"/>
  <c r="AB27" i="1" s="1"/>
  <c r="AQ27" i="1"/>
  <c r="AP27" i="1"/>
  <c r="AO27" i="1"/>
  <c r="AN27" i="1"/>
  <c r="AM27" i="1"/>
  <c r="AL27" i="1"/>
  <c r="AK27" i="1"/>
  <c r="AJ27" i="1"/>
  <c r="AI27" i="1"/>
  <c r="AV26" i="1"/>
  <c r="AC26" i="1" s="1"/>
  <c r="AQ26" i="1"/>
  <c r="AP26" i="1"/>
  <c r="AO26" i="1"/>
  <c r="AN26" i="1"/>
  <c r="AM26" i="1"/>
  <c r="AL26" i="1"/>
  <c r="AK26" i="1"/>
  <c r="AJ26" i="1"/>
  <c r="AI26" i="1"/>
  <c r="AV25" i="1"/>
  <c r="AC25" i="1" s="1"/>
  <c r="AQ25" i="1"/>
  <c r="AP25" i="1"/>
  <c r="AO25" i="1"/>
  <c r="AN25" i="1"/>
  <c r="AM25" i="1"/>
  <c r="AL25" i="1"/>
  <c r="AK25" i="1"/>
  <c r="AJ25" i="1"/>
  <c r="AI25" i="1"/>
  <c r="AV24" i="1"/>
  <c r="AC24" i="1" s="1"/>
  <c r="AQ24" i="1"/>
  <c r="AP24" i="1"/>
  <c r="AO24" i="1"/>
  <c r="AN24" i="1"/>
  <c r="AM24" i="1"/>
  <c r="AL24" i="1"/>
  <c r="AK24" i="1"/>
  <c r="AJ24" i="1"/>
  <c r="AI24" i="1"/>
  <c r="AV23" i="1"/>
  <c r="AC23" i="1" s="1"/>
  <c r="AQ23" i="1"/>
  <c r="AP23" i="1"/>
  <c r="AO23" i="1"/>
  <c r="AN23" i="1"/>
  <c r="AM23" i="1"/>
  <c r="AL23" i="1"/>
  <c r="AK23" i="1"/>
  <c r="AJ23" i="1"/>
  <c r="AI23" i="1"/>
  <c r="AV22" i="1"/>
  <c r="AC22" i="1" s="1"/>
  <c r="AQ22" i="1"/>
  <c r="AP22" i="1"/>
  <c r="AO22" i="1"/>
  <c r="AN22" i="1"/>
  <c r="AM22" i="1"/>
  <c r="AL22" i="1"/>
  <c r="AK22" i="1"/>
  <c r="AJ22" i="1"/>
  <c r="AI22" i="1"/>
  <c r="AV21" i="1"/>
  <c r="AC21" i="1" s="1"/>
  <c r="AQ21" i="1"/>
  <c r="AP21" i="1"/>
  <c r="AO21" i="1"/>
  <c r="AN21" i="1"/>
  <c r="AM21" i="1"/>
  <c r="AL21" i="1"/>
  <c r="AK21" i="1"/>
  <c r="AJ21" i="1"/>
  <c r="AI21" i="1"/>
  <c r="AV20" i="1"/>
  <c r="AC20" i="1" s="1"/>
  <c r="AQ20" i="1"/>
  <c r="AP20" i="1"/>
  <c r="AO20" i="1"/>
  <c r="AN20" i="1"/>
  <c r="AM20" i="1"/>
  <c r="AL20" i="1"/>
  <c r="AK20" i="1"/>
  <c r="AJ20" i="1"/>
  <c r="AI20" i="1"/>
  <c r="AV19" i="1"/>
  <c r="AC19" i="1" s="1"/>
  <c r="AQ19" i="1"/>
  <c r="AP19" i="1"/>
  <c r="AO19" i="1"/>
  <c r="AN19" i="1"/>
  <c r="AM19" i="1"/>
  <c r="AL19" i="1"/>
  <c r="AK19" i="1"/>
  <c r="AJ19" i="1"/>
  <c r="AI19" i="1"/>
  <c r="AV18" i="1"/>
  <c r="AC18" i="1" s="1"/>
  <c r="AQ18" i="1"/>
  <c r="AP18" i="1"/>
  <c r="AO18" i="1"/>
  <c r="AN18" i="1"/>
  <c r="AM18" i="1"/>
  <c r="AL18" i="1"/>
  <c r="AK18" i="1"/>
  <c r="AJ18" i="1"/>
  <c r="AI18" i="1"/>
  <c r="AV17" i="1"/>
  <c r="AC17" i="1" s="1"/>
  <c r="AQ17" i="1"/>
  <c r="AP17" i="1"/>
  <c r="AO17" i="1"/>
  <c r="AN17" i="1"/>
  <c r="AM17" i="1"/>
  <c r="AL17" i="1"/>
  <c r="AK17" i="1"/>
  <c r="AJ17" i="1"/>
  <c r="AI17" i="1"/>
  <c r="AV16" i="1"/>
  <c r="AC16" i="1" s="1"/>
  <c r="AQ16" i="1"/>
  <c r="AP16" i="1"/>
  <c r="AO16" i="1"/>
  <c r="AN16" i="1"/>
  <c r="AM16" i="1"/>
  <c r="AL16" i="1"/>
  <c r="AK16" i="1"/>
  <c r="AJ16" i="1"/>
  <c r="AI16" i="1"/>
  <c r="AV15" i="1"/>
  <c r="AC15" i="1" s="1"/>
  <c r="AQ15" i="1"/>
  <c r="AP15" i="1"/>
  <c r="AO15" i="1"/>
  <c r="AN15" i="1"/>
  <c r="AM15" i="1"/>
  <c r="AL15" i="1"/>
  <c r="AK15" i="1"/>
  <c r="AJ15" i="1"/>
  <c r="AI15" i="1"/>
  <c r="AV14" i="1"/>
  <c r="AB14" i="1" s="1"/>
  <c r="AQ14" i="1"/>
  <c r="AP14" i="1"/>
  <c r="AO14" i="1"/>
  <c r="AN14" i="1"/>
  <c r="AM14" i="1"/>
  <c r="AL14" i="1"/>
  <c r="AK14" i="1"/>
  <c r="AJ14" i="1"/>
  <c r="AI14" i="1"/>
  <c r="AV13" i="1"/>
  <c r="AA13" i="1" s="1"/>
  <c r="AQ13" i="1"/>
  <c r="AP13" i="1"/>
  <c r="AO13" i="1"/>
  <c r="AN13" i="1"/>
  <c r="AM13" i="1"/>
  <c r="AL13" i="1"/>
  <c r="AK13" i="1"/>
  <c r="AJ13" i="1"/>
  <c r="AI13" i="1"/>
  <c r="AV12" i="1"/>
  <c r="AQ12" i="1"/>
  <c r="AP12" i="1"/>
  <c r="AO12" i="1"/>
  <c r="AN12" i="1"/>
  <c r="AM12" i="1"/>
  <c r="AL12" i="1"/>
  <c r="AK12" i="1"/>
  <c r="AJ12" i="1"/>
  <c r="AI12" i="1"/>
  <c r="AV11" i="1"/>
  <c r="AA11" i="1" s="1"/>
  <c r="AQ11" i="1"/>
  <c r="AP11" i="1"/>
  <c r="AO11" i="1"/>
  <c r="AN11" i="1"/>
  <c r="AM11" i="1"/>
  <c r="AL11" i="1"/>
  <c r="AK11" i="1"/>
  <c r="AJ11" i="1"/>
  <c r="AI11" i="1"/>
  <c r="AV10" i="1"/>
  <c r="AE10" i="1" s="1"/>
  <c r="AQ10" i="1"/>
  <c r="AP10" i="1"/>
  <c r="AO10" i="1"/>
  <c r="AN10" i="1"/>
  <c r="AM10" i="1"/>
  <c r="AL10" i="1"/>
  <c r="AK10" i="1"/>
  <c r="AJ10" i="1"/>
  <c r="AI10" i="1"/>
  <c r="AV9" i="1"/>
  <c r="AE9" i="1" s="1"/>
  <c r="AQ9" i="1"/>
  <c r="AP9" i="1"/>
  <c r="AO9" i="1"/>
  <c r="AN9" i="1"/>
  <c r="AM9" i="1"/>
  <c r="AL9" i="1"/>
  <c r="AK9" i="1"/>
  <c r="AJ9" i="1"/>
  <c r="AI9" i="1"/>
  <c r="AV8" i="1"/>
  <c r="AD8" i="1" s="1"/>
  <c r="AQ8" i="1"/>
  <c r="AP8" i="1"/>
  <c r="AO8" i="1"/>
  <c r="AN8" i="1"/>
  <c r="AM8" i="1"/>
  <c r="AL8" i="1"/>
  <c r="AK8" i="1"/>
  <c r="AJ8" i="1"/>
  <c r="AI8" i="1"/>
  <c r="AV7" i="1"/>
  <c r="AE7" i="1" s="1"/>
  <c r="AQ7" i="1"/>
  <c r="AP7" i="1"/>
  <c r="AO7" i="1"/>
  <c r="AN7" i="1"/>
  <c r="AM7" i="1"/>
  <c r="AL7" i="1"/>
  <c r="AK7" i="1"/>
  <c r="AJ7" i="1"/>
  <c r="AI7" i="1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Y53" i="4" l="1"/>
  <c r="AA48" i="4"/>
  <c r="Z53" i="4"/>
  <c r="AB29" i="4"/>
  <c r="Y18" i="4"/>
  <c r="AA18" i="4"/>
  <c r="U52" i="4"/>
  <c r="AB28" i="4"/>
  <c r="U34" i="4"/>
  <c r="Z49" i="4"/>
  <c r="Z54" i="4"/>
  <c r="X34" i="4"/>
  <c r="AB49" i="4"/>
  <c r="AA54" i="4"/>
  <c r="AB54" i="4"/>
  <c r="U36" i="4"/>
  <c r="AC51" i="4"/>
  <c r="AC56" i="4"/>
  <c r="Z39" i="4"/>
  <c r="U58" i="4"/>
  <c r="X9" i="4"/>
  <c r="AC14" i="4"/>
  <c r="Y34" i="4"/>
  <c r="AC39" i="4"/>
  <c r="Y58" i="4"/>
  <c r="Z63" i="4"/>
  <c r="Y14" i="4"/>
  <c r="AB14" i="4"/>
  <c r="Y9" i="4"/>
  <c r="Z58" i="4"/>
  <c r="X39" i="4"/>
  <c r="AA58" i="4"/>
  <c r="Z14" i="4"/>
  <c r="Z9" i="4"/>
  <c r="AA9" i="4"/>
  <c r="U18" i="4"/>
  <c r="AA29" i="4"/>
  <c r="AC34" i="4"/>
  <c r="AC47" i="4"/>
  <c r="AB58" i="4"/>
  <c r="AC58" i="4"/>
  <c r="AL70" i="4"/>
  <c r="Z18" i="4"/>
  <c r="U31" i="4"/>
  <c r="AC36" i="4"/>
  <c r="U60" i="4"/>
  <c r="Y33" i="4"/>
  <c r="Z33" i="4"/>
  <c r="AA57" i="4"/>
  <c r="AC57" i="4"/>
  <c r="Y28" i="4"/>
  <c r="Y64" i="4"/>
  <c r="AC17" i="4"/>
  <c r="AC28" i="4"/>
  <c r="AB64" i="4"/>
  <c r="Y48" i="4"/>
  <c r="X14" i="4"/>
  <c r="Z48" i="4"/>
  <c r="X51" i="4"/>
  <c r="U66" i="4"/>
  <c r="U39" i="4"/>
  <c r="AB48" i="4"/>
  <c r="AA14" i="4"/>
  <c r="Y39" i="4"/>
  <c r="AC48" i="4"/>
  <c r="U63" i="4"/>
  <c r="Y63" i="4"/>
  <c r="V34" i="4"/>
  <c r="V60" i="4"/>
  <c r="AQ51" i="4"/>
  <c r="AB8" i="4"/>
  <c r="Z24" i="4"/>
  <c r="AB38" i="4"/>
  <c r="Y59" i="4"/>
  <c r="AC8" i="4"/>
  <c r="AQ11" i="4"/>
  <c r="AK71" i="4"/>
  <c r="AA19" i="4"/>
  <c r="AA24" i="4"/>
  <c r="V30" i="4"/>
  <c r="AC38" i="4"/>
  <c r="X41" i="4"/>
  <c r="AA44" i="4"/>
  <c r="Z59" i="4"/>
  <c r="U62" i="4"/>
  <c r="AM70" i="4"/>
  <c r="AC16" i="4"/>
  <c r="Y24" i="4"/>
  <c r="Z44" i="4"/>
  <c r="AB19" i="4"/>
  <c r="AR22" i="4"/>
  <c r="AB24" i="4"/>
  <c r="U32" i="4"/>
  <c r="AC41" i="4"/>
  <c r="AB44" i="4"/>
  <c r="AA59" i="4"/>
  <c r="AA62" i="4"/>
  <c r="Z8" i="4"/>
  <c r="X59" i="4"/>
  <c r="U41" i="4"/>
  <c r="AC19" i="4"/>
  <c r="AC24" i="4"/>
  <c r="W30" i="4"/>
  <c r="AC44" i="4"/>
  <c r="U50" i="4"/>
  <c r="AB59" i="4"/>
  <c r="X24" i="4"/>
  <c r="Z38" i="4"/>
  <c r="X44" i="4"/>
  <c r="U59" i="4"/>
  <c r="AA8" i="4"/>
  <c r="U21" i="4"/>
  <c r="U26" i="4"/>
  <c r="V21" i="4"/>
  <c r="U11" i="4"/>
  <c r="Y19" i="4"/>
  <c r="AB7" i="4"/>
  <c r="Y23" i="4"/>
  <c r="AC26" i="4"/>
  <c r="X29" i="4"/>
  <c r="AB37" i="4"/>
  <c r="Y43" i="4"/>
  <c r="Y46" i="4"/>
  <c r="AC27" i="4"/>
  <c r="AA38" i="4"/>
  <c r="Z19" i="4"/>
  <c r="AA7" i="4"/>
  <c r="AA37" i="4"/>
  <c r="U43" i="4"/>
  <c r="U46" i="4"/>
  <c r="AC7" i="4"/>
  <c r="Z23" i="4"/>
  <c r="Y29" i="4"/>
  <c r="AC37" i="4"/>
  <c r="Z43" i="4"/>
  <c r="AC46" i="4"/>
  <c r="U61" i="4"/>
  <c r="U64" i="4"/>
  <c r="X19" i="4"/>
  <c r="Y13" i="4"/>
  <c r="Y44" i="4"/>
  <c r="U29" i="4"/>
  <c r="AL71" i="4"/>
  <c r="Z29" i="4"/>
  <c r="X49" i="4"/>
  <c r="X61" i="4"/>
  <c r="X64" i="4"/>
  <c r="AM71" i="4"/>
  <c r="AH71" i="4"/>
  <c r="U40" i="4"/>
  <c r="AJ71" i="4"/>
  <c r="AB17" i="4"/>
  <c r="Z28" i="4"/>
  <c r="U48" i="4"/>
  <c r="AB57" i="4"/>
  <c r="AC61" i="4"/>
  <c r="AK70" i="4"/>
  <c r="V31" i="4"/>
  <c r="AN71" i="4"/>
  <c r="AA27" i="4"/>
  <c r="AA39" i="4"/>
  <c r="Y8" i="4"/>
  <c r="AC9" i="4"/>
  <c r="U16" i="4"/>
  <c r="AB27" i="4"/>
  <c r="Y38" i="4"/>
  <c r="AA47" i="4"/>
  <c r="U56" i="4"/>
  <c r="W20" i="4"/>
  <c r="V14" i="4"/>
  <c r="W40" i="4"/>
  <c r="AO71" i="4"/>
  <c r="AR31" i="4"/>
  <c r="V10" i="4"/>
  <c r="AO70" i="4"/>
  <c r="V24" i="4"/>
  <c r="V44" i="4"/>
  <c r="V50" i="4"/>
  <c r="W21" i="4"/>
  <c r="AQ41" i="4"/>
  <c r="W10" i="4"/>
  <c r="V40" i="4"/>
  <c r="W11" i="4"/>
  <c r="V47" i="4"/>
  <c r="V19" i="4"/>
  <c r="AR67" i="4"/>
  <c r="V39" i="4"/>
  <c r="AR21" i="4"/>
  <c r="V38" i="4"/>
  <c r="AQ15" i="4"/>
  <c r="V18" i="4"/>
  <c r="W46" i="4"/>
  <c r="AR20" i="4"/>
  <c r="AR44" i="4"/>
  <c r="V46" i="4"/>
  <c r="W43" i="4"/>
  <c r="AQ58" i="4"/>
  <c r="W58" i="4"/>
  <c r="V64" i="4"/>
  <c r="W31" i="4"/>
  <c r="AR11" i="4"/>
  <c r="V66" i="4"/>
  <c r="W29" i="4"/>
  <c r="V54" i="4"/>
  <c r="V63" i="4"/>
  <c r="AI71" i="4"/>
  <c r="AR19" i="4"/>
  <c r="AR10" i="4"/>
  <c r="V20" i="4"/>
  <c r="V37" i="4"/>
  <c r="AQ62" i="4"/>
  <c r="AQ65" i="4"/>
  <c r="W41" i="4"/>
  <c r="W27" i="4"/>
  <c r="AR15" i="4"/>
  <c r="W63" i="4"/>
  <c r="W9" i="4"/>
  <c r="V59" i="4"/>
  <c r="AR37" i="4"/>
  <c r="AR14" i="4"/>
  <c r="AQ36" i="4"/>
  <c r="W49" i="4"/>
  <c r="V61" i="4"/>
  <c r="AQ45" i="4"/>
  <c r="W32" i="4"/>
  <c r="AQ61" i="4"/>
  <c r="AG71" i="4"/>
  <c r="AQ25" i="4"/>
  <c r="W50" i="4"/>
  <c r="AR25" i="4"/>
  <c r="AQ21" i="4"/>
  <c r="AQ34" i="4"/>
  <c r="AQ55" i="4"/>
  <c r="V65" i="4"/>
  <c r="AR50" i="4"/>
  <c r="AQ10" i="4"/>
  <c r="AR40" i="4"/>
  <c r="AR59" i="4"/>
  <c r="AQ30" i="4"/>
  <c r="W39" i="4"/>
  <c r="AQ40" i="4"/>
  <c r="W61" i="4"/>
  <c r="AR43" i="4"/>
  <c r="AR30" i="4"/>
  <c r="AR39" i="4"/>
  <c r="W18" i="4"/>
  <c r="W51" i="4"/>
  <c r="W26" i="4"/>
  <c r="W42" i="4"/>
  <c r="V11" i="4"/>
  <c r="W23" i="4"/>
  <c r="W59" i="4"/>
  <c r="W60" i="4"/>
  <c r="W47" i="4"/>
  <c r="AR54" i="4"/>
  <c r="AR64" i="4"/>
  <c r="AQ24" i="4"/>
  <c r="W19" i="4"/>
  <c r="W38" i="4"/>
  <c r="AR60" i="4"/>
  <c r="AR23" i="4"/>
  <c r="W56" i="4"/>
  <c r="W66" i="4"/>
  <c r="AR36" i="4"/>
  <c r="W33" i="4"/>
  <c r="AR41" i="4"/>
  <c r="AR51" i="4"/>
  <c r="V53" i="4"/>
  <c r="AR61" i="4"/>
  <c r="V9" i="4"/>
  <c r="V17" i="4"/>
  <c r="AQ26" i="4"/>
  <c r="AQ31" i="4"/>
  <c r="V43" i="4"/>
  <c r="AR53" i="4"/>
  <c r="V33" i="4"/>
  <c r="V8" i="4"/>
  <c r="AR9" i="4"/>
  <c r="AR17" i="4"/>
  <c r="AR33" i="4"/>
  <c r="V49" i="4"/>
  <c r="W12" i="4"/>
  <c r="W8" i="4"/>
  <c r="AQ20" i="4"/>
  <c r="V41" i="4"/>
  <c r="AR45" i="4"/>
  <c r="AR49" i="4"/>
  <c r="V51" i="4"/>
  <c r="AQ67" i="4"/>
  <c r="W53" i="4"/>
  <c r="AQ35" i="4"/>
  <c r="V48" i="4"/>
  <c r="AR55" i="4"/>
  <c r="V16" i="4"/>
  <c r="V23" i="4"/>
  <c r="V29" i="4"/>
  <c r="AR35" i="4"/>
  <c r="V57" i="4"/>
  <c r="AR65" i="4"/>
  <c r="V67" i="4"/>
  <c r="V28" i="4"/>
  <c r="AR16" i="4"/>
  <c r="AR29" i="4"/>
  <c r="W52" i="4"/>
  <c r="W57" i="4"/>
  <c r="W48" i="4"/>
  <c r="W62" i="4"/>
  <c r="V13" i="4"/>
  <c r="W13" i="4"/>
  <c r="V27" i="4"/>
  <c r="V56" i="4"/>
  <c r="W28" i="4"/>
  <c r="U20" i="4"/>
  <c r="Z10" i="4"/>
  <c r="X21" i="4"/>
  <c r="AC11" i="4"/>
  <c r="U35" i="4"/>
  <c r="AQ46" i="4"/>
  <c r="U55" i="4"/>
  <c r="AQ56" i="4"/>
  <c r="V55" i="4"/>
  <c r="AR56" i="4"/>
  <c r="AR66" i="4"/>
  <c r="AQ7" i="4"/>
  <c r="AC12" i="4"/>
  <c r="AA13" i="4"/>
  <c r="W15" i="4"/>
  <c r="AQ17" i="4"/>
  <c r="AC22" i="4"/>
  <c r="AA23" i="4"/>
  <c r="W25" i="4"/>
  <c r="AQ27" i="4"/>
  <c r="AC32" i="4"/>
  <c r="AA33" i="4"/>
  <c r="W35" i="4"/>
  <c r="AQ37" i="4"/>
  <c r="AC42" i="4"/>
  <c r="AA43" i="4"/>
  <c r="W45" i="4"/>
  <c r="AQ47" i="4"/>
  <c r="AC52" i="4"/>
  <c r="AA53" i="4"/>
  <c r="W55" i="4"/>
  <c r="AQ57" i="4"/>
  <c r="AC62" i="4"/>
  <c r="AA63" i="4"/>
  <c r="W65" i="4"/>
  <c r="AG70" i="4"/>
  <c r="AQ23" i="4"/>
  <c r="V42" i="4"/>
  <c r="AQ16" i="4"/>
  <c r="W24" i="4"/>
  <c r="U65" i="4"/>
  <c r="AR26" i="4"/>
  <c r="Y20" i="4"/>
  <c r="Z20" i="4"/>
  <c r="AC21" i="4"/>
  <c r="AA42" i="4"/>
  <c r="U45" i="4"/>
  <c r="AQ66" i="4"/>
  <c r="AB12" i="4"/>
  <c r="V25" i="4"/>
  <c r="AB62" i="4"/>
  <c r="AB23" i="4"/>
  <c r="X25" i="4"/>
  <c r="AR27" i="4"/>
  <c r="V36" i="4"/>
  <c r="AB53" i="4"/>
  <c r="X55" i="4"/>
  <c r="AR57" i="4"/>
  <c r="AB63" i="4"/>
  <c r="U7" i="4"/>
  <c r="AQ18" i="4"/>
  <c r="AC23" i="4"/>
  <c r="U27" i="4"/>
  <c r="U37" i="4"/>
  <c r="AC43" i="4"/>
  <c r="U57" i="4"/>
  <c r="AI70" i="4"/>
  <c r="V7" i="4"/>
  <c r="AR8" i="4"/>
  <c r="Z15" i="4"/>
  <c r="X16" i="4"/>
  <c r="AR18" i="4"/>
  <c r="Z25" i="4"/>
  <c r="X26" i="4"/>
  <c r="AR28" i="4"/>
  <c r="Z35" i="4"/>
  <c r="X36" i="4"/>
  <c r="AR38" i="4"/>
  <c r="Z45" i="4"/>
  <c r="X46" i="4"/>
  <c r="AR48" i="4"/>
  <c r="Z55" i="4"/>
  <c r="X56" i="4"/>
  <c r="AR58" i="4"/>
  <c r="Z65" i="4"/>
  <c r="X66" i="4"/>
  <c r="AJ70" i="4"/>
  <c r="Y30" i="4"/>
  <c r="AR13" i="4"/>
  <c r="V22" i="4"/>
  <c r="W44" i="4"/>
  <c r="W64" i="4"/>
  <c r="V35" i="4"/>
  <c r="AR46" i="4"/>
  <c r="AB43" i="4"/>
  <c r="X45" i="4"/>
  <c r="AR47" i="4"/>
  <c r="AH70" i="4"/>
  <c r="W16" i="4"/>
  <c r="Y45" i="4"/>
  <c r="AQ48" i="4"/>
  <c r="T48" i="4" s="1"/>
  <c r="AC53" i="4"/>
  <c r="W7" i="4"/>
  <c r="AQ9" i="4"/>
  <c r="AA15" i="4"/>
  <c r="W17" i="4"/>
  <c r="AQ19" i="4"/>
  <c r="Y26" i="4"/>
  <c r="AA35" i="4"/>
  <c r="Y36" i="4"/>
  <c r="W37" i="4"/>
  <c r="U38" i="4"/>
  <c r="AQ39" i="4"/>
  <c r="T39" i="4" s="1"/>
  <c r="AA45" i="4"/>
  <c r="AQ49" i="4"/>
  <c r="AA55" i="4"/>
  <c r="Y56" i="4"/>
  <c r="AQ59" i="4"/>
  <c r="AA65" i="4"/>
  <c r="Y66" i="4"/>
  <c r="W67" i="4"/>
  <c r="Y10" i="4"/>
  <c r="U12" i="4"/>
  <c r="AA12" i="4"/>
  <c r="U15" i="4"/>
  <c r="AA22" i="4"/>
  <c r="U25" i="4"/>
  <c r="W34" i="4"/>
  <c r="AB32" i="4"/>
  <c r="AB42" i="4"/>
  <c r="AB33" i="4"/>
  <c r="AQ8" i="4"/>
  <c r="AC13" i="4"/>
  <c r="Y15" i="4"/>
  <c r="U17" i="4"/>
  <c r="Y25" i="4"/>
  <c r="AQ28" i="4"/>
  <c r="AC33" i="4"/>
  <c r="W36" i="4"/>
  <c r="AQ38" i="4"/>
  <c r="Y65" i="4"/>
  <c r="Y16" i="4"/>
  <c r="AA25" i="4"/>
  <c r="U28" i="4"/>
  <c r="AQ29" i="4"/>
  <c r="X7" i="4"/>
  <c r="AB15" i="4"/>
  <c r="Z16" i="4"/>
  <c r="X17" i="4"/>
  <c r="AB25" i="4"/>
  <c r="Z26" i="4"/>
  <c r="X27" i="4"/>
  <c r="AB35" i="4"/>
  <c r="Z36" i="4"/>
  <c r="X37" i="4"/>
  <c r="AB45" i="4"/>
  <c r="Z46" i="4"/>
  <c r="X47" i="4"/>
  <c r="AB55" i="4"/>
  <c r="Z56" i="4"/>
  <c r="X57" i="4"/>
  <c r="V58" i="4"/>
  <c r="AB65" i="4"/>
  <c r="Z66" i="4"/>
  <c r="X67" i="4"/>
  <c r="U10" i="4"/>
  <c r="AQ13" i="4"/>
  <c r="V12" i="4"/>
  <c r="AA32" i="4"/>
  <c r="V15" i="4"/>
  <c r="V45" i="4"/>
  <c r="AR7" i="4"/>
  <c r="AB13" i="4"/>
  <c r="X15" i="4"/>
  <c r="V26" i="4"/>
  <c r="X35" i="4"/>
  <c r="X65" i="4"/>
  <c r="Y35" i="4"/>
  <c r="U47" i="4"/>
  <c r="Y55" i="4"/>
  <c r="U67" i="4"/>
  <c r="U8" i="4"/>
  <c r="Y7" i="4"/>
  <c r="Y17" i="4"/>
  <c r="AA26" i="4"/>
  <c r="AA36" i="4"/>
  <c r="AA46" i="4"/>
  <c r="Y47" i="4"/>
  <c r="AQ50" i="4"/>
  <c r="AA56" i="4"/>
  <c r="Y57" i="4"/>
  <c r="AQ60" i="4"/>
  <c r="AA66" i="4"/>
  <c r="X20" i="4"/>
  <c r="X11" i="4"/>
  <c r="W14" i="4"/>
  <c r="AC31" i="4"/>
  <c r="AA52" i="4"/>
  <c r="W54" i="4"/>
  <c r="Z13" i="4"/>
  <c r="AB22" i="4"/>
  <c r="AB52" i="4"/>
  <c r="AC63" i="4"/>
  <c r="AA16" i="4"/>
  <c r="Y27" i="4"/>
  <c r="Y37" i="4"/>
  <c r="AN70" i="4"/>
  <c r="AQ12" i="4"/>
  <c r="AQ22" i="4"/>
  <c r="AQ32" i="4"/>
  <c r="AQ42" i="4"/>
  <c r="AQ52" i="4"/>
  <c r="AR12" i="4"/>
  <c r="AR32" i="4"/>
  <c r="X40" i="4"/>
  <c r="AR42" i="4"/>
  <c r="X50" i="4"/>
  <c r="AR52" i="4"/>
  <c r="X60" i="4"/>
  <c r="AR62" i="4"/>
  <c r="U22" i="4"/>
  <c r="AQ33" i="4"/>
  <c r="Y40" i="4"/>
  <c r="AQ43" i="4"/>
  <c r="Y50" i="4"/>
  <c r="AQ53" i="4"/>
  <c r="Y60" i="4"/>
  <c r="AQ63" i="4"/>
  <c r="V32" i="4"/>
  <c r="Z50" i="4"/>
  <c r="V62" i="4"/>
  <c r="AR63" i="4"/>
  <c r="X30" i="4"/>
  <c r="AA20" i="4"/>
  <c r="X10" i="4"/>
  <c r="V52" i="4"/>
  <c r="Y11" i="4"/>
  <c r="Y41" i="4"/>
  <c r="X32" i="4"/>
  <c r="Z30" i="4"/>
  <c r="X31" i="4"/>
  <c r="Z40" i="4"/>
  <c r="Z60" i="4"/>
  <c r="AA10" i="4"/>
  <c r="AQ14" i="4"/>
  <c r="W22" i="4"/>
  <c r="AA30" i="4"/>
  <c r="Y31" i="4"/>
  <c r="AA40" i="4"/>
  <c r="AQ44" i="4"/>
  <c r="AA50" i="4"/>
  <c r="Y51" i="4"/>
  <c r="AA60" i="4"/>
  <c r="AQ64" i="4"/>
  <c r="Z11" i="4"/>
  <c r="X12" i="4"/>
  <c r="Z21" i="4"/>
  <c r="AR24" i="4"/>
  <c r="AB30" i="4"/>
  <c r="AR34" i="4"/>
  <c r="AB40" i="4"/>
  <c r="X42" i="4"/>
  <c r="AB50" i="4"/>
  <c r="X52" i="4"/>
  <c r="AB60" i="4"/>
  <c r="AC10" i="4"/>
  <c r="AA11" i="4"/>
  <c r="Y12" i="4"/>
  <c r="AC20" i="4"/>
  <c r="AA21" i="4"/>
  <c r="Y22" i="4"/>
  <c r="AC30" i="4"/>
  <c r="AA31" i="4"/>
  <c r="Y32" i="4"/>
  <c r="AA41" i="4"/>
  <c r="Y42" i="4"/>
  <c r="AA51" i="4"/>
  <c r="Y52" i="4"/>
  <c r="AA61" i="4"/>
  <c r="Y62" i="4"/>
  <c r="U13" i="4"/>
  <c r="Y21" i="4"/>
  <c r="U23" i="4"/>
  <c r="U33" i="4"/>
  <c r="U53" i="4"/>
  <c r="AQ54" i="4"/>
  <c r="X22" i="4"/>
  <c r="Z31" i="4"/>
  <c r="Z41" i="4"/>
  <c r="Z51" i="4"/>
  <c r="X62" i="4"/>
  <c r="AL70" i="1"/>
  <c r="AM71" i="1"/>
  <c r="AJ70" i="1"/>
  <c r="AK70" i="1"/>
  <c r="AN71" i="1"/>
  <c r="AO70" i="1"/>
  <c r="AJ71" i="1"/>
  <c r="AK71" i="1"/>
  <c r="AL71" i="1"/>
  <c r="AN70" i="1"/>
  <c r="AM70" i="1"/>
  <c r="AO71" i="1"/>
  <c r="AI71" i="1"/>
  <c r="AP70" i="1"/>
  <c r="AQ70" i="1"/>
  <c r="AI70" i="1"/>
  <c r="AQ71" i="1"/>
  <c r="AP71" i="1"/>
  <c r="X16" i="1"/>
  <c r="X29" i="1"/>
  <c r="Y35" i="1"/>
  <c r="Y47" i="1"/>
  <c r="X17" i="1"/>
  <c r="X27" i="1"/>
  <c r="X37" i="1"/>
  <c r="X39" i="1"/>
  <c r="Y45" i="1"/>
  <c r="X49" i="1"/>
  <c r="Y55" i="1"/>
  <c r="X57" i="1"/>
  <c r="Y59" i="1"/>
  <c r="X65" i="1"/>
  <c r="Y67" i="1"/>
  <c r="Y8" i="1"/>
  <c r="X10" i="1"/>
  <c r="X12" i="1"/>
  <c r="X14" i="1"/>
  <c r="X20" i="1"/>
  <c r="X22" i="1"/>
  <c r="Y24" i="1"/>
  <c r="X28" i="1"/>
  <c r="X30" i="1"/>
  <c r="X32" i="1"/>
  <c r="Y34" i="1"/>
  <c r="X38" i="1"/>
  <c r="X40" i="1"/>
  <c r="X42" i="1"/>
  <c r="X44" i="1"/>
  <c r="X48" i="1"/>
  <c r="X50" i="1"/>
  <c r="X52" i="1"/>
  <c r="Y54" i="1"/>
  <c r="X60" i="1"/>
  <c r="X62" i="1"/>
  <c r="Y64" i="1"/>
  <c r="X66" i="1"/>
  <c r="X8" i="1"/>
  <c r="Y14" i="1"/>
  <c r="X18" i="1"/>
  <c r="X26" i="1"/>
  <c r="Y36" i="1"/>
  <c r="X46" i="1"/>
  <c r="X56" i="1"/>
  <c r="X58" i="1"/>
  <c r="Y29" i="1"/>
  <c r="Y27" i="1"/>
  <c r="Y66" i="1"/>
  <c r="Y65" i="1"/>
  <c r="X59" i="1"/>
  <c r="Y16" i="1"/>
  <c r="Y57" i="1"/>
  <c r="X67" i="1"/>
  <c r="Y7" i="1"/>
  <c r="X11" i="1"/>
  <c r="Y15" i="1"/>
  <c r="X23" i="1"/>
  <c r="X31" i="1"/>
  <c r="X35" i="1"/>
  <c r="X41" i="1"/>
  <c r="X45" i="1"/>
  <c r="X51" i="1"/>
  <c r="X53" i="1"/>
  <c r="X55" i="1"/>
  <c r="X61" i="1"/>
  <c r="X63" i="1"/>
  <c r="X9" i="1"/>
  <c r="X13" i="1"/>
  <c r="X19" i="1"/>
  <c r="X21" i="1"/>
  <c r="Y25" i="1"/>
  <c r="X33" i="1"/>
  <c r="X43" i="1"/>
  <c r="Y49" i="1"/>
  <c r="X47" i="1"/>
  <c r="Y39" i="1"/>
  <c r="Y37" i="1"/>
  <c r="Y46" i="1"/>
  <c r="Y56" i="1"/>
  <c r="Y17" i="1"/>
  <c r="Y44" i="1"/>
  <c r="X64" i="1"/>
  <c r="X54" i="1"/>
  <c r="X34" i="1"/>
  <c r="X24" i="1"/>
  <c r="Y26" i="1"/>
  <c r="X36" i="1"/>
  <c r="Y63" i="1"/>
  <c r="Y53" i="1"/>
  <c r="Y43" i="1"/>
  <c r="Y33" i="1"/>
  <c r="Y23" i="1"/>
  <c r="Y13" i="1"/>
  <c r="X25" i="1"/>
  <c r="X15" i="1"/>
  <c r="Y62" i="1"/>
  <c r="Y52" i="1"/>
  <c r="Y42" i="1"/>
  <c r="Y32" i="1"/>
  <c r="Y22" i="1"/>
  <c r="Y12" i="1"/>
  <c r="Y61" i="1"/>
  <c r="Y51" i="1"/>
  <c r="Y41" i="1"/>
  <c r="Y31" i="1"/>
  <c r="Y21" i="1"/>
  <c r="Y11" i="1"/>
  <c r="AD24" i="1"/>
  <c r="AD26" i="1"/>
  <c r="Y60" i="1"/>
  <c r="Y50" i="1"/>
  <c r="Y40" i="1"/>
  <c r="Y30" i="1"/>
  <c r="Y20" i="1"/>
  <c r="Y10" i="1"/>
  <c r="AE64" i="1"/>
  <c r="Y9" i="1"/>
  <c r="X7" i="1"/>
  <c r="Y58" i="1"/>
  <c r="Y48" i="1"/>
  <c r="Y38" i="1"/>
  <c r="Y28" i="1"/>
  <c r="Y18" i="1"/>
  <c r="Y19" i="1"/>
  <c r="AA35" i="1"/>
  <c r="Z35" i="1"/>
  <c r="W53" i="1"/>
  <c r="W24" i="1"/>
  <c r="AE53" i="1"/>
  <c r="AA24" i="1"/>
  <c r="AE59" i="1"/>
  <c r="AE24" i="1"/>
  <c r="AB33" i="1"/>
  <c r="AB35" i="1"/>
  <c r="AB7" i="1"/>
  <c r="AE55" i="1"/>
  <c r="AD7" i="1"/>
  <c r="AA7" i="1"/>
  <c r="AD48" i="1"/>
  <c r="AD50" i="1"/>
  <c r="AA61" i="1"/>
  <c r="AE50" i="1"/>
  <c r="W37" i="1"/>
  <c r="AA64" i="1"/>
  <c r="AB24" i="1"/>
  <c r="W21" i="1"/>
  <c r="AA21" i="1"/>
  <c r="AB21" i="1"/>
  <c r="W52" i="1"/>
  <c r="AD21" i="1"/>
  <c r="AA39" i="1"/>
  <c r="Z52" i="1"/>
  <c r="AB39" i="1"/>
  <c r="W23" i="1"/>
  <c r="W10" i="1"/>
  <c r="W36" i="1"/>
  <c r="W47" i="1"/>
  <c r="Z10" i="1"/>
  <c r="Z36" i="1"/>
  <c r="Z47" i="1"/>
  <c r="AD52" i="1"/>
  <c r="AA36" i="1"/>
  <c r="AD16" i="1"/>
  <c r="AB36" i="1"/>
  <c r="AE21" i="1"/>
  <c r="AD36" i="1"/>
  <c r="AE36" i="1"/>
  <c r="W62" i="1"/>
  <c r="Z64" i="1"/>
  <c r="AE23" i="1"/>
  <c r="AB28" i="1"/>
  <c r="AE35" i="1"/>
  <c r="AT59" i="1"/>
  <c r="W61" i="1"/>
  <c r="AA42" i="1"/>
  <c r="AD28" i="1"/>
  <c r="AA15" i="1"/>
  <c r="AA25" i="1"/>
  <c r="W32" i="1"/>
  <c r="AD42" i="1"/>
  <c r="AB13" i="1"/>
  <c r="Z42" i="1"/>
  <c r="AD13" i="1"/>
  <c r="Z25" i="1"/>
  <c r="AB15" i="1"/>
  <c r="AB25" i="1"/>
  <c r="AE42" i="1"/>
  <c r="W58" i="1"/>
  <c r="Z11" i="1"/>
  <c r="Z54" i="1"/>
  <c r="AB8" i="1"/>
  <c r="AT9" i="1"/>
  <c r="AD15" i="1"/>
  <c r="AD25" i="1"/>
  <c r="Z58" i="1"/>
  <c r="AA58" i="1"/>
  <c r="Z53" i="1"/>
  <c r="AE58" i="1"/>
  <c r="AE37" i="1"/>
  <c r="AD27" i="1"/>
  <c r="AA53" i="1"/>
  <c r="AE25" i="1"/>
  <c r="Z23" i="1"/>
  <c r="AA23" i="1"/>
  <c r="AS17" i="1"/>
  <c r="AD23" i="1"/>
  <c r="W35" i="1"/>
  <c r="AE52" i="1"/>
  <c r="Z22" i="1"/>
  <c r="AA22" i="1"/>
  <c r="AE27" i="1"/>
  <c r="Z32" i="1"/>
  <c r="W63" i="1"/>
  <c r="Z63" i="1"/>
  <c r="AD17" i="1"/>
  <c r="AB22" i="1"/>
  <c r="AD22" i="1"/>
  <c r="Z26" i="1"/>
  <c r="Z38" i="1"/>
  <c r="W57" i="1"/>
  <c r="W14" i="1"/>
  <c r="AA38" i="1"/>
  <c r="W51" i="1"/>
  <c r="Z57" i="1"/>
  <c r="AA63" i="1"/>
  <c r="Z14" i="1"/>
  <c r="Z21" i="1"/>
  <c r="AE22" i="1"/>
  <c r="AA26" i="1"/>
  <c r="AB38" i="1"/>
  <c r="Z51" i="1"/>
  <c r="AD63" i="1"/>
  <c r="AA14" i="1"/>
  <c r="AB26" i="1"/>
  <c r="AD29" i="1"/>
  <c r="AD38" i="1"/>
  <c r="W25" i="1"/>
  <c r="AE26" i="1"/>
  <c r="Z37" i="1"/>
  <c r="Z43" i="1"/>
  <c r="AE48" i="1"/>
  <c r="AA54" i="1"/>
  <c r="AS57" i="1"/>
  <c r="Z62" i="1"/>
  <c r="AS63" i="1"/>
  <c r="W13" i="1"/>
  <c r="W31" i="1"/>
  <c r="AA37" i="1"/>
  <c r="AA43" i="1"/>
  <c r="W50" i="1"/>
  <c r="AD54" i="1"/>
  <c r="AA62" i="1"/>
  <c r="Z13" i="1"/>
  <c r="AS29" i="1"/>
  <c r="AB37" i="1"/>
  <c r="AB40" i="1"/>
  <c r="AD43" i="1"/>
  <c r="Z50" i="1"/>
  <c r="AD62" i="1"/>
  <c r="AS50" i="1"/>
  <c r="W43" i="1"/>
  <c r="AB16" i="1"/>
  <c r="AT29" i="1"/>
  <c r="AD37" i="1"/>
  <c r="AD40" i="1"/>
  <c r="AA59" i="1"/>
  <c r="AD59" i="1"/>
  <c r="Z24" i="1"/>
  <c r="AB23" i="1"/>
  <c r="AA27" i="1"/>
  <c r="AD35" i="1"/>
  <c r="AD39" i="1"/>
  <c r="AT33" i="1"/>
  <c r="W22" i="1"/>
  <c r="AS7" i="1"/>
  <c r="AT60" i="1"/>
  <c r="AT7" i="1"/>
  <c r="AS46" i="1"/>
  <c r="AT46" i="1"/>
  <c r="AS31" i="1"/>
  <c r="AS62" i="1"/>
  <c r="AT14" i="1"/>
  <c r="AS43" i="1"/>
  <c r="AT28" i="1"/>
  <c r="AS24" i="1"/>
  <c r="AT21" i="1"/>
  <c r="AS67" i="1"/>
  <c r="AT26" i="1"/>
  <c r="AT50" i="1"/>
  <c r="AS16" i="1"/>
  <c r="AT45" i="1"/>
  <c r="AT56" i="1"/>
  <c r="AT12" i="1"/>
  <c r="AT36" i="1"/>
  <c r="AS9" i="1"/>
  <c r="AT40" i="1"/>
  <c r="AT18" i="1"/>
  <c r="AS47" i="1"/>
  <c r="AT55" i="1"/>
  <c r="AT65" i="1"/>
  <c r="AS25" i="1"/>
  <c r="AT20" i="1"/>
  <c r="AT39" i="1"/>
  <c r="AT15" i="1"/>
  <c r="AT19" i="1"/>
  <c r="AT57" i="1"/>
  <c r="AT30" i="1"/>
  <c r="AT41" i="1"/>
  <c r="AT8" i="1"/>
  <c r="AS12" i="1"/>
  <c r="AS33" i="1"/>
  <c r="AT10" i="1"/>
  <c r="AT13" i="1"/>
  <c r="AT31" i="1"/>
  <c r="AS20" i="1"/>
  <c r="AT51" i="1"/>
  <c r="AT54" i="1"/>
  <c r="AT38" i="1"/>
  <c r="AS65" i="1"/>
  <c r="AT48" i="1"/>
  <c r="AS23" i="1"/>
  <c r="AT37" i="1"/>
  <c r="AS40" i="1"/>
  <c r="AS53" i="1"/>
  <c r="AS19" i="1"/>
  <c r="AS27" i="1"/>
  <c r="AT47" i="1"/>
  <c r="AT49" i="1"/>
  <c r="AS18" i="1"/>
  <c r="AT61" i="1"/>
  <c r="AT64" i="1"/>
  <c r="AS32" i="1"/>
  <c r="AS41" i="1"/>
  <c r="AS11" i="1"/>
  <c r="AT27" i="1"/>
  <c r="AT35" i="1"/>
  <c r="AT44" i="1"/>
  <c r="AS52" i="1"/>
  <c r="AT34" i="1"/>
  <c r="AS55" i="1"/>
  <c r="AS58" i="1"/>
  <c r="AT66" i="1"/>
  <c r="W67" i="1"/>
  <c r="Z67" i="1"/>
  <c r="AS26" i="1"/>
  <c r="AS30" i="1"/>
  <c r="AS66" i="1"/>
  <c r="AS8" i="1"/>
  <c r="AS15" i="1"/>
  <c r="AT16" i="1"/>
  <c r="W20" i="1"/>
  <c r="AT24" i="1"/>
  <c r="AS39" i="1"/>
  <c r="AS45" i="1"/>
  <c r="AC56" i="1"/>
  <c r="AB56" i="1"/>
  <c r="AE56" i="1"/>
  <c r="AD56" i="1"/>
  <c r="AA56" i="1"/>
  <c r="Z56" i="1"/>
  <c r="AS14" i="1"/>
  <c r="W19" i="1"/>
  <c r="Z20" i="1"/>
  <c r="AC30" i="1"/>
  <c r="AD30" i="1"/>
  <c r="AB30" i="1"/>
  <c r="AA30" i="1"/>
  <c r="Z30" i="1"/>
  <c r="AS38" i="1"/>
  <c r="AC66" i="1"/>
  <c r="AB66" i="1"/>
  <c r="AE66" i="1"/>
  <c r="AD66" i="1"/>
  <c r="AA66" i="1"/>
  <c r="Z66" i="1"/>
  <c r="AC8" i="1"/>
  <c r="AA8" i="1"/>
  <c r="Z8" i="1"/>
  <c r="W8" i="1"/>
  <c r="W18" i="1"/>
  <c r="Z19" i="1"/>
  <c r="AA20" i="1"/>
  <c r="AS37" i="1"/>
  <c r="AC45" i="1"/>
  <c r="AB45" i="1"/>
  <c r="AA45" i="1"/>
  <c r="Z45" i="1"/>
  <c r="W45" i="1"/>
  <c r="AS13" i="1"/>
  <c r="AC14" i="1"/>
  <c r="AE14" i="1"/>
  <c r="W17" i="1"/>
  <c r="Z18" i="1"/>
  <c r="AA19" i="1"/>
  <c r="AB20" i="1"/>
  <c r="AS22" i="1"/>
  <c r="AT23" i="1"/>
  <c r="AS36" i="1"/>
  <c r="W41" i="1"/>
  <c r="AC51" i="1"/>
  <c r="AB51" i="1"/>
  <c r="AT58" i="1"/>
  <c r="W9" i="1"/>
  <c r="W16" i="1"/>
  <c r="Z17" i="1"/>
  <c r="AA18" i="1"/>
  <c r="AB19" i="1"/>
  <c r="AD20" i="1"/>
  <c r="AS35" i="1"/>
  <c r="W40" i="1"/>
  <c r="Z41" i="1"/>
  <c r="AC61" i="1"/>
  <c r="AB61" i="1"/>
  <c r="Z61" i="1"/>
  <c r="AD9" i="1"/>
  <c r="AC13" i="1"/>
  <c r="AE13" i="1"/>
  <c r="W15" i="1"/>
  <c r="Z16" i="1"/>
  <c r="AA17" i="1"/>
  <c r="AB18" i="1"/>
  <c r="AD19" i="1"/>
  <c r="AE20" i="1"/>
  <c r="AS21" i="1"/>
  <c r="AS34" i="1"/>
  <c r="W39" i="1"/>
  <c r="Z40" i="1"/>
  <c r="AA41" i="1"/>
  <c r="AT43" i="1"/>
  <c r="AC7" i="1"/>
  <c r="Z7" i="1"/>
  <c r="W7" i="1"/>
  <c r="Z15" i="1"/>
  <c r="AA16" i="1"/>
  <c r="AB17" i="1"/>
  <c r="AD18" i="1"/>
  <c r="AE19" i="1"/>
  <c r="AT22" i="1"/>
  <c r="AC29" i="1"/>
  <c r="AB29" i="1"/>
  <c r="AA29" i="1"/>
  <c r="Z29" i="1"/>
  <c r="W29" i="1"/>
  <c r="W38" i="1"/>
  <c r="Z39" i="1"/>
  <c r="AA40" i="1"/>
  <c r="AB41" i="1"/>
  <c r="AS42" i="1"/>
  <c r="AS44" i="1"/>
  <c r="AS49" i="1"/>
  <c r="AC50" i="1"/>
  <c r="AB50" i="1"/>
  <c r="AC55" i="1"/>
  <c r="AB55" i="1"/>
  <c r="AA55" i="1"/>
  <c r="Z55" i="1"/>
  <c r="W55" i="1"/>
  <c r="AS60" i="1"/>
  <c r="AC9" i="1"/>
  <c r="AB9" i="1"/>
  <c r="AA9" i="1"/>
  <c r="Z9" i="1"/>
  <c r="AS56" i="1"/>
  <c r="AT17" i="1"/>
  <c r="AC12" i="1"/>
  <c r="AE12" i="1"/>
  <c r="AD12" i="1"/>
  <c r="AE18" i="1"/>
  <c r="AC34" i="1"/>
  <c r="AE34" i="1"/>
  <c r="AD41" i="1"/>
  <c r="AE17" i="1"/>
  <c r="AC44" i="1"/>
  <c r="AB44" i="1"/>
  <c r="W44" i="1"/>
  <c r="AS48" i="1"/>
  <c r="AC49" i="1"/>
  <c r="AB49" i="1"/>
  <c r="AT11" i="1"/>
  <c r="AE16" i="1"/>
  <c r="AE40" i="1"/>
  <c r="AT42" i="1"/>
  <c r="AS59" i="1"/>
  <c r="W66" i="1"/>
  <c r="AC11" i="1"/>
  <c r="AE11" i="1"/>
  <c r="AD11" i="1"/>
  <c r="AB11" i="1"/>
  <c r="AS54" i="1"/>
  <c r="AT63" i="1"/>
  <c r="AD14" i="1"/>
  <c r="AT32" i="1"/>
  <c r="W34" i="1"/>
  <c r="AE38" i="1"/>
  <c r="AD51" i="1"/>
  <c r="AS64" i="1"/>
  <c r="AS10" i="1"/>
  <c r="AC47" i="1"/>
  <c r="AB47" i="1"/>
  <c r="AE47" i="1"/>
  <c r="AD47" i="1"/>
  <c r="AD34" i="1"/>
  <c r="AD44" i="1"/>
  <c r="AD49" i="1"/>
  <c r="AC65" i="1"/>
  <c r="AB65" i="1"/>
  <c r="AA65" i="1"/>
  <c r="Z65" i="1"/>
  <c r="W65" i="1"/>
  <c r="AE41" i="1"/>
  <c r="W56" i="1"/>
  <c r="AC60" i="1"/>
  <c r="AB60" i="1"/>
  <c r="AS28" i="1"/>
  <c r="AE30" i="1"/>
  <c r="AC33" i="1"/>
  <c r="AE33" i="1"/>
  <c r="AD33" i="1"/>
  <c r="AT53" i="1"/>
  <c r="AE8" i="1"/>
  <c r="AE15" i="1"/>
  <c r="AE39" i="1"/>
  <c r="AE45" i="1"/>
  <c r="AC48" i="1"/>
  <c r="AB48" i="1"/>
  <c r="AC28" i="1"/>
  <c r="AA28" i="1"/>
  <c r="Z28" i="1"/>
  <c r="W28" i="1"/>
  <c r="AC59" i="1"/>
  <c r="AB59" i="1"/>
  <c r="W12" i="1"/>
  <c r="AC32" i="1"/>
  <c r="AE32" i="1"/>
  <c r="AD32" i="1"/>
  <c r="AB32" i="1"/>
  <c r="Z34" i="1"/>
  <c r="W49" i="1"/>
  <c r="AE51" i="1"/>
  <c r="AC54" i="1"/>
  <c r="AB54" i="1"/>
  <c r="W54" i="1"/>
  <c r="W60" i="1"/>
  <c r="Z12" i="1"/>
  <c r="AA34" i="1"/>
  <c r="Z44" i="1"/>
  <c r="Z49" i="1"/>
  <c r="AS51" i="1"/>
  <c r="AT52" i="1"/>
  <c r="AC58" i="1"/>
  <c r="AB58" i="1"/>
  <c r="Z60" i="1"/>
  <c r="AE61" i="1"/>
  <c r="AC64" i="1"/>
  <c r="AB64" i="1"/>
  <c r="W64" i="1"/>
  <c r="AC10" i="1"/>
  <c r="AD10" i="1"/>
  <c r="AB10" i="1"/>
  <c r="AA10" i="1"/>
  <c r="AA12" i="1"/>
  <c r="W33" i="1"/>
  <c r="AB34" i="1"/>
  <c r="AA44" i="1"/>
  <c r="W48" i="1"/>
  <c r="AA49" i="1"/>
  <c r="AA60" i="1"/>
  <c r="AS61" i="1"/>
  <c r="AT62" i="1"/>
  <c r="AD65" i="1"/>
  <c r="AB12" i="1"/>
  <c r="W11" i="1"/>
  <c r="AT25" i="1"/>
  <c r="AC27" i="1"/>
  <c r="Z27" i="1"/>
  <c r="W27" i="1"/>
  <c r="AC31" i="1"/>
  <c r="AE31" i="1"/>
  <c r="AD31" i="1"/>
  <c r="AB31" i="1"/>
  <c r="AA31" i="1"/>
  <c r="AA33" i="1"/>
  <c r="AE44" i="1"/>
  <c r="AC46" i="1"/>
  <c r="AB46" i="1"/>
  <c r="AE46" i="1"/>
  <c r="AD46" i="1"/>
  <c r="AA46" i="1"/>
  <c r="Z46" i="1"/>
  <c r="AA48" i="1"/>
  <c r="AE49" i="1"/>
  <c r="AC57" i="1"/>
  <c r="AB57" i="1"/>
  <c r="AE57" i="1"/>
  <c r="AD57" i="1"/>
  <c r="Z59" i="1"/>
  <c r="AE60" i="1"/>
  <c r="AC43" i="1"/>
  <c r="AB43" i="1"/>
  <c r="AC53" i="1"/>
  <c r="AB53" i="1"/>
  <c r="AC63" i="1"/>
  <c r="AB63" i="1"/>
  <c r="W26" i="1"/>
  <c r="AC42" i="1"/>
  <c r="AB42" i="1"/>
  <c r="AC52" i="1"/>
  <c r="AB52" i="1"/>
  <c r="AC62" i="1"/>
  <c r="AB62" i="1"/>
  <c r="AT67" i="1"/>
  <c r="T51" i="4" l="1"/>
  <c r="T22" i="4"/>
  <c r="T11" i="4"/>
  <c r="T67" i="4"/>
  <c r="T53" i="4"/>
  <c r="T31" i="4"/>
  <c r="T35" i="4"/>
  <c r="T21" i="4"/>
  <c r="T24" i="4"/>
  <c r="T17" i="4"/>
  <c r="T15" i="4"/>
  <c r="T64" i="4"/>
  <c r="T41" i="4"/>
  <c r="T14" i="4"/>
  <c r="T34" i="4"/>
  <c r="T36" i="4"/>
  <c r="T40" i="4"/>
  <c r="T37" i="4"/>
  <c r="T60" i="4"/>
  <c r="T44" i="4"/>
  <c r="T61" i="4"/>
  <c r="T20" i="4"/>
  <c r="T57" i="4"/>
  <c r="T19" i="4"/>
  <c r="T12" i="4"/>
  <c r="T47" i="4"/>
  <c r="T58" i="4"/>
  <c r="T52" i="4"/>
  <c r="T10" i="4"/>
  <c r="T55" i="4"/>
  <c r="T29" i="4"/>
  <c r="T65" i="4"/>
  <c r="T16" i="4"/>
  <c r="T62" i="4"/>
  <c r="T59" i="4"/>
  <c r="T25" i="4"/>
  <c r="T23" i="4"/>
  <c r="T30" i="4"/>
  <c r="T56" i="4"/>
  <c r="T54" i="4"/>
  <c r="T43" i="4"/>
  <c r="T9" i="4"/>
  <c r="T63" i="4"/>
  <c r="T45" i="4"/>
  <c r="T33" i="4"/>
  <c r="T26" i="4"/>
  <c r="T50" i="4"/>
  <c r="T49" i="4"/>
  <c r="T66" i="4"/>
  <c r="T13" i="4"/>
  <c r="T46" i="4"/>
  <c r="T18" i="4"/>
  <c r="T38" i="4"/>
  <c r="T27" i="4"/>
  <c r="T28" i="4"/>
  <c r="T8" i="4"/>
  <c r="T7" i="4"/>
  <c r="T42" i="4"/>
  <c r="T32" i="4"/>
  <c r="T25" i="1"/>
  <c r="T7" i="1"/>
  <c r="T59" i="1"/>
  <c r="T14" i="1"/>
  <c r="T9" i="1"/>
  <c r="T39" i="1"/>
  <c r="T21" i="1"/>
  <c r="T57" i="1"/>
  <c r="T17" i="1"/>
  <c r="T52" i="1"/>
  <c r="T28" i="1"/>
  <c r="T29" i="1"/>
  <c r="T24" i="1"/>
  <c r="T33" i="1"/>
  <c r="T63" i="1"/>
  <c r="T27" i="1"/>
  <c r="T40" i="1"/>
  <c r="T60" i="1"/>
  <c r="T31" i="1"/>
  <c r="T10" i="1"/>
  <c r="T61" i="1"/>
  <c r="T8" i="1"/>
  <c r="T16" i="1"/>
  <c r="T47" i="1"/>
  <c r="T50" i="1"/>
  <c r="T56" i="1"/>
  <c r="T19" i="1"/>
  <c r="T12" i="1"/>
  <c r="T36" i="1"/>
  <c r="T64" i="1"/>
  <c r="T65" i="1"/>
  <c r="T20" i="1"/>
  <c r="T46" i="1"/>
  <c r="T62" i="1"/>
  <c r="T43" i="1"/>
  <c r="T13" i="1"/>
  <c r="T45" i="1"/>
  <c r="T67" i="1"/>
  <c r="T38" i="1"/>
  <c r="T15" i="1"/>
  <c r="T41" i="1"/>
  <c r="T32" i="1"/>
  <c r="T44" i="1"/>
  <c r="T35" i="1"/>
  <c r="T30" i="1"/>
  <c r="T26" i="1"/>
  <c r="T18" i="1"/>
  <c r="T55" i="1"/>
  <c r="T49" i="1"/>
  <c r="T54" i="1"/>
  <c r="T34" i="1"/>
  <c r="T51" i="1"/>
  <c r="T42" i="1"/>
  <c r="T66" i="1"/>
  <c r="T37" i="1"/>
  <c r="T58" i="1"/>
  <c r="T53" i="1"/>
  <c r="T11" i="1"/>
  <c r="T23" i="1"/>
  <c r="T48" i="1"/>
  <c r="T22" i="1"/>
  <c r="H4" i="4" l="1"/>
  <c r="F4" i="4"/>
  <c r="G4" i="4"/>
  <c r="E4" i="4"/>
  <c r="D4" i="4"/>
  <c r="K4" i="4"/>
  <c r="I4" i="4"/>
  <c r="C4" i="4"/>
  <c r="O4" i="4"/>
  <c r="G4" i="1"/>
  <c r="O4" i="1"/>
  <c r="C4" i="1"/>
  <c r="K4" i="1"/>
  <c r="F4" i="1"/>
  <c r="D4" i="1"/>
  <c r="I4" i="1"/>
  <c r="H4" i="1"/>
  <c r="E4" i="1"/>
</calcChain>
</file>

<file path=xl/sharedStrings.xml><?xml version="1.0" encoding="utf-8"?>
<sst xmlns="http://schemas.openxmlformats.org/spreadsheetml/2006/main" count="1032" uniqueCount="532">
  <si>
    <t>date</t>
  </si>
  <si>
    <t>shift</t>
  </si>
  <si>
    <t>activeClay</t>
  </si>
  <si>
    <t>compactibility</t>
  </si>
  <si>
    <t>gcs</t>
  </si>
  <si>
    <t>gfnAfs</t>
  </si>
  <si>
    <t>loi</t>
  </si>
  <si>
    <t>moisture</t>
  </si>
  <si>
    <t>permeability</t>
  </si>
  <si>
    <t>sand_metal_ratio</t>
  </si>
  <si>
    <t>core_sand_ratio</t>
  </si>
  <si>
    <t>core_metal_ratio</t>
  </si>
  <si>
    <t>bentonite_predicted_kg</t>
  </si>
  <si>
    <t>fresh silica sand_predicted_kg</t>
  </si>
  <si>
    <t>return sand_predicted_kg</t>
  </si>
  <si>
    <t>water_predicted_kg</t>
  </si>
  <si>
    <t>csi</t>
  </si>
  <si>
    <t>fss</t>
  </si>
  <si>
    <t>bentonite_predicted_kg1</t>
  </si>
  <si>
    <t>B</t>
  </si>
  <si>
    <t>C</t>
  </si>
  <si>
    <t>A</t>
  </si>
  <si>
    <t>Final Prediction</t>
  </si>
  <si>
    <t>Actual Bentonite</t>
  </si>
  <si>
    <t>MB CLAY</t>
  </si>
  <si>
    <t>GCS</t>
  </si>
  <si>
    <t>Moisture</t>
  </si>
  <si>
    <t>LOI</t>
  </si>
  <si>
    <t>Target Values</t>
  </si>
  <si>
    <t>CORE</t>
  </si>
  <si>
    <t>Mean</t>
  </si>
  <si>
    <t>SMR</t>
  </si>
  <si>
    <t>Offet</t>
  </si>
  <si>
    <t>new sand coefficient</t>
  </si>
  <si>
    <t>Coefficient</t>
  </si>
  <si>
    <t>COEFF</t>
  </si>
  <si>
    <t>Coeff</t>
  </si>
  <si>
    <t>Weight</t>
  </si>
  <si>
    <t>P1</t>
  </si>
  <si>
    <t>P2</t>
  </si>
  <si>
    <t>Dateshift</t>
  </si>
  <si>
    <t>Customer:</t>
  </si>
  <si>
    <t>Cadillac Casting, Inc.</t>
  </si>
  <si>
    <t>Foundry Line:</t>
  </si>
  <si>
    <t>Foundry Line Group:</t>
  </si>
  <si>
    <t>Group 1</t>
  </si>
  <si>
    <t>From:</t>
  </si>
  <si>
    <t>To:</t>
  </si>
  <si>
    <t>Acceptable Dev(%):</t>
  </si>
  <si>
    <t>Bentonite Dev(%):</t>
  </si>
  <si>
    <t>FSS Dev(%):</t>
  </si>
  <si>
    <t>LCA Dev(%):</t>
  </si>
  <si>
    <t>Water Dev(%):</t>
  </si>
  <si>
    <t>Date</t>
  </si>
  <si>
    <t>Shift</t>
  </si>
  <si>
    <t>Bentonite</t>
  </si>
  <si>
    <t>FSS</t>
  </si>
  <si>
    <t>Water</t>
  </si>
  <si>
    <t>Active Clay</t>
  </si>
  <si>
    <t>Compactability</t>
  </si>
  <si>
    <t>GFN/AFS</t>
  </si>
  <si>
    <t>Permeability</t>
  </si>
  <si>
    <t>Predicted</t>
  </si>
  <si>
    <t>Actual</t>
  </si>
  <si>
    <t>Dev. Actual(%)</t>
  </si>
  <si>
    <t>Dev. Optimum(%)</t>
  </si>
  <si>
    <t>Optimal</t>
  </si>
  <si>
    <t>Model(Low)</t>
  </si>
  <si>
    <t>Model(High)</t>
  </si>
  <si>
    <t>11.34</t>
  </si>
  <si>
    <t>0.0</t>
  </si>
  <si>
    <t>93.31</t>
  </si>
  <si>
    <t>8.29</t>
  </si>
  <si>
    <t>38.59</t>
  </si>
  <si>
    <t>26.61</t>
  </si>
  <si>
    <t>55.52</t>
  </si>
  <si>
    <t>3.73</t>
  </si>
  <si>
    <t>3.4</t>
  </si>
  <si>
    <t>145.53</t>
  </si>
  <si>
    <t>11.36</t>
  </si>
  <si>
    <t>102.89</t>
  </si>
  <si>
    <t>8.0</t>
  </si>
  <si>
    <t>38.39</t>
  </si>
  <si>
    <t>26.88</t>
  </si>
  <si>
    <t>55.84</t>
  </si>
  <si>
    <t>3.61</t>
  </si>
  <si>
    <t>3.31</t>
  </si>
  <si>
    <t>146.3</t>
  </si>
  <si>
    <t>14.35</t>
  </si>
  <si>
    <t>70.32</t>
  </si>
  <si>
    <t>7.9</t>
  </si>
  <si>
    <t>38.43</t>
  </si>
  <si>
    <t>26.68</t>
  </si>
  <si>
    <t>55.75</t>
  </si>
  <si>
    <t>3.64</t>
  </si>
  <si>
    <t>3.33</t>
  </si>
  <si>
    <t>149.66</t>
  </si>
  <si>
    <t>13.95</t>
  </si>
  <si>
    <t>69.45</t>
  </si>
  <si>
    <t>8.04</t>
  </si>
  <si>
    <t>38.69</t>
  </si>
  <si>
    <t>26.41</t>
  </si>
  <si>
    <t>55.69</t>
  </si>
  <si>
    <t>3.39</t>
  </si>
  <si>
    <t>148.76</t>
  </si>
  <si>
    <t>15.69</t>
  </si>
  <si>
    <t>79.03</t>
  </si>
  <si>
    <t>8.06</t>
  </si>
  <si>
    <t>38.87</t>
  </si>
  <si>
    <t>26.53</t>
  </si>
  <si>
    <t>55.12</t>
  </si>
  <si>
    <t>3.72</t>
  </si>
  <si>
    <t>150.78</t>
  </si>
  <si>
    <t>104.27</t>
  </si>
  <si>
    <t>38.71</t>
  </si>
  <si>
    <t>26.65</t>
  </si>
  <si>
    <t>55.23</t>
  </si>
  <si>
    <t>3.7</t>
  </si>
  <si>
    <t>3.35</t>
  </si>
  <si>
    <t>148.92</t>
  </si>
  <si>
    <t>11.35</t>
  </si>
  <si>
    <t>97.42</t>
  </si>
  <si>
    <t>8.2</t>
  </si>
  <si>
    <t>38.77</t>
  </si>
  <si>
    <t>26.37</t>
  </si>
  <si>
    <t>3.77</t>
  </si>
  <si>
    <t>150.0</t>
  </si>
  <si>
    <t>11.38</t>
  </si>
  <si>
    <t>111.09</t>
  </si>
  <si>
    <t>8.45</t>
  </si>
  <si>
    <t>38.6</t>
  </si>
  <si>
    <t>4.01</t>
  </si>
  <si>
    <t>3.45</t>
  </si>
  <si>
    <t>145.93</t>
  </si>
  <si>
    <t>11.4</t>
  </si>
  <si>
    <t>10.09</t>
  </si>
  <si>
    <r>
      <t xml:space="preserve">111.31 </t>
    </r>
    <r>
      <rPr>
        <b/>
        <sz val="14"/>
        <color rgb="FF00FF00"/>
        <rFont val="Calibri"/>
      </rPr>
      <t>↑</t>
    </r>
  </si>
  <si>
    <r>
      <t xml:space="preserve">8.54 </t>
    </r>
    <r>
      <rPr>
        <b/>
        <sz val="14"/>
        <color rgb="FF00FF00"/>
        <rFont val="Calibri"/>
      </rPr>
      <t>↑</t>
    </r>
  </si>
  <si>
    <t>38.38</t>
  </si>
  <si>
    <t>26.57</t>
  </si>
  <si>
    <t>55.19</t>
  </si>
  <si>
    <t>4.04</t>
  </si>
  <si>
    <t>146.69</t>
  </si>
  <si>
    <t>11.37</t>
  </si>
  <si>
    <t>104.86</t>
  </si>
  <si>
    <t>8.27</t>
  </si>
  <si>
    <t>38.5</t>
  </si>
  <si>
    <t>26.14</t>
  </si>
  <si>
    <t>55.17</t>
  </si>
  <si>
    <t>4.02</t>
  </si>
  <si>
    <t>3.42</t>
  </si>
  <si>
    <t>147.84</t>
  </si>
  <si>
    <t>2.16</t>
  </si>
  <si>
    <t>95.34</t>
  </si>
  <si>
    <t>8.16</t>
  </si>
  <si>
    <t>38.7</t>
  </si>
  <si>
    <t>26.35</t>
  </si>
  <si>
    <t>54.85</t>
  </si>
  <si>
    <t>3.43</t>
  </si>
  <si>
    <t>147.09</t>
  </si>
  <si>
    <t>19.4</t>
  </si>
  <si>
    <t>95.13</t>
  </si>
  <si>
    <t>7.97</t>
  </si>
  <si>
    <r>
      <t xml:space="preserve">56.28 </t>
    </r>
    <r>
      <rPr>
        <b/>
        <sz val="14"/>
        <color rgb="FF00FF00"/>
        <rFont val="Calibri"/>
      </rPr>
      <t>↑</t>
    </r>
  </si>
  <si>
    <t>3.91</t>
  </si>
  <si>
    <r>
      <t xml:space="preserve">3.3 </t>
    </r>
    <r>
      <rPr>
        <b/>
        <sz val="14"/>
        <color rgb="FFFF0000"/>
        <rFont val="Calibri"/>
      </rPr>
      <t>↓</t>
    </r>
  </si>
  <si>
    <t>149.4</t>
  </si>
  <si>
    <t>14.9</t>
  </si>
  <si>
    <t>69.21</t>
  </si>
  <si>
    <t>7.95</t>
  </si>
  <si>
    <t>38.36</t>
  </si>
  <si>
    <t>26.6</t>
  </si>
  <si>
    <t>56.26</t>
  </si>
  <si>
    <t>3.34</t>
  </si>
  <si>
    <t>148.89</t>
  </si>
  <si>
    <t>20.48</t>
  </si>
  <si>
    <t>87.21</t>
  </si>
  <si>
    <t>8.15</t>
  </si>
  <si>
    <t>39.0</t>
  </si>
  <si>
    <t>26.56</t>
  </si>
  <si>
    <t>55.73</t>
  </si>
  <si>
    <t>3.38</t>
  </si>
  <si>
    <t>150.03</t>
  </si>
  <si>
    <t>11.31</t>
  </si>
  <si>
    <t>79.97</t>
  </si>
  <si>
    <t>8.09</t>
  </si>
  <si>
    <t>38.8</t>
  </si>
  <si>
    <t>26.67</t>
  </si>
  <si>
    <t>55.3</t>
  </si>
  <si>
    <t>147.57</t>
  </si>
  <si>
    <t>91.87</t>
  </si>
  <si>
    <t>8.19</t>
  </si>
  <si>
    <t>38.75</t>
  </si>
  <si>
    <t>26.46</t>
  </si>
  <si>
    <t>55.22</t>
  </si>
  <si>
    <t>3.76</t>
  </si>
  <si>
    <t>3.41</t>
  </si>
  <si>
    <t>149.01</t>
  </si>
  <si>
    <t>14.88</t>
  </si>
  <si>
    <t>69.13</t>
  </si>
  <si>
    <r>
      <t xml:space="preserve">8.04 </t>
    </r>
    <r>
      <rPr>
        <b/>
        <sz val="14"/>
        <color rgb="FFFF0000"/>
        <rFont val="Calibri"/>
      </rPr>
      <t>↓</t>
    </r>
  </si>
  <si>
    <t>38.9</t>
  </si>
  <si>
    <t>26.45</t>
  </si>
  <si>
    <t>3.8</t>
  </si>
  <si>
    <t>149.36</t>
  </si>
  <si>
    <t>11.33</t>
  </si>
  <si>
    <t>88.68</t>
  </si>
  <si>
    <t>8.17</t>
  </si>
  <si>
    <t>55.58</t>
  </si>
  <si>
    <t>3.93</t>
  </si>
  <si>
    <t>146.42</t>
  </si>
  <si>
    <t>10.5</t>
  </si>
  <si>
    <t>84.69</t>
  </si>
  <si>
    <t>8.41</t>
  </si>
  <si>
    <t>38.65</t>
  </si>
  <si>
    <t>26.17</t>
  </si>
  <si>
    <t>55.34</t>
  </si>
  <si>
    <t>3.99</t>
  </si>
  <si>
    <t>3.49</t>
  </si>
  <si>
    <t>146.43</t>
  </si>
  <si>
    <t>9.42</t>
  </si>
  <si>
    <t>89.14</t>
  </si>
  <si>
    <t>8.53</t>
  </si>
  <si>
    <t>38.91</t>
  </si>
  <si>
    <t>26.51</t>
  </si>
  <si>
    <t>56.19</t>
  </si>
  <si>
    <r>
      <t xml:space="preserve">3.52 </t>
    </r>
    <r>
      <rPr>
        <b/>
        <sz val="14"/>
        <color rgb="FF00FF00"/>
        <rFont val="Calibri"/>
      </rPr>
      <t>↑</t>
    </r>
  </si>
  <si>
    <t>142.73</t>
  </si>
  <si>
    <t>11.42</t>
  </si>
  <si>
    <t>18.02</t>
  </si>
  <si>
    <t>111.48</t>
  </si>
  <si>
    <r>
      <t xml:space="preserve">8.76 </t>
    </r>
    <r>
      <rPr>
        <b/>
        <sz val="14"/>
        <color rgb="FF00FF00"/>
        <rFont val="Calibri"/>
      </rPr>
      <t>↑</t>
    </r>
  </si>
  <si>
    <t>38.34</t>
  </si>
  <si>
    <t>26.31</t>
  </si>
  <si>
    <t>56.42</t>
  </si>
  <si>
    <t>4.27</t>
  </si>
  <si>
    <t>3.51</t>
  </si>
  <si>
    <t>142.81</t>
  </si>
  <si>
    <t>17.94</t>
  </si>
  <si>
    <t>88.3</t>
  </si>
  <si>
    <t>8.36</t>
  </si>
  <si>
    <t>38.46</t>
  </si>
  <si>
    <t>26.08</t>
  </si>
  <si>
    <t>4.26</t>
  </si>
  <si>
    <t>3.47</t>
  </si>
  <si>
    <t>144.44</t>
  </si>
  <si>
    <t>11.32</t>
  </si>
  <si>
    <t>7.33</t>
  </si>
  <si>
    <t>75.14</t>
  </si>
  <si>
    <t>26.47</t>
  </si>
  <si>
    <t>57.06</t>
  </si>
  <si>
    <t>142.23</t>
  </si>
  <si>
    <t>12.15</t>
  </si>
  <si>
    <t>97.34</t>
  </si>
  <si>
    <t>38.56</t>
  </si>
  <si>
    <t>26.32</t>
  </si>
  <si>
    <t>57.47</t>
  </si>
  <si>
    <t>4.16</t>
  </si>
  <si>
    <t>3.37</t>
  </si>
  <si>
    <t>146.27</t>
  </si>
  <si>
    <t>11.88</t>
  </si>
  <si>
    <t>77.12</t>
  </si>
  <si>
    <t>8.14</t>
  </si>
  <si>
    <t>38.45</t>
  </si>
  <si>
    <t>26.25</t>
  </si>
  <si>
    <t>57.48</t>
  </si>
  <si>
    <t>4.24</t>
  </si>
  <si>
    <t>145.56</t>
  </si>
  <si>
    <t>79.4</t>
  </si>
  <si>
    <t>56.13</t>
  </si>
  <si>
    <t>4.07</t>
  </si>
  <si>
    <t>144.06</t>
  </si>
  <si>
    <t>11.41</t>
  </si>
  <si>
    <t>16.18</t>
  </si>
  <si>
    <t>111.44</t>
  </si>
  <si>
    <t>38.64</t>
  </si>
  <si>
    <t>26.34</t>
  </si>
  <si>
    <t>56.36</t>
  </si>
  <si>
    <t>3.95</t>
  </si>
  <si>
    <t>18.0</t>
  </si>
  <si>
    <t>107.26</t>
  </si>
  <si>
    <t>8.84</t>
  </si>
  <si>
    <t>38.81</t>
  </si>
  <si>
    <t>25.83</t>
  </si>
  <si>
    <t>56.6</t>
  </si>
  <si>
    <t>4.18</t>
  </si>
  <si>
    <t>3.57</t>
  </si>
  <si>
    <t>144.32</t>
  </si>
  <si>
    <t>11.39</t>
  </si>
  <si>
    <t>6.68</t>
  </si>
  <si>
    <t>111.23</t>
  </si>
  <si>
    <t>8.5</t>
  </si>
  <si>
    <t>53.85</t>
  </si>
  <si>
    <t>4.03</t>
  </si>
  <si>
    <t>145.01</t>
  </si>
  <si>
    <t>98.98</t>
  </si>
  <si>
    <t>7.96</t>
  </si>
  <si>
    <t>26.54</t>
  </si>
  <si>
    <t>55.27</t>
  </si>
  <si>
    <t>147.16</t>
  </si>
  <si>
    <t>13.52</t>
  </si>
  <si>
    <t>71.06</t>
  </si>
  <si>
    <r>
      <t xml:space="preserve">7.89 </t>
    </r>
    <r>
      <rPr>
        <b/>
        <sz val="14"/>
        <color rgb="FFFF0000"/>
        <rFont val="Calibri"/>
      </rPr>
      <t>↓</t>
    </r>
  </si>
  <si>
    <t>38.4</t>
  </si>
  <si>
    <t>56.66</t>
  </si>
  <si>
    <t>3.97</t>
  </si>
  <si>
    <t>146.36</t>
  </si>
  <si>
    <t>17.91</t>
  </si>
  <si>
    <t>87.42</t>
  </si>
  <si>
    <t>38.68</t>
  </si>
  <si>
    <t>26.28</t>
  </si>
  <si>
    <t>55.9</t>
  </si>
  <si>
    <t>148.79</t>
  </si>
  <si>
    <t>102.52</t>
  </si>
  <si>
    <t>38.41</t>
  </si>
  <si>
    <t>26.5</t>
  </si>
  <si>
    <t>56.01</t>
  </si>
  <si>
    <r>
      <t xml:space="preserve">3.89 </t>
    </r>
    <r>
      <rPr>
        <b/>
        <sz val="14"/>
        <color rgb="FFFF0000"/>
        <rFont val="Calibri"/>
      </rPr>
      <t>↓</t>
    </r>
  </si>
  <si>
    <t>145.57</t>
  </si>
  <si>
    <t>85.0</t>
  </si>
  <si>
    <t>38.24</t>
  </si>
  <si>
    <t>26.66</t>
  </si>
  <si>
    <t>56.0</t>
  </si>
  <si>
    <r>
      <t xml:space="preserve">3.97 </t>
    </r>
    <r>
      <rPr>
        <b/>
        <sz val="14"/>
        <color rgb="FFFF0000"/>
        <rFont val="Calibri"/>
      </rPr>
      <t>↓</t>
    </r>
  </si>
  <si>
    <t>141.48</t>
  </si>
  <si>
    <t>7.81</t>
  </si>
  <si>
    <t>109.8</t>
  </si>
  <si>
    <t>8.25</t>
  </si>
  <si>
    <t>38.63</t>
  </si>
  <si>
    <t>26.15</t>
  </si>
  <si>
    <t>55.13</t>
  </si>
  <si>
    <t>148.58</t>
  </si>
  <si>
    <t>103.51</t>
  </si>
  <si>
    <t>8.22</t>
  </si>
  <si>
    <t>26.36</t>
  </si>
  <si>
    <t>55.39</t>
  </si>
  <si>
    <t>145.08</t>
  </si>
  <si>
    <t>2.65</t>
  </si>
  <si>
    <t>109.3</t>
  </si>
  <si>
    <t>26.16</t>
  </si>
  <si>
    <t>4.05</t>
  </si>
  <si>
    <t>146.67</t>
  </si>
  <si>
    <t>1.63</t>
  </si>
  <si>
    <t>111.13</t>
  </si>
  <si>
    <r>
      <t xml:space="preserve">8.47 </t>
    </r>
    <r>
      <rPr>
        <b/>
        <sz val="14"/>
        <color rgb="FF00FF00"/>
        <rFont val="Calibri"/>
      </rPr>
      <t>↑</t>
    </r>
  </si>
  <si>
    <t>38.54</t>
  </si>
  <si>
    <t>26.7</t>
  </si>
  <si>
    <t>54.57</t>
  </si>
  <si>
    <t>144.72</t>
  </si>
  <si>
    <t>2.27</t>
  </si>
  <si>
    <t>98.28</t>
  </si>
  <si>
    <t>8.24</t>
  </si>
  <si>
    <t>56.22</t>
  </si>
  <si>
    <t>147.02</t>
  </si>
  <si>
    <t>11.3</t>
  </si>
  <si>
    <t>75.23</t>
  </si>
  <si>
    <t>26.44</t>
  </si>
  <si>
    <t>144.81</t>
  </si>
  <si>
    <t>79.24</t>
  </si>
  <si>
    <t>26.48</t>
  </si>
  <si>
    <t>56.48</t>
  </si>
  <si>
    <t>146.63</t>
  </si>
  <si>
    <t>12.82</t>
  </si>
  <si>
    <t>74.35</t>
  </si>
  <si>
    <t>7.89</t>
  </si>
  <si>
    <t>26.74</t>
  </si>
  <si>
    <t>56.43</t>
  </si>
  <si>
    <r>
      <t xml:space="preserve">3.73 </t>
    </r>
    <r>
      <rPr>
        <b/>
        <sz val="14"/>
        <color rgb="FFFF0000"/>
        <rFont val="Calibri"/>
      </rPr>
      <t>↓</t>
    </r>
  </si>
  <si>
    <r>
      <t xml:space="preserve">3.32 </t>
    </r>
    <r>
      <rPr>
        <b/>
        <sz val="14"/>
        <color rgb="FFFF0000"/>
        <rFont val="Calibri"/>
      </rPr>
      <t>↓</t>
    </r>
  </si>
  <si>
    <t>147.92</t>
  </si>
  <si>
    <t>78.1</t>
  </si>
  <si>
    <t>38.27</t>
  </si>
  <si>
    <t>26.62</t>
  </si>
  <si>
    <t>56.41</t>
  </si>
  <si>
    <t>3.75</t>
  </si>
  <si>
    <t>147.62</t>
  </si>
  <si>
    <t>8.68</t>
  </si>
  <si>
    <t>26.83</t>
  </si>
  <si>
    <t>3.86</t>
  </si>
  <si>
    <t>142.41</t>
  </si>
  <si>
    <t>17.96</t>
  </si>
  <si>
    <t>97.08</t>
  </si>
  <si>
    <t>8.59</t>
  </si>
  <si>
    <r>
      <t xml:space="preserve">26.03 </t>
    </r>
    <r>
      <rPr>
        <b/>
        <sz val="14"/>
        <color rgb="FFFF0000"/>
        <rFont val="Calibri"/>
      </rPr>
      <t>↓</t>
    </r>
  </si>
  <si>
    <t>57.11</t>
  </si>
  <si>
    <t>4.11</t>
  </si>
  <si>
    <t>144.66</t>
  </si>
  <si>
    <r>
      <t xml:space="preserve">106.62 </t>
    </r>
    <r>
      <rPr>
        <b/>
        <sz val="14"/>
        <color rgb="FF00FF00"/>
        <rFont val="Calibri"/>
      </rPr>
      <t>↑</t>
    </r>
  </si>
  <si>
    <r>
      <t xml:space="preserve">8.64 </t>
    </r>
    <r>
      <rPr>
        <b/>
        <sz val="14"/>
        <color rgb="FF00FF00"/>
        <rFont val="Calibri"/>
      </rPr>
      <t>↑</t>
    </r>
  </si>
  <si>
    <t>26.04</t>
  </si>
  <si>
    <t>56.55</t>
  </si>
  <si>
    <t>4.25</t>
  </si>
  <si>
    <t>142.56</t>
  </si>
  <si>
    <t>100.16</t>
  </si>
  <si>
    <t>8.39</t>
  </si>
  <si>
    <t>56.76</t>
  </si>
  <si>
    <t>3.44</t>
  </si>
  <si>
    <t>141.44</t>
  </si>
  <si>
    <t>72.34</t>
  </si>
  <si>
    <t>26.59</t>
  </si>
  <si>
    <r>
      <t xml:space="preserve">56.92 </t>
    </r>
    <r>
      <rPr>
        <b/>
        <sz val="14"/>
        <color rgb="FF00FF00"/>
        <rFont val="Calibri"/>
      </rPr>
      <t>↑</t>
    </r>
  </si>
  <si>
    <t>143.19</t>
  </si>
  <si>
    <t>22.77</t>
  </si>
  <si>
    <t>71.99</t>
  </si>
  <si>
    <t>3.65</t>
  </si>
  <si>
    <t>3.3</t>
  </si>
  <si>
    <t>148.45</t>
  </si>
  <si>
    <t>17.03</t>
  </si>
  <si>
    <r>
      <t xml:space="preserve">69.16 </t>
    </r>
    <r>
      <rPr>
        <b/>
        <sz val="14"/>
        <color rgb="FFFF0000"/>
        <rFont val="Calibri"/>
      </rPr>
      <t>↓</t>
    </r>
  </si>
  <si>
    <t>7.87</t>
  </si>
  <si>
    <t>56.75</t>
  </si>
  <si>
    <t>3.66</t>
  </si>
  <si>
    <r>
      <t xml:space="preserve">3.29 </t>
    </r>
    <r>
      <rPr>
        <b/>
        <sz val="14"/>
        <color rgb="FFFF0000"/>
        <rFont val="Calibri"/>
      </rPr>
      <t>↓</t>
    </r>
  </si>
  <si>
    <t>146.83</t>
  </si>
  <si>
    <r>
      <t xml:space="preserve">11.32 </t>
    </r>
    <r>
      <rPr>
        <b/>
        <sz val="14"/>
        <color rgb="FFFF0000"/>
        <rFont val="Calibri"/>
      </rPr>
      <t>↓</t>
    </r>
  </si>
  <si>
    <r>
      <t xml:space="preserve">82.43 </t>
    </r>
    <r>
      <rPr>
        <b/>
        <sz val="14"/>
        <color rgb="FFFF0000"/>
        <rFont val="Calibri"/>
      </rPr>
      <t>↓</t>
    </r>
  </si>
  <si>
    <r>
      <t xml:space="preserve">7.87 </t>
    </r>
    <r>
      <rPr>
        <b/>
        <sz val="14"/>
        <color rgb="FFFF0000"/>
        <rFont val="Calibri"/>
      </rPr>
      <t>↓</t>
    </r>
  </si>
  <si>
    <t>26.86</t>
  </si>
  <si>
    <r>
      <t xml:space="preserve">3.58 </t>
    </r>
    <r>
      <rPr>
        <b/>
        <sz val="14"/>
        <color rgb="FFFF0000"/>
        <rFont val="Calibri"/>
      </rPr>
      <t>↓</t>
    </r>
  </si>
  <si>
    <t>3.32</t>
  </si>
  <si>
    <t>148.84</t>
  </si>
  <si>
    <r>
      <t xml:space="preserve">11.35 </t>
    </r>
    <r>
      <rPr>
        <b/>
        <sz val="14"/>
        <color rgb="FFFF0000"/>
        <rFont val="Calibri"/>
      </rPr>
      <t>↓</t>
    </r>
  </si>
  <si>
    <t>97.01</t>
  </si>
  <si>
    <r>
      <t xml:space="preserve">3.79 </t>
    </r>
    <r>
      <rPr>
        <b/>
        <sz val="14"/>
        <color rgb="FFFF0000"/>
        <rFont val="Calibri"/>
      </rPr>
      <t>↓</t>
    </r>
  </si>
  <si>
    <t>147.9</t>
  </si>
  <si>
    <t>101.03</t>
  </si>
  <si>
    <t>38.42</t>
  </si>
  <si>
    <t>26.4</t>
  </si>
  <si>
    <t>145.94</t>
  </si>
  <si>
    <t>106.62</t>
  </si>
  <si>
    <t>8.47</t>
  </si>
  <si>
    <r>
      <t xml:space="preserve">38.78 </t>
    </r>
    <r>
      <rPr>
        <b/>
        <sz val="14"/>
        <color rgb="FF00FF00"/>
        <rFont val="Calibri"/>
      </rPr>
      <t>↑</t>
    </r>
  </si>
  <si>
    <t>55.93</t>
  </si>
  <si>
    <t>3.96</t>
  </si>
  <si>
    <r>
      <t xml:space="preserve">3.47 </t>
    </r>
    <r>
      <rPr>
        <b/>
        <sz val="14"/>
        <color rgb="FF00FF00"/>
        <rFont val="Calibri"/>
      </rPr>
      <t>↑</t>
    </r>
  </si>
  <si>
    <t>144.07</t>
  </si>
  <si>
    <t>18.01</t>
  </si>
  <si>
    <t>111.39</t>
  </si>
  <si>
    <t>38.55</t>
  </si>
  <si>
    <t>25.97</t>
  </si>
  <si>
    <t>4.12</t>
  </si>
  <si>
    <r>
      <t xml:space="preserve">3.45 </t>
    </r>
    <r>
      <rPr>
        <b/>
        <sz val="14"/>
        <color rgb="FF00FF00"/>
        <rFont val="Calibri"/>
      </rPr>
      <t>↑</t>
    </r>
  </si>
  <si>
    <t>146.57</t>
  </si>
  <si>
    <t>14.09</t>
  </si>
  <si>
    <t>2.68</t>
  </si>
  <si>
    <t>74.86</t>
  </si>
  <si>
    <r>
      <t xml:space="preserve">57.11 </t>
    </r>
    <r>
      <rPr>
        <b/>
        <sz val="14"/>
        <color rgb="FF00FF00"/>
        <rFont val="Calibri"/>
      </rPr>
      <t>↑</t>
    </r>
  </si>
  <si>
    <t>4.15</t>
  </si>
  <si>
    <t>146.68</t>
  </si>
  <si>
    <t>89.63</t>
  </si>
  <si>
    <t>7.93</t>
  </si>
  <si>
    <t>38.37</t>
  </si>
  <si>
    <t>146.09</t>
  </si>
  <si>
    <t>20.98</t>
  </si>
  <si>
    <t>7.78</t>
  </si>
  <si>
    <t>26.49</t>
  </si>
  <si>
    <t>55.91</t>
  </si>
  <si>
    <t>3.28</t>
  </si>
  <si>
    <t>148.73</t>
  </si>
  <si>
    <t>24.15</t>
  </si>
  <si>
    <t>75.2</t>
  </si>
  <si>
    <t>7.85</t>
  </si>
  <si>
    <t>38.25</t>
  </si>
  <si>
    <t>55.81</t>
  </si>
  <si>
    <t>3.26</t>
  </si>
  <si>
    <t>150.52</t>
  </si>
  <si>
    <t>13.26</t>
  </si>
  <si>
    <t>8.07</t>
  </si>
  <si>
    <t>38.82</t>
  </si>
  <si>
    <t>55.05</t>
  </si>
  <si>
    <t>3.78</t>
  </si>
  <si>
    <t>152.27</t>
  </si>
  <si>
    <t>8.43</t>
  </si>
  <si>
    <t>56.1</t>
  </si>
  <si>
    <t>148.51</t>
  </si>
  <si>
    <t>RMSE</t>
  </si>
  <si>
    <t>Std. Dev</t>
  </si>
  <si>
    <t>45555B</t>
  </si>
  <si>
    <t>45555A</t>
  </si>
  <si>
    <t>45554B</t>
  </si>
  <si>
    <t>45554A</t>
  </si>
  <si>
    <t>45553B</t>
  </si>
  <si>
    <t>45553A</t>
  </si>
  <si>
    <t>45552B</t>
  </si>
  <si>
    <t>45552A</t>
  </si>
  <si>
    <t>45551B</t>
  </si>
  <si>
    <t>45551A</t>
  </si>
  <si>
    <t>45549B</t>
  </si>
  <si>
    <t>45549A</t>
  </si>
  <si>
    <t>45548B</t>
  </si>
  <si>
    <t>45548A</t>
  </si>
  <si>
    <t>45547B</t>
  </si>
  <si>
    <t>45547A</t>
  </si>
  <si>
    <t>45544B</t>
  </si>
  <si>
    <t>45544A</t>
  </si>
  <si>
    <t>45541B</t>
  </si>
  <si>
    <t>45541A</t>
  </si>
  <si>
    <t>45540B</t>
  </si>
  <si>
    <t>45540A</t>
  </si>
  <si>
    <t>45539B</t>
  </si>
  <si>
    <t>45539A</t>
  </si>
  <si>
    <t>45538B</t>
  </si>
  <si>
    <t>45538A</t>
  </si>
  <si>
    <t>45533B</t>
  </si>
  <si>
    <t>45533A</t>
  </si>
  <si>
    <t>45532B</t>
  </si>
  <si>
    <t>45532A</t>
  </si>
  <si>
    <t>45531B</t>
  </si>
  <si>
    <t>45531A</t>
  </si>
  <si>
    <t>45530B</t>
  </si>
  <si>
    <t>45530A</t>
  </si>
  <si>
    <t>45526B</t>
  </si>
  <si>
    <t>45526A</t>
  </si>
  <si>
    <t>45525B</t>
  </si>
  <si>
    <t>45525A</t>
  </si>
  <si>
    <t>45524B</t>
  </si>
  <si>
    <t>45524A</t>
  </si>
  <si>
    <t>45523B</t>
  </si>
  <si>
    <t>45523A</t>
  </si>
  <si>
    <t>45520B</t>
  </si>
  <si>
    <t>45520A</t>
  </si>
  <si>
    <t>45519B</t>
  </si>
  <si>
    <t>45519A</t>
  </si>
  <si>
    <t>Std.Dev</t>
  </si>
  <si>
    <t>Correlation</t>
  </si>
  <si>
    <t xml:space="preserve">2shift </t>
  </si>
  <si>
    <t>Bent Actual</t>
  </si>
  <si>
    <t>Bent Pred</t>
  </si>
  <si>
    <t>Min</t>
  </si>
  <si>
    <t>Max</t>
  </si>
  <si>
    <t>Mean Model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</si>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</sst>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</font>
    <font>
      <sz val="11"/>
      <color rgb="FFFF0000"/>
      <name val="Calibri"/>
    </font>
    <font>
      <b/>
      <sz val="14"/>
      <color rgb="FF00FF00"/>
      <name val="Calibri"/>
    </font>
    <font>
      <b/>
      <sz val="14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7DC6F"/>
      </patternFill>
    </fill>
    <fill>
      <patternFill patternType="solid">
        <fgColor rgb="FFF89BAF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1" applyNumberFormat="1" applyFont="1"/>
    <xf numFmtId="0" fontId="2" fillId="0" borderId="0" xfId="1"/>
    <xf numFmtId="14" fontId="2" fillId="0" borderId="0" xfId="1" applyNumberFormat="1" applyAlignment="1">
      <alignment horizontal="left"/>
    </xf>
    <xf numFmtId="0" fontId="2" fillId="2" borderId="0" xfId="1" applyFill="1" applyAlignment="1">
      <alignment wrapText="1"/>
    </xf>
    <xf numFmtId="0" fontId="2" fillId="0" borderId="0" xfId="1" applyAlignment="1">
      <alignment wrapText="1"/>
    </xf>
    <xf numFmtId="0" fontId="4" fillId="0" borderId="0" xfId="1" applyFont="1"/>
    <xf numFmtId="0" fontId="2" fillId="3" borderId="0" xfId="1" applyFill="1"/>
    <xf numFmtId="0" fontId="4" fillId="3" borderId="0" xfId="1" applyFont="1" applyFill="1"/>
    <xf numFmtId="2" fontId="0" fillId="0" borderId="1" xfId="0" applyNumberForma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1" applyAlignment="1">
      <alignment horizontal="center"/>
    </xf>
    <xf numFmtId="0" fontId="2" fillId="0" borderId="0" xfId="1"/>
    <xf numFmtId="0" fontId="0" fillId="4" borderId="3" xfId="0" applyFill="1" applyBorder="1" applyAlignment="1">
      <alignment horizontal="center"/>
    </xf>
    <xf numFmtId="2" fontId="0" fillId="5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</cellXfs>
  <cellStyles count="2">
    <cellStyle name="Normal" xfId="0" builtinId="0"/>
    <cellStyle name="Normal 2" xfId="1" xr:uid="{296BE799-3CB6-40C6-B231-746768BD689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71"/>
  <sheetViews>
    <sheetView topLeftCell="Q1" workbookViewId="0">
      <pane ySplit="6" topLeftCell="A37" activePane="bottomLeft" state="frozen"/>
      <selection pane="bottomLeft" activeCell="V49" sqref="V49"/>
    </sheetView>
  </sheetViews>
  <sheetFormatPr defaultRowHeight="14.4" x14ac:dyDescent="0.3"/>
  <cols>
    <col min="1" max="1" width="10.33203125" style="2" bestFit="1" customWidth="1"/>
    <col min="2" max="2" width="12" bestFit="1" customWidth="1"/>
    <col min="3" max="3" width="12.6640625" bestFit="1" customWidth="1"/>
    <col min="4" max="4" width="12.88671875" bestFit="1" customWidth="1"/>
    <col min="5" max="5" width="11.6640625" bestFit="1" customWidth="1"/>
    <col min="6" max="6" width="12" bestFit="1" customWidth="1"/>
    <col min="7" max="8" width="12.6640625" bestFit="1" customWidth="1"/>
    <col min="9" max="9" width="12" bestFit="1" customWidth="1"/>
    <col min="10" max="10" width="15.77734375" bestFit="1" customWidth="1"/>
    <col min="11" max="11" width="14.6640625" bestFit="1" customWidth="1"/>
    <col min="12" max="12" width="15.44140625" bestFit="1" customWidth="1"/>
    <col min="13" max="13" width="21.5546875" bestFit="1" customWidth="1"/>
    <col min="14" max="14" width="26.5546875" hidden="1" customWidth="1"/>
    <col min="15" max="15" width="10.5546875" customWidth="1"/>
    <col min="16" max="16" width="6.77734375" customWidth="1"/>
    <col min="17" max="18" width="8.5546875" bestFit="1" customWidth="1"/>
    <col min="19" max="19" width="22.5546875" bestFit="1" customWidth="1"/>
    <col min="20" max="20" width="14" bestFit="1" customWidth="1"/>
    <col min="21" max="22" width="14" customWidth="1"/>
    <col min="23" max="23" width="15.109375" bestFit="1" customWidth="1"/>
    <col min="24" max="24" width="8.77734375" customWidth="1"/>
    <col min="25" max="25" width="8.88671875" customWidth="1"/>
    <col min="26" max="26" width="14.44140625" customWidth="1"/>
    <col min="27" max="27" width="16.109375" customWidth="1"/>
    <col min="28" max="28" width="8.5546875" bestFit="1" customWidth="1"/>
    <col min="29" max="29" width="5.5546875" bestFit="1" customWidth="1"/>
    <col min="30" max="30" width="8.5546875" bestFit="1" customWidth="1"/>
    <col min="31" max="31" width="4.5546875" bestFit="1" customWidth="1"/>
    <col min="35" max="35" width="12.6640625" bestFit="1" customWidth="1"/>
    <col min="36" max="36" width="12.88671875" bestFit="1" customWidth="1"/>
    <col min="37" max="37" width="12.6640625" bestFit="1" customWidth="1"/>
    <col min="38" max="38" width="12" bestFit="1" customWidth="1"/>
    <col min="39" max="39" width="12.6640625" bestFit="1" customWidth="1"/>
    <col min="40" max="40" width="8.44140625" bestFit="1" customWidth="1"/>
    <col min="41" max="41" width="11.5546875" bestFit="1" customWidth="1"/>
    <col min="42" max="42" width="10.6640625" bestFit="1" customWidth="1"/>
    <col min="43" max="43" width="15.77734375" bestFit="1" customWidth="1"/>
    <col min="45" max="46" width="12" bestFit="1" customWidth="1"/>
    <col min="48" max="48" width="8.5546875" bestFit="1" customWidth="1"/>
  </cols>
  <sheetData>
    <row r="1" spans="1:48" x14ac:dyDescent="0.3">
      <c r="B1" s="3" t="s">
        <v>28</v>
      </c>
      <c r="C1" s="3">
        <v>8.15</v>
      </c>
      <c r="D1" s="3">
        <v>38.78</v>
      </c>
      <c r="E1" s="3">
        <v>26.21</v>
      </c>
      <c r="F1" s="3">
        <v>55.07</v>
      </c>
      <c r="G1" s="3">
        <v>3.81</v>
      </c>
      <c r="H1" s="3">
        <v>3.4</v>
      </c>
      <c r="I1" s="3">
        <v>152.22999999999999</v>
      </c>
      <c r="K1" t="s">
        <v>29</v>
      </c>
      <c r="L1" t="s">
        <v>30</v>
      </c>
      <c r="M1">
        <v>18660</v>
      </c>
      <c r="O1" t="s">
        <v>31</v>
      </c>
      <c r="P1" t="s">
        <v>30</v>
      </c>
      <c r="Q1">
        <v>9.23</v>
      </c>
      <c r="S1" t="s">
        <v>32</v>
      </c>
      <c r="T1">
        <v>-3</v>
      </c>
      <c r="AA1" t="s">
        <v>33</v>
      </c>
      <c r="AB1">
        <v>10000</v>
      </c>
      <c r="AD1" t="s">
        <v>30</v>
      </c>
      <c r="AE1">
        <v>20</v>
      </c>
    </row>
    <row r="2" spans="1:48" x14ac:dyDescent="0.3">
      <c r="B2" s="3" t="s">
        <v>34</v>
      </c>
      <c r="C2">
        <v>0.2</v>
      </c>
      <c r="D2">
        <v>9999</v>
      </c>
      <c r="E2">
        <v>0.2</v>
      </c>
      <c r="F2">
        <v>-0.2</v>
      </c>
      <c r="G2">
        <v>7.0000000000000007E-2</v>
      </c>
      <c r="H2">
        <v>0.02</v>
      </c>
      <c r="I2">
        <v>3.6</v>
      </c>
      <c r="L2" t="s">
        <v>35</v>
      </c>
      <c r="M2">
        <v>12000</v>
      </c>
      <c r="P2" t="s">
        <v>36</v>
      </c>
      <c r="Q2">
        <v>999999</v>
      </c>
    </row>
    <row r="3" spans="1:48" x14ac:dyDescent="0.3">
      <c r="B3" s="3" t="s">
        <v>37</v>
      </c>
      <c r="C3">
        <v>0.4</v>
      </c>
      <c r="D3">
        <v>0</v>
      </c>
      <c r="E3">
        <v>0.3</v>
      </c>
      <c r="F3">
        <v>0.1</v>
      </c>
      <c r="G3">
        <v>0.1</v>
      </c>
      <c r="H3">
        <v>0</v>
      </c>
      <c r="I3">
        <v>0.1</v>
      </c>
      <c r="J3">
        <f>SUM(C3:I3)</f>
        <v>0.99999999999999989</v>
      </c>
    </row>
    <row r="4" spans="1:48" x14ac:dyDescent="0.3">
      <c r="B4" s="3" t="s">
        <v>524</v>
      </c>
      <c r="C4">
        <f>CORREL(C7:C67,$T7:$T67)</f>
        <v>-0.78372600069420328</v>
      </c>
      <c r="D4">
        <f t="shared" ref="D4:I4" si="0">CORREL(D7:D67,$T7:$T67)</f>
        <v>-0.10600618729669622</v>
      </c>
      <c r="E4">
        <f t="shared" si="0"/>
        <v>-0.38170716602895005</v>
      </c>
      <c r="F4">
        <f t="shared" si="0"/>
        <v>0.28507224711125817</v>
      </c>
      <c r="G4">
        <f t="shared" si="0"/>
        <v>-0.35678337801499382</v>
      </c>
      <c r="H4">
        <f t="shared" si="0"/>
        <v>-0.76548947839650039</v>
      </c>
      <c r="I4">
        <f t="shared" si="0"/>
        <v>0.3326984357098442</v>
      </c>
      <c r="K4">
        <f>CORREL(Q7:Q67,$T7:$T67)</f>
        <v>0.34125462062174267</v>
      </c>
      <c r="O4">
        <f>CORREL(N7:N67,$T7:$T67)</f>
        <v>-0.1226753552108736</v>
      </c>
      <c r="W4">
        <v>3</v>
      </c>
      <c r="AB4">
        <v>12</v>
      </c>
      <c r="AC4">
        <v>20</v>
      </c>
      <c r="AD4">
        <v>32</v>
      </c>
      <c r="AE4">
        <v>28</v>
      </c>
    </row>
    <row r="5" spans="1:48" x14ac:dyDescent="0.3">
      <c r="Z5" s="20" t="s">
        <v>525</v>
      </c>
      <c r="AA5" s="20"/>
    </row>
    <row r="6" spans="1:48" x14ac:dyDescent="0.3">
      <c r="A6" s="15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22</v>
      </c>
      <c r="U6" s="1" t="s">
        <v>530</v>
      </c>
      <c r="V6" s="1" t="s">
        <v>531</v>
      </c>
      <c r="W6" s="1" t="s">
        <v>23</v>
      </c>
      <c r="X6" s="1" t="s">
        <v>38</v>
      </c>
      <c r="Y6" s="1" t="s">
        <v>39</v>
      </c>
      <c r="Z6" s="1" t="s">
        <v>526</v>
      </c>
      <c r="AA6" s="1" t="s">
        <v>527</v>
      </c>
      <c r="AB6" s="1" t="s">
        <v>24</v>
      </c>
      <c r="AC6" s="1" t="s">
        <v>25</v>
      </c>
      <c r="AD6" s="1" t="s">
        <v>26</v>
      </c>
      <c r="AE6" s="1" t="s">
        <v>27</v>
      </c>
      <c r="AI6" s="1" t="s">
        <v>2</v>
      </c>
      <c r="AJ6" s="1" t="s">
        <v>3</v>
      </c>
      <c r="AK6" s="1" t="s">
        <v>4</v>
      </c>
      <c r="AL6" s="1" t="s">
        <v>5</v>
      </c>
      <c r="AM6" s="1" t="s">
        <v>6</v>
      </c>
      <c r="AN6" s="1" t="s">
        <v>7</v>
      </c>
      <c r="AO6" s="1" t="s">
        <v>8</v>
      </c>
      <c r="AP6" s="1" t="s">
        <v>16</v>
      </c>
      <c r="AQ6" s="1" t="s">
        <v>9</v>
      </c>
      <c r="AS6" s="4" t="s">
        <v>38</v>
      </c>
      <c r="AT6" s="4" t="s">
        <v>39</v>
      </c>
      <c r="AV6" s="5" t="s">
        <v>40</v>
      </c>
    </row>
    <row r="7" spans="1:48" hidden="1" x14ac:dyDescent="0.3">
      <c r="A7" s="16">
        <v>45519</v>
      </c>
      <c r="B7" s="17" t="s">
        <v>19</v>
      </c>
      <c r="C7" s="14">
        <v>8.0860000000000003</v>
      </c>
      <c r="D7" s="14">
        <v>37.166666666666657</v>
      </c>
      <c r="E7" s="14">
        <v>28.086666666666659</v>
      </c>
      <c r="F7" s="14">
        <v>55.72</v>
      </c>
      <c r="G7" s="14">
        <v>3.63</v>
      </c>
      <c r="H7" s="14">
        <v>3.22</v>
      </c>
      <c r="I7" s="14">
        <v>138.83333333333329</v>
      </c>
      <c r="J7" s="14">
        <v>10.507669250412389</v>
      </c>
      <c r="K7" s="14">
        <v>4.2344856454677596E-3</v>
      </c>
      <c r="L7" s="14">
        <v>4.4494574608194247E-2</v>
      </c>
      <c r="M7" s="14">
        <v>19.926120109410519</v>
      </c>
      <c r="N7" s="14">
        <v>2.6058757321389681E-3</v>
      </c>
      <c r="O7" s="14">
        <v>5225</v>
      </c>
      <c r="P7" s="14">
        <v>106.7710862631112</v>
      </c>
      <c r="Q7" s="14">
        <v>10865.212799999999</v>
      </c>
      <c r="R7" s="14">
        <v>1.2999999999999999E-2</v>
      </c>
      <c r="S7" s="14">
        <v>24.08015939377723</v>
      </c>
      <c r="T7" s="14">
        <f>AVERAGE(AS7:AT7)</f>
        <v>14.195264759038732</v>
      </c>
      <c r="U7" s="14">
        <v>12.541116985016096</v>
      </c>
      <c r="V7" s="14"/>
      <c r="W7" s="14">
        <f>VLOOKUP($AV7,ggg,W$4,0)</f>
        <v>15.31</v>
      </c>
      <c r="X7" s="14">
        <f>M7+SUM(AI7:AQ7)+$T$1+R7/$AB$1</f>
        <v>14.543829573853548</v>
      </c>
      <c r="Y7" s="14">
        <f>M7+SUM(AI7:AQ7)+$T$1+R7/$AB$1-AL7-AO7</f>
        <v>13.846699944223918</v>
      </c>
      <c r="Z7" s="14">
        <f>VLOOKUP($AV7,fff,3,)</f>
        <v>15.81</v>
      </c>
      <c r="AA7" s="14">
        <f>VLOOKUP($AV7,fff,2,)</f>
        <v>16.97</v>
      </c>
      <c r="AB7" s="14">
        <f>VLOOKUP($AV7,ggg,AB$4,0)</f>
        <v>7.89</v>
      </c>
      <c r="AC7" s="14">
        <f>VLOOKUP($AV7,ggg,AC$4,0)</f>
        <v>26.62</v>
      </c>
      <c r="AD7" s="14">
        <f>VLOOKUP($AV7,ggg,AD$4,0)</f>
        <v>3.24</v>
      </c>
      <c r="AE7" s="14">
        <f>VLOOKUP($AV7,ggg,AE$4,0)</f>
        <v>3.58</v>
      </c>
      <c r="AI7">
        <f>C$3*(C$1-C7)/C$2</f>
        <v>0.12800000000000011</v>
      </c>
      <c r="AJ7">
        <f>D$3*(D$1-D7)/D$2</f>
        <v>0</v>
      </c>
      <c r="AK7">
        <f>E$3*(E$1-E7)/E$2</f>
        <v>-2.8149999999999866</v>
      </c>
      <c r="AL7">
        <f>F$3*(F$1-F7)/F$2</f>
        <v>0.32499999999999929</v>
      </c>
      <c r="AM7">
        <f>G$3*(G$1-G7)/G$2</f>
        <v>0.25714285714285734</v>
      </c>
      <c r="AN7">
        <f>H$3*(H$1-H7)/H$2</f>
        <v>0</v>
      </c>
      <c r="AO7">
        <f>I$3*(I$1-I7)/I$2</f>
        <v>0.3721296296296307</v>
      </c>
      <c r="AP7">
        <f>(Q7-$M$1)/$M$2</f>
        <v>-0.64956560000000008</v>
      </c>
      <c r="AQ7">
        <f>(J7-$Q$1)/$Q$2</f>
        <v>1.277670528082917E-6</v>
      </c>
      <c r="AS7">
        <f>M7+SUM(AI7:AQ7)+$T$1+R7/$AB$1</f>
        <v>14.543829573853548</v>
      </c>
      <c r="AT7">
        <f>M7+SUM(AI7:AQ7)+$T$1+R7/$AB$1-AL7-AO7</f>
        <v>13.846699944223918</v>
      </c>
      <c r="AV7" t="str">
        <f>A7&amp;B7</f>
        <v>45519B</v>
      </c>
    </row>
    <row r="8" spans="1:48" hidden="1" x14ac:dyDescent="0.3">
      <c r="A8" s="16">
        <v>45519</v>
      </c>
      <c r="B8" s="17" t="s">
        <v>20</v>
      </c>
      <c r="C8" s="14">
        <v>7.89</v>
      </c>
      <c r="D8" s="14">
        <v>39.25</v>
      </c>
      <c r="E8" s="14">
        <v>26.625</v>
      </c>
      <c r="F8" s="14">
        <v>55.74</v>
      </c>
      <c r="G8" s="14">
        <v>3.58</v>
      </c>
      <c r="H8" s="14">
        <v>3.2349999999999999</v>
      </c>
      <c r="I8" s="14">
        <v>146.25</v>
      </c>
      <c r="J8" s="14">
        <v>7.2239089590873906</v>
      </c>
      <c r="K8" s="14">
        <v>1.4484465577777319E-3</v>
      </c>
      <c r="L8" s="14">
        <v>1.0463446065489849E-2</v>
      </c>
      <c r="M8" s="14">
        <v>23.941221276847891</v>
      </c>
      <c r="N8" s="14">
        <v>2.5948792763064981E-3</v>
      </c>
      <c r="O8" s="14">
        <v>5225.0000000000009</v>
      </c>
      <c r="P8" s="14">
        <v>81.345487516676016</v>
      </c>
      <c r="Q8" s="14">
        <v>3806.8319999999999</v>
      </c>
      <c r="R8" s="14">
        <v>1.7999999999999999E-2</v>
      </c>
      <c r="S8" s="14">
        <v>24.788172904269651</v>
      </c>
      <c r="T8" s="14">
        <f>AVERAGE(AS8:AT8)</f>
        <v>20.180084054881831</v>
      </c>
      <c r="U8" s="14">
        <v>17.90120541140206</v>
      </c>
      <c r="V8" s="14"/>
      <c r="W8" s="14">
        <f>VLOOKUP($AV8,ggg,W$4,0)</f>
        <v>15.86</v>
      </c>
      <c r="X8" s="14">
        <f>M8+SUM(AI8:AQ8)+$T$1+R8/$AB$1</f>
        <v>20.430639610437385</v>
      </c>
      <c r="Y8" s="14">
        <f>M8+SUM(AI8:AQ8)+$T$1+R8/$AB$1-AL8-AO8</f>
        <v>19.929528499326274</v>
      </c>
      <c r="Z8" s="14" t="e">
        <f>VLOOKUP($AV8,fff,3,)</f>
        <v>#N/A</v>
      </c>
      <c r="AA8" s="14" t="e">
        <f>VLOOKUP($AV8,fff,2,)</f>
        <v>#N/A</v>
      </c>
      <c r="AB8" s="14">
        <f>VLOOKUP($AV8,ggg,AB$4,0)</f>
        <v>8.1999999999999993</v>
      </c>
      <c r="AC8" s="14">
        <f>VLOOKUP($AV8,ggg,AC$4,0)</f>
        <v>25.44</v>
      </c>
      <c r="AD8" s="14">
        <f>VLOOKUP($AV8,ggg,AD$4,0)</f>
        <v>3.37</v>
      </c>
      <c r="AE8" s="14">
        <f>VLOOKUP($AV8,ggg,AE$4,0)</f>
        <v>3.58</v>
      </c>
      <c r="AI8">
        <f>C$3*(C$1-C8)/C$2</f>
        <v>0.52000000000000135</v>
      </c>
      <c r="AJ8">
        <f>D$3*(D$1-D8)/D$2</f>
        <v>0</v>
      </c>
      <c r="AK8">
        <f>E$3*(E$1-E8)/E$2</f>
        <v>-0.62249999999999861</v>
      </c>
      <c r="AL8">
        <f>F$3*(F$1-F8)/F$2</f>
        <v>0.33500000000000085</v>
      </c>
      <c r="AM8">
        <f>G$3*(G$1-G8)/G$2</f>
        <v>0.32857142857142851</v>
      </c>
      <c r="AN8">
        <f>H$3*(H$1-H8)/H$2</f>
        <v>0</v>
      </c>
      <c r="AO8">
        <f>I$3*(I$1-I8)/I$2</f>
        <v>0.16611111111111082</v>
      </c>
      <c r="AP8">
        <f>(Q8-$M$1)/$M$2</f>
        <v>-1.2377639999999999</v>
      </c>
      <c r="AQ8">
        <f>(J8-$Q$1)/$Q$2</f>
        <v>-2.0060930470056569E-6</v>
      </c>
      <c r="AS8">
        <f>M8+SUM(AI8:AQ8)+$T$1+R8/$AB$1</f>
        <v>20.430639610437385</v>
      </c>
      <c r="AT8">
        <f>M8+SUM(AI8:AQ8)+$T$1+R8/$AB$1-AL8-AO8</f>
        <v>19.929528499326274</v>
      </c>
      <c r="AV8" t="str">
        <f>A8&amp;B8</f>
        <v>45519C</v>
      </c>
    </row>
    <row r="9" spans="1:48" hidden="1" x14ac:dyDescent="0.3">
      <c r="A9" s="16">
        <v>45520</v>
      </c>
      <c r="B9" s="17" t="s">
        <v>21</v>
      </c>
      <c r="C9" s="14">
        <v>8.1999999999999993</v>
      </c>
      <c r="D9" s="14">
        <v>39</v>
      </c>
      <c r="E9" s="14">
        <v>25.445</v>
      </c>
      <c r="F9" s="14">
        <v>55.74</v>
      </c>
      <c r="G9" s="14">
        <v>3.58</v>
      </c>
      <c r="H9" s="14">
        <v>3.37</v>
      </c>
      <c r="I9" s="14">
        <v>149</v>
      </c>
      <c r="J9" s="14">
        <v>7.4219118608778283</v>
      </c>
      <c r="K9" s="14">
        <v>8.3531419070328374E-3</v>
      </c>
      <c r="L9" s="14">
        <v>6.1996282995402663E-2</v>
      </c>
      <c r="M9" s="14">
        <v>17.290114607714841</v>
      </c>
      <c r="N9" s="14">
        <v>2.5915627511012129E-3</v>
      </c>
      <c r="O9" s="14">
        <v>5225</v>
      </c>
      <c r="P9" s="14">
        <v>81.242412002087235</v>
      </c>
      <c r="Q9" s="14">
        <v>8873.2800000000007</v>
      </c>
      <c r="R9" s="14">
        <v>5.0000000000000001E-3</v>
      </c>
      <c r="S9" s="14">
        <v>17.082960834021499</v>
      </c>
      <c r="T9" s="14">
        <f>AVERAGE(AS9:AT9)</f>
        <v>15.062985839307439</v>
      </c>
      <c r="U9" s="14">
        <v>19.047652965763994</v>
      </c>
      <c r="V9" s="14"/>
      <c r="W9" s="14">
        <f>VLOOKUP($AV9,ggg,W$4,0)</f>
        <v>20.079999999999998</v>
      </c>
      <c r="X9" s="14">
        <f>M9+SUM(AI9:AQ9)+$T$1+R9/$AB$1</f>
        <v>15.27534695041855</v>
      </c>
      <c r="Y9" s="14">
        <f>M9+SUM(AI9:AQ9)+$T$1+R9/$AB$1-AL9-AO9</f>
        <v>14.850624728196328</v>
      </c>
      <c r="Z9" s="14">
        <f>VLOOKUP($AV9,fff,3,)</f>
        <v>20.83</v>
      </c>
      <c r="AA9" s="14">
        <f>VLOOKUP($AV9,fff,2,)</f>
        <v>22.77</v>
      </c>
      <c r="AB9" s="14">
        <f>VLOOKUP($AV9,ggg,AB$4,0)</f>
        <v>8.08</v>
      </c>
      <c r="AC9" s="14">
        <f>VLOOKUP($AV9,ggg,AC$4,0)</f>
        <v>25.77</v>
      </c>
      <c r="AD9" s="14">
        <f>VLOOKUP($AV9,ggg,AD$4,0)</f>
        <v>3.34</v>
      </c>
      <c r="AE9" s="14">
        <f>VLOOKUP($AV9,ggg,AE$4,0)</f>
        <v>3.58</v>
      </c>
      <c r="AI9">
        <f>C$3*(C$1-C9)/C$2</f>
        <v>-9.9999999999997868E-2</v>
      </c>
      <c r="AJ9">
        <f>D$3*(D$1-D9)/D$2</f>
        <v>0</v>
      </c>
      <c r="AK9">
        <f>E$3*(E$1-E9)/E$2</f>
        <v>1.1475000000000006</v>
      </c>
      <c r="AL9">
        <f>F$3*(F$1-F9)/F$2</f>
        <v>0.33500000000000085</v>
      </c>
      <c r="AM9">
        <f>G$3*(G$1-G9)/G$2</f>
        <v>0.32857142857142851</v>
      </c>
      <c r="AN9">
        <f>H$3*(H$1-H9)/H$2</f>
        <v>0</v>
      </c>
      <c r="AO9">
        <f>I$3*(I$1-I9)/I$2</f>
        <v>8.972222222222194E-2</v>
      </c>
      <c r="AP9">
        <f>(Q9-$M$1)/$M$2</f>
        <v>-0.81555999999999995</v>
      </c>
      <c r="AQ9">
        <f>(J9-$Q$1)/$Q$2</f>
        <v>-1.8080899472121194E-6</v>
      </c>
      <c r="AS9">
        <f>M9+SUM(AI9:AQ9)+$T$1+R9/$AB$1</f>
        <v>15.27534695041855</v>
      </c>
      <c r="AT9">
        <f>M9+SUM(AI9:AQ9)+$T$1+R9/$AB$1-AL9-AO9</f>
        <v>14.850624728196328</v>
      </c>
      <c r="AV9" t="str">
        <f>A9&amp;B9</f>
        <v>45520A</v>
      </c>
    </row>
    <row r="10" spans="1:48" hidden="1" x14ac:dyDescent="0.3">
      <c r="A10" s="16">
        <v>45520</v>
      </c>
      <c r="B10" s="17" t="s">
        <v>19</v>
      </c>
      <c r="C10" s="14">
        <v>7.9680000000000009</v>
      </c>
      <c r="D10" s="14">
        <v>37.75</v>
      </c>
      <c r="E10" s="14">
        <v>25.438749999999999</v>
      </c>
      <c r="F10" s="14">
        <v>55</v>
      </c>
      <c r="G10" s="14">
        <v>3.58</v>
      </c>
      <c r="H10" s="14">
        <v>3.3574999999999999</v>
      </c>
      <c r="I10" s="14">
        <v>147.5</v>
      </c>
      <c r="J10" s="14">
        <v>9.5067343615167541</v>
      </c>
      <c r="K10" s="14">
        <v>2.0434710134890001E-3</v>
      </c>
      <c r="L10" s="14">
        <v>1.9426736100699341E-2</v>
      </c>
      <c r="M10" s="14">
        <v>18.197912802783328</v>
      </c>
      <c r="N10" s="14">
        <v>2.5921595610562949E-3</v>
      </c>
      <c r="O10" s="14">
        <v>5225</v>
      </c>
      <c r="P10" s="14">
        <v>81.256480687235168</v>
      </c>
      <c r="Q10" s="14">
        <v>5830.76</v>
      </c>
      <c r="R10" s="14">
        <v>1.4E-2</v>
      </c>
      <c r="S10" s="14">
        <v>20.159199379370481</v>
      </c>
      <c r="T10" s="14">
        <f>AVERAGE(AS10:AT10)</f>
        <v>16.026452019200505</v>
      </c>
      <c r="U10" s="14">
        <v>18.361853232004705</v>
      </c>
      <c r="V10" s="14"/>
      <c r="W10" s="14">
        <f>VLOOKUP($AV10,ggg,W$4,0)</f>
        <v>18.809999999999999</v>
      </c>
      <c r="X10" s="14">
        <f>M10+SUM(AI10:AQ10)+$T$1+R10/$AB$1</f>
        <v>16.07464646364495</v>
      </c>
      <c r="Y10" s="14">
        <f>M10+SUM(AI10:AQ10)+$T$1+R10/$AB$1-AL10-AO10</f>
        <v>15.978257574756061</v>
      </c>
      <c r="Z10" s="14">
        <f>VLOOKUP($AV10,fff,3,)</f>
        <v>16.93</v>
      </c>
      <c r="AA10" s="14">
        <f>VLOOKUP($AV10,fff,2,)</f>
        <v>15.72</v>
      </c>
      <c r="AB10" s="14">
        <f>VLOOKUP($AV10,ggg,AB$4,0)</f>
        <v>8.1</v>
      </c>
      <c r="AC10" s="14">
        <f>VLOOKUP($AV10,ggg,AC$4,0)</f>
        <v>27.27</v>
      </c>
      <c r="AD10" s="14">
        <f>VLOOKUP($AV10,ggg,AD$4,0)</f>
        <v>3.34</v>
      </c>
      <c r="AE10" s="14">
        <f>VLOOKUP($AV10,ggg,AE$4,0)</f>
        <v>3.7</v>
      </c>
      <c r="AI10">
        <f>C$3*(C$1-C10)/C$2</f>
        <v>0.36399999999999894</v>
      </c>
      <c r="AJ10">
        <f>D$3*(D$1-D10)/D$2</f>
        <v>0</v>
      </c>
      <c r="AK10">
        <f>E$3*(E$1-E10)/E$2</f>
        <v>1.1568750000000028</v>
      </c>
      <c r="AL10">
        <f>F$3*(F$1-F10)/F$2</f>
        <v>-3.5000000000000142E-2</v>
      </c>
      <c r="AM10">
        <f>G$3*(G$1-G10)/G$2</f>
        <v>0.32857142857142851</v>
      </c>
      <c r="AN10">
        <f>H$3*(H$1-H10)/H$2</f>
        <v>0</v>
      </c>
      <c r="AO10">
        <f>I$3*(I$1-I10)/I$2</f>
        <v>0.13138888888888861</v>
      </c>
      <c r="AP10">
        <f>(Q10-$M$1)/$M$2</f>
        <v>-1.0691033333333333</v>
      </c>
      <c r="AQ10">
        <f>(J10-$Q$1)/$Q$2</f>
        <v>2.7673463825139192E-7</v>
      </c>
      <c r="AS10">
        <f>M10+SUM(AI10:AQ10)+$T$1+R10/$AB$1</f>
        <v>16.07464646364495</v>
      </c>
      <c r="AT10">
        <f>M10+SUM(AI10:AQ10)+$T$1+R10/$AB$1-AL10-AO10</f>
        <v>15.978257574756061</v>
      </c>
      <c r="AV10" t="str">
        <f>A10&amp;B10</f>
        <v>45520B</v>
      </c>
    </row>
    <row r="11" spans="1:48" hidden="1" x14ac:dyDescent="0.3">
      <c r="A11" s="16">
        <v>45520</v>
      </c>
      <c r="B11" s="17" t="s">
        <v>20</v>
      </c>
      <c r="C11" s="14">
        <v>8.1399999999999988</v>
      </c>
      <c r="D11" s="14">
        <v>38</v>
      </c>
      <c r="E11" s="14">
        <v>27.228571428571431</v>
      </c>
      <c r="F11" s="14">
        <v>55</v>
      </c>
      <c r="G11" s="14">
        <v>3.7</v>
      </c>
      <c r="H11" s="14">
        <v>3.2971428571428572</v>
      </c>
      <c r="I11" s="14">
        <v>143.57142857142861</v>
      </c>
      <c r="J11" s="14">
        <v>11.00852800952725</v>
      </c>
      <c r="K11" s="14">
        <v>5.1477463974876382E-3</v>
      </c>
      <c r="L11" s="14">
        <v>5.6669110402685692E-2</v>
      </c>
      <c r="M11" s="14">
        <v>16.71928736185362</v>
      </c>
      <c r="N11" s="14">
        <v>2.6038945401729839E-3</v>
      </c>
      <c r="O11" s="14">
        <v>5225</v>
      </c>
      <c r="P11" s="14">
        <v>103.2974578802652</v>
      </c>
      <c r="Q11" s="14">
        <v>17082.96</v>
      </c>
      <c r="R11" s="14">
        <v>1.4999999999999999E-2</v>
      </c>
      <c r="S11" s="14">
        <v>21.145778305668301</v>
      </c>
      <c r="T11" s="14">
        <f>AVERAGE(AS11:AT11)</f>
        <v>12.33991429117706</v>
      </c>
      <c r="U11" s="14">
        <v>13.929369596823104</v>
      </c>
      <c r="V11" s="14"/>
      <c r="W11" s="14">
        <f>VLOOKUP($AV11,ggg,W$4,0)</f>
        <v>16.03</v>
      </c>
      <c r="X11" s="14">
        <f>M11+SUM(AI11:AQ11)+$T$1+R11/$AB$1</f>
        <v>12.442672227684994</v>
      </c>
      <c r="Y11" s="14">
        <f>M11+SUM(AI11:AQ11)+$T$1+R11/$AB$1-AL11-AO11</f>
        <v>12.237156354669123</v>
      </c>
      <c r="Z11" s="14" t="e">
        <f>VLOOKUP($AV11,fff,3,)</f>
        <v>#N/A</v>
      </c>
      <c r="AA11" s="14" t="e">
        <f>VLOOKUP($AV11,fff,2,)</f>
        <v>#N/A</v>
      </c>
      <c r="AB11" s="14">
        <f>VLOOKUP($AV11,ggg,AB$4,0)</f>
        <v>8.4499999999999993</v>
      </c>
      <c r="AC11" s="14">
        <f>VLOOKUP($AV11,ggg,AC$4,0)</f>
        <v>26.6</v>
      </c>
      <c r="AD11" s="14">
        <f>VLOOKUP($AV11,ggg,AD$4,0)</f>
        <v>3.44</v>
      </c>
      <c r="AE11" s="14">
        <f>VLOOKUP($AV11,ggg,AE$4,0)</f>
        <v>3.7</v>
      </c>
      <c r="AI11">
        <f>C$3*(C$1-C11)/C$2</f>
        <v>2.0000000000003126E-2</v>
      </c>
      <c r="AJ11">
        <f>D$3*(D$1-D11)/D$2</f>
        <v>0</v>
      </c>
      <c r="AK11">
        <f>E$3*(E$1-E11)/E$2</f>
        <v>-1.5278571428571455</v>
      </c>
      <c r="AL11">
        <f>F$3*(F$1-F11)/F$2</f>
        <v>-3.5000000000000142E-2</v>
      </c>
      <c r="AM11">
        <f>G$3*(G$1-G11)/G$2</f>
        <v>0.15714285714285697</v>
      </c>
      <c r="AN11">
        <f>H$3*(H$1-H11)/H$2</f>
        <v>0</v>
      </c>
      <c r="AO11">
        <f>I$3*(I$1-I11)/I$2</f>
        <v>0.2405158730158716</v>
      </c>
      <c r="AP11">
        <f>(Q11-$M$1)/$M$2</f>
        <v>-0.13142000000000006</v>
      </c>
      <c r="AQ11">
        <f>(J11-$Q$1)/$Q$2</f>
        <v>1.7785297880570378E-6</v>
      </c>
      <c r="AS11">
        <f>M11+SUM(AI11:AQ11)+$T$1+R11/$AB$1</f>
        <v>12.442672227684994</v>
      </c>
      <c r="AT11">
        <f>M11+SUM(AI11:AQ11)+$T$1+R11/$AB$1-AL11-AO11</f>
        <v>12.237156354669123</v>
      </c>
      <c r="AV11" t="str">
        <f>A11&amp;B11</f>
        <v>45520C</v>
      </c>
    </row>
    <row r="12" spans="1:48" hidden="1" x14ac:dyDescent="0.3">
      <c r="A12" s="16">
        <v>45523</v>
      </c>
      <c r="B12" s="17" t="s">
        <v>21</v>
      </c>
      <c r="C12" s="14">
        <v>8.4500000000000011</v>
      </c>
      <c r="D12" s="14">
        <v>39</v>
      </c>
      <c r="E12" s="14">
        <v>26.533333333333331</v>
      </c>
      <c r="F12" s="14">
        <v>55</v>
      </c>
      <c r="G12" s="14">
        <v>3.7</v>
      </c>
      <c r="H12" s="14">
        <v>3.4266666666666659</v>
      </c>
      <c r="I12" s="14">
        <v>150.66666666666671</v>
      </c>
      <c r="J12" s="14">
        <v>8.9054512705763091</v>
      </c>
      <c r="K12" s="14">
        <v>8.3200540638979862E-3</v>
      </c>
      <c r="L12" s="14">
        <v>7.4093836034603913E-2</v>
      </c>
      <c r="M12" s="14">
        <v>13.21045148860019</v>
      </c>
      <c r="N12" s="14">
        <v>2.5905366626417601E-3</v>
      </c>
      <c r="O12" s="14">
        <v>5225</v>
      </c>
      <c r="P12" s="14">
        <v>81.777989542969479</v>
      </c>
      <c r="Q12" s="14">
        <v>25728.639999999999</v>
      </c>
      <c r="R12" s="14">
        <v>1.4999999999999999E-2</v>
      </c>
      <c r="S12" s="14">
        <v>13.85477103125614</v>
      </c>
      <c r="T12" s="14">
        <f>AVERAGE(AS12:AT12)</f>
        <v>9.875861817490291</v>
      </c>
      <c r="U12" s="14">
        <v>15.937919973054949</v>
      </c>
      <c r="V12" s="14"/>
      <c r="W12" s="14">
        <f>VLOOKUP($AV12,ggg,W$4,0)</f>
        <v>15.37</v>
      </c>
      <c r="X12" s="14">
        <f>M12+SUM(AI12:AQ12)+$T$1+R12/$AB$1</f>
        <v>9.8800747804532527</v>
      </c>
      <c r="Y12" s="14">
        <f>M12+SUM(AI12:AQ12)+$T$1+R12/$AB$1-AL12-AO12</f>
        <v>9.8716488545273293</v>
      </c>
      <c r="Z12" s="14">
        <f>VLOOKUP($AV12,fff,3,)</f>
        <v>15.1</v>
      </c>
      <c r="AA12" s="14">
        <f>VLOOKUP($AV12,fff,2,)</f>
        <v>14.66</v>
      </c>
      <c r="AB12" s="14">
        <f>VLOOKUP($AV12,ggg,AB$4,0)</f>
        <v>8.43</v>
      </c>
      <c r="AC12" s="14">
        <f>VLOOKUP($AV12,ggg,AC$4,0)</f>
        <v>28.38</v>
      </c>
      <c r="AD12" s="14">
        <f>VLOOKUP($AV12,ggg,AD$4,0)</f>
        <v>3.51</v>
      </c>
      <c r="AE12" s="14">
        <f>VLOOKUP($AV12,ggg,AE$4,0)</f>
        <v>3.96</v>
      </c>
      <c r="AI12">
        <f>C$3*(C$1-C12)/C$2</f>
        <v>-0.60000000000000142</v>
      </c>
      <c r="AJ12">
        <f>D$3*(D$1-D12)/D$2</f>
        <v>0</v>
      </c>
      <c r="AK12">
        <f>E$3*(E$1-E12)/E$2</f>
        <v>-0.48499999999999582</v>
      </c>
      <c r="AL12">
        <f>F$3*(F$1-F12)/F$2</f>
        <v>-3.5000000000000142E-2</v>
      </c>
      <c r="AM12">
        <f>G$3*(G$1-G12)/G$2</f>
        <v>0.15714285714285697</v>
      </c>
      <c r="AN12">
        <f>H$3*(H$1-H12)/H$2</f>
        <v>0</v>
      </c>
      <c r="AO12">
        <f>I$3*(I$1-I12)/I$2</f>
        <v>4.3425925925924327E-2</v>
      </c>
      <c r="AP12">
        <f>(Q12-$M$1)/$M$2</f>
        <v>0.58905333333333332</v>
      </c>
      <c r="AQ12">
        <f>(J12-$Q$1)/$Q$2</f>
        <v>-3.2454905397274527E-7</v>
      </c>
      <c r="AS12">
        <f>M12+SUM(AI12:AQ12)+$T$1+R12/$AB$1</f>
        <v>9.8800747804532527</v>
      </c>
      <c r="AT12">
        <f>M12+SUM(AI12:AQ12)+$T$1+R12/$AB$1-AL12-AO12</f>
        <v>9.8716488545273293</v>
      </c>
      <c r="AV12" t="str">
        <f>A12&amp;B12</f>
        <v>45523A</v>
      </c>
    </row>
    <row r="13" spans="1:48" hidden="1" x14ac:dyDescent="0.3">
      <c r="A13" s="16">
        <v>45523</v>
      </c>
      <c r="B13" s="17" t="s">
        <v>19</v>
      </c>
      <c r="C13" s="14">
        <v>8.418000000000001</v>
      </c>
      <c r="D13" s="14">
        <v>37.714285714285722</v>
      </c>
      <c r="E13" s="14">
        <v>27.76857142857143</v>
      </c>
      <c r="F13" s="14">
        <v>55.77</v>
      </c>
      <c r="G13" s="14">
        <v>3.96</v>
      </c>
      <c r="H13" s="14">
        <v>3.5371428571428569</v>
      </c>
      <c r="I13" s="14">
        <v>142.42857142857139</v>
      </c>
      <c r="J13" s="14">
        <v>8.7198338177585395</v>
      </c>
      <c r="K13" s="14">
        <v>1.189423875032708E-5</v>
      </c>
      <c r="L13" s="14">
        <v>1.0371578529159611E-4</v>
      </c>
      <c r="M13" s="14">
        <v>13.00798740011424</v>
      </c>
      <c r="N13" s="14">
        <v>2.590922141741725E-3</v>
      </c>
      <c r="O13" s="14">
        <v>5225</v>
      </c>
      <c r="P13" s="14">
        <v>84.364928013832596</v>
      </c>
      <c r="Q13" s="14">
        <v>29.760000000000009</v>
      </c>
      <c r="R13" s="14">
        <v>1.2E-2</v>
      </c>
      <c r="S13" s="14">
        <v>13.015654275185121</v>
      </c>
      <c r="T13" s="14">
        <f>AVERAGE(AS13:AT13)</f>
        <v>5.6784561851856417</v>
      </c>
      <c r="U13" s="14">
        <v>11.11678996911335</v>
      </c>
      <c r="V13" s="14"/>
      <c r="W13" s="14">
        <f>VLOOKUP($AV13,ggg,W$4,0)</f>
        <v>13.68</v>
      </c>
      <c r="X13" s="14">
        <f>M13+SUM(AI13:AQ13)+$T$1+R13/$AB$1</f>
        <v>5.9895871375665948</v>
      </c>
      <c r="Y13" s="14">
        <f>M13+SUM(AI13:AQ13)+$T$1+R13/$AB$1-AL13-AO13</f>
        <v>5.3673252328046877</v>
      </c>
      <c r="Z13" s="14">
        <f>VLOOKUP($AV13,fff,3,)</f>
        <v>10.97</v>
      </c>
      <c r="AA13" s="14">
        <f>VLOOKUP($AV13,fff,2,)</f>
        <v>10.5</v>
      </c>
      <c r="AB13" s="14">
        <f>VLOOKUP($AV13,ggg,AB$4,0)</f>
        <v>8.5</v>
      </c>
      <c r="AC13" s="14">
        <f>VLOOKUP($AV13,ggg,AC$4,0)</f>
        <v>27</v>
      </c>
      <c r="AD13" s="14">
        <f>VLOOKUP($AV13,ggg,AD$4,0)</f>
        <v>3.65</v>
      </c>
      <c r="AE13" s="14">
        <f>VLOOKUP($AV13,ggg,AE$4,0)</f>
        <v>4.04</v>
      </c>
      <c r="AI13">
        <f>C$3*(C$1-C13)/C$2</f>
        <v>-0.53600000000000136</v>
      </c>
      <c r="AJ13">
        <f>D$3*(D$1-D13)/D$2</f>
        <v>0</v>
      </c>
      <c r="AK13">
        <f>E$3*(E$1-E13)/E$2</f>
        <v>-2.337857142857144</v>
      </c>
      <c r="AL13">
        <f>F$3*(F$1-F13)/F$2</f>
        <v>0.35000000000000142</v>
      </c>
      <c r="AM13">
        <f>G$3*(G$1-G13)/G$2</f>
        <v>-0.21428571428571416</v>
      </c>
      <c r="AN13">
        <f>H$3*(H$1-H13)/H$2</f>
        <v>0</v>
      </c>
      <c r="AO13">
        <f>I$3*(I$1-I13)/I$2</f>
        <v>0.27226190476190559</v>
      </c>
      <c r="AP13">
        <f>(Q13-$M$1)/$M$2</f>
        <v>-1.5525200000000001</v>
      </c>
      <c r="AQ13">
        <f>(J13-$Q$1)/$Q$2</f>
        <v>-5.1016669240815329E-7</v>
      </c>
      <c r="AS13">
        <f>M13+SUM(AI13:AQ13)+$T$1+R13/$AB$1</f>
        <v>5.9895871375665948</v>
      </c>
      <c r="AT13">
        <f>M13+SUM(AI13:AQ13)+$T$1+R13/$AB$1-AL13-AO13</f>
        <v>5.3673252328046877</v>
      </c>
      <c r="AV13" t="str">
        <f>A13&amp;B13</f>
        <v>45523B</v>
      </c>
    </row>
    <row r="14" spans="1:48" hidden="1" x14ac:dyDescent="0.3">
      <c r="A14" s="16">
        <v>45523</v>
      </c>
      <c r="B14" s="17" t="s">
        <v>20</v>
      </c>
      <c r="C14" s="14">
        <v>8.5766666666666662</v>
      </c>
      <c r="D14" s="14">
        <v>38.166666666666657</v>
      </c>
      <c r="E14" s="14">
        <v>27.7</v>
      </c>
      <c r="F14" s="14">
        <v>54.98</v>
      </c>
      <c r="G14" s="14">
        <v>4.04</v>
      </c>
      <c r="H14" s="14">
        <v>3.583333333333333</v>
      </c>
      <c r="I14" s="14">
        <v>144.66666666666671</v>
      </c>
      <c r="J14" s="14">
        <v>10.06349066299633</v>
      </c>
      <c r="K14" s="14">
        <v>5.1473356507806094E-3</v>
      </c>
      <c r="L14" s="14">
        <v>5.1800164260938801E-2</v>
      </c>
      <c r="M14" s="14">
        <v>13.05158361580173</v>
      </c>
      <c r="N14" s="14">
        <v>2.5996326113407E-3</v>
      </c>
      <c r="O14" s="14">
        <v>5225</v>
      </c>
      <c r="P14" s="14">
        <v>102.1592233758239</v>
      </c>
      <c r="Q14" s="14">
        <v>20624.080000000002</v>
      </c>
      <c r="R14" s="14">
        <v>1.7000000000000001E-2</v>
      </c>
      <c r="S14" s="14">
        <v>13.02863394736754</v>
      </c>
      <c r="T14" s="14">
        <f>AVERAGE(AS14:AT14)</f>
        <v>6.8809010170180969</v>
      </c>
      <c r="U14" s="14">
        <v>11.281390225727321</v>
      </c>
      <c r="V14" s="14"/>
      <c r="W14" s="14">
        <f>VLOOKUP($AV14,ggg,W$4,0)</f>
        <v>11.08</v>
      </c>
      <c r="X14" s="14">
        <f>M14+SUM(AI14:AQ14)+$T$1+R14/$AB$1</f>
        <v>6.9634473133143917</v>
      </c>
      <c r="Y14" s="14">
        <f>M14+SUM(AI14:AQ14)+$T$1+R14/$AB$1-AL14-AO14</f>
        <v>6.798354720721802</v>
      </c>
      <c r="Z14" s="14" t="e">
        <f>VLOOKUP($AV14,fff,3,)</f>
        <v>#N/A</v>
      </c>
      <c r="AA14" s="14" t="e">
        <f>VLOOKUP($AV14,fff,2,)</f>
        <v>#N/A</v>
      </c>
      <c r="AB14" s="14">
        <f>VLOOKUP($AV14,ggg,AB$4,0)</f>
        <v>8.57</v>
      </c>
      <c r="AC14" s="14">
        <f>VLOOKUP($AV14,ggg,AC$4,0)</f>
        <v>26.92</v>
      </c>
      <c r="AD14" s="14">
        <f>VLOOKUP($AV14,ggg,AD$4,0)</f>
        <v>3.44</v>
      </c>
      <c r="AE14" s="14">
        <f>VLOOKUP($AV14,ggg,AE$4,0)</f>
        <v>4.04</v>
      </c>
      <c r="AI14">
        <f>C$3*(C$1-C14)/C$2</f>
        <v>-0.85333333333333172</v>
      </c>
      <c r="AJ14">
        <f>D$3*(D$1-D14)/D$2</f>
        <v>0</v>
      </c>
      <c r="AK14">
        <f>E$3*(E$1-E14)/E$2</f>
        <v>-2.2349999999999972</v>
      </c>
      <c r="AL14">
        <f>F$3*(F$1-F14)/F$2</f>
        <v>-4.5000000000001705E-2</v>
      </c>
      <c r="AM14">
        <f>G$3*(G$1-G14)/G$2</f>
        <v>-0.32857142857142851</v>
      </c>
      <c r="AN14">
        <f>H$3*(H$1-H14)/H$2</f>
        <v>0</v>
      </c>
      <c r="AO14">
        <f>I$3*(I$1-I14)/I$2</f>
        <v>0.210092592592591</v>
      </c>
      <c r="AP14">
        <f>(Q14-$M$1)/$M$2</f>
        <v>0.16367333333333348</v>
      </c>
      <c r="AQ14">
        <f>(J14-$Q$1)/$Q$2</f>
        <v>8.3349149648782576E-7</v>
      </c>
      <c r="AS14">
        <f>M14+SUM(AI14:AQ14)+$T$1+R14/$AB$1</f>
        <v>6.9634473133143917</v>
      </c>
      <c r="AT14">
        <f>M14+SUM(AI14:AQ14)+$T$1+R14/$AB$1-AL14-AO14</f>
        <v>6.798354720721802</v>
      </c>
      <c r="AV14" t="str">
        <f>A14&amp;B14</f>
        <v>45523C</v>
      </c>
    </row>
    <row r="15" spans="1:48" hidden="1" x14ac:dyDescent="0.3">
      <c r="A15" s="16">
        <v>45524</v>
      </c>
      <c r="B15" s="17" t="s">
        <v>21</v>
      </c>
      <c r="C15" s="14">
        <v>8.5749999999999993</v>
      </c>
      <c r="D15" s="14">
        <v>38.714285714285722</v>
      </c>
      <c r="E15" s="14">
        <v>26.92285714285714</v>
      </c>
      <c r="F15" s="14">
        <v>54.98</v>
      </c>
      <c r="G15" s="14">
        <v>4.04</v>
      </c>
      <c r="H15" s="14">
        <v>3.44</v>
      </c>
      <c r="I15" s="14">
        <v>149.28571428571431</v>
      </c>
      <c r="J15" s="14">
        <v>6.4726133662859997</v>
      </c>
      <c r="K15" s="14">
        <v>4.1169729522164099E-3</v>
      </c>
      <c r="L15" s="14">
        <v>2.6647574159153871E-2</v>
      </c>
      <c r="M15" s="14">
        <v>13.00215987380631</v>
      </c>
      <c r="N15" s="14">
        <v>2.5898461791210091E-3</v>
      </c>
      <c r="O15" s="14">
        <v>5225</v>
      </c>
      <c r="P15" s="14">
        <v>81.986286749257118</v>
      </c>
      <c r="Q15" s="14">
        <v>12766.08</v>
      </c>
      <c r="R15" s="14">
        <v>8.0000000000000002E-3</v>
      </c>
      <c r="S15" s="14">
        <v>13.002255144787849</v>
      </c>
      <c r="T15" s="14">
        <f>AVERAGE(AS15:AT15)</f>
        <v>7.2815336307026399</v>
      </c>
      <c r="U15" s="14">
        <v>14.387973431999821</v>
      </c>
      <c r="V15" s="14"/>
      <c r="W15" s="14">
        <f>VLOOKUP($AV15,ggg,W$4,0)</f>
        <v>12.64</v>
      </c>
      <c r="X15" s="14">
        <f>M15+SUM(AI15:AQ15)+$T$1+R15/$AB$1</f>
        <v>7.2999264878454957</v>
      </c>
      <c r="Y15" s="14">
        <f>M15+SUM(AI15:AQ15)+$T$1+R15/$AB$1-AL15-AO15</f>
        <v>7.2631407735597842</v>
      </c>
      <c r="Z15" s="14">
        <f>VLOOKUP($AV15,fff,3,)</f>
        <v>13.73</v>
      </c>
      <c r="AA15" s="14">
        <f>VLOOKUP($AV15,fff,2,)</f>
        <v>13.72</v>
      </c>
      <c r="AB15" s="14">
        <f>VLOOKUP($AV15,ggg,AB$4,0)</f>
        <v>8.15</v>
      </c>
      <c r="AC15" s="14">
        <f>VLOOKUP($AV15,ggg,AC$4,0)</f>
        <v>26.4</v>
      </c>
      <c r="AD15" s="14">
        <f>VLOOKUP($AV15,ggg,AD$4,0)</f>
        <v>3.34</v>
      </c>
      <c r="AE15" s="14">
        <f>VLOOKUP($AV15,ggg,AE$4,0)</f>
        <v>4.0599999999999996</v>
      </c>
      <c r="AI15">
        <f>C$3*(C$1-C15)/C$2</f>
        <v>-0.84999999999999798</v>
      </c>
      <c r="AJ15">
        <f>D$3*(D$1-D15)/D$2</f>
        <v>0</v>
      </c>
      <c r="AK15">
        <f>E$3*(E$1-E15)/E$2</f>
        <v>-1.0692857142857086</v>
      </c>
      <c r="AL15">
        <f>F$3*(F$1-F15)/F$2</f>
        <v>-4.5000000000001705E-2</v>
      </c>
      <c r="AM15">
        <f>G$3*(G$1-G15)/G$2</f>
        <v>-0.32857142857142851</v>
      </c>
      <c r="AN15">
        <f>H$3*(H$1-H15)/H$2</f>
        <v>0</v>
      </c>
      <c r="AO15">
        <f>I$3*(I$1-I15)/I$2</f>
        <v>8.1785714285713434E-2</v>
      </c>
      <c r="AP15">
        <f>(Q15-$M$1)/$M$2</f>
        <v>-0.49115999999999999</v>
      </c>
      <c r="AQ15">
        <f>(J15-$Q$1)/$Q$2</f>
        <v>-2.757389391103392E-6</v>
      </c>
      <c r="AS15">
        <f>M15+SUM(AI15:AQ15)+$T$1+R15/$AB$1</f>
        <v>7.2999264878454957</v>
      </c>
      <c r="AT15">
        <f>M15+SUM(AI15:AQ15)+$T$1+R15/$AB$1-AL15-AO15</f>
        <v>7.2631407735597842</v>
      </c>
      <c r="AV15" t="str">
        <f>A15&amp;B15</f>
        <v>45524A</v>
      </c>
    </row>
    <row r="16" spans="1:48" hidden="1" x14ac:dyDescent="0.3">
      <c r="A16" s="16">
        <v>45524</v>
      </c>
      <c r="B16" s="17" t="s">
        <v>19</v>
      </c>
      <c r="C16" s="14">
        <v>8.1980000000000004</v>
      </c>
      <c r="D16" s="14">
        <v>38.714285714285722</v>
      </c>
      <c r="E16" s="14">
        <v>26.12285714285715</v>
      </c>
      <c r="F16" s="14">
        <v>54.44</v>
      </c>
      <c r="G16" s="14">
        <v>4.0599999999999996</v>
      </c>
      <c r="H16" s="14">
        <v>3.4</v>
      </c>
      <c r="I16" s="14">
        <v>142.57142857142861</v>
      </c>
      <c r="J16" s="14">
        <v>8.9531132200430488</v>
      </c>
      <c r="K16" s="14">
        <v>3.8049791107273899E-3</v>
      </c>
      <c r="L16" s="14">
        <v>3.406640877824104E-2</v>
      </c>
      <c r="M16" s="14">
        <v>13.02272141955317</v>
      </c>
      <c r="N16" s="14">
        <v>2.594184921971783E-3</v>
      </c>
      <c r="O16" s="14">
        <v>5225</v>
      </c>
      <c r="P16" s="14">
        <v>90.376785968282292</v>
      </c>
      <c r="Q16" s="14">
        <v>9053.08</v>
      </c>
      <c r="R16" s="14">
        <v>1.6E-2</v>
      </c>
      <c r="S16" s="14">
        <v>17.171295891734189</v>
      </c>
      <c r="T16" s="14">
        <f>AVERAGE(AS16:AT16)</f>
        <v>8.8763643299676893</v>
      </c>
      <c r="U16" s="14">
        <v>15.777689935844304</v>
      </c>
      <c r="V16" s="14"/>
      <c r="W16" s="14">
        <f>VLOOKUP($AV16,ggg,W$4,0)</f>
        <v>14.23</v>
      </c>
      <c r="X16" s="14">
        <f>M16+SUM(AI16:AQ16)+$T$1+R16/$AB$1</f>
        <v>8.8530111553645128</v>
      </c>
      <c r="Y16" s="14">
        <f>M16+SUM(AI16:AQ16)+$T$1+R16/$AB$1-AL16-AO16</f>
        <v>8.8997175045708641</v>
      </c>
      <c r="Z16" s="14">
        <f>VLOOKUP($AV16,fff,3,)</f>
        <v>13.91</v>
      </c>
      <c r="AA16" s="14">
        <f>VLOOKUP($AV16,fff,2,)</f>
        <v>13.94</v>
      </c>
      <c r="AB16" s="14">
        <f>VLOOKUP($AV16,ggg,AB$4,0)</f>
        <v>8.07</v>
      </c>
      <c r="AC16" s="14">
        <f>VLOOKUP($AV16,ggg,AC$4,0)</f>
        <v>26.9</v>
      </c>
      <c r="AD16" s="14">
        <f>VLOOKUP($AV16,ggg,AD$4,0)</f>
        <v>3.28</v>
      </c>
      <c r="AE16" s="14">
        <f>VLOOKUP($AV16,ggg,AE$4,0)</f>
        <v>4.0599999999999996</v>
      </c>
      <c r="AI16">
        <f>C$3*(C$1-C16)/C$2</f>
        <v>-9.6000000000000085E-2</v>
      </c>
      <c r="AJ16">
        <f>D$3*(D$1-D16)/D$2</f>
        <v>0</v>
      </c>
      <c r="AK16">
        <f>E$3*(E$1-E16)/E$2</f>
        <v>0.13071428571427646</v>
      </c>
      <c r="AL16">
        <f>F$3*(F$1-F16)/F$2</f>
        <v>-0.31500000000000128</v>
      </c>
      <c r="AM16">
        <f>G$3*(G$1-G16)/G$2</f>
        <v>-0.35714285714285648</v>
      </c>
      <c r="AN16">
        <f>H$3*(H$1-H16)/H$2</f>
        <v>0</v>
      </c>
      <c r="AO16">
        <f>I$3*(I$1-I16)/I$2</f>
        <v>0.26829365079364942</v>
      </c>
      <c r="AP16">
        <f>(Q16-$M$1)/$M$2</f>
        <v>-0.80057666666666671</v>
      </c>
      <c r="AQ16">
        <f>(J16-$Q$1)/$Q$2</f>
        <v>-2.7688705684400851E-7</v>
      </c>
      <c r="AS16">
        <f>M16+SUM(AI16:AQ16)+$T$1+R16/$AB$1</f>
        <v>8.8530111553645128</v>
      </c>
      <c r="AT16">
        <f>M16+SUM(AI16:AQ16)+$T$1+R16/$AB$1-AL16-AO16</f>
        <v>8.8997175045708641</v>
      </c>
      <c r="AV16" t="str">
        <f>A16&amp;B16</f>
        <v>45524B</v>
      </c>
    </row>
    <row r="17" spans="1:48" hidden="1" x14ac:dyDescent="0.3">
      <c r="A17" s="16">
        <v>45524</v>
      </c>
      <c r="B17" s="17" t="s">
        <v>20</v>
      </c>
      <c r="C17" s="14">
        <v>8.0749999999999993</v>
      </c>
      <c r="D17" s="14">
        <v>38.4</v>
      </c>
      <c r="E17" s="14">
        <v>26.82</v>
      </c>
      <c r="F17" s="14">
        <v>56.44</v>
      </c>
      <c r="G17" s="14">
        <v>4.0599999999999996</v>
      </c>
      <c r="H17" s="14">
        <v>3.2440000000000002</v>
      </c>
      <c r="I17" s="14">
        <v>149</v>
      </c>
      <c r="J17" s="14">
        <v>10.150971185143639</v>
      </c>
      <c r="K17" s="14">
        <v>6.0152016047697009E-3</v>
      </c>
      <c r="L17" s="14">
        <v>6.1060138162847E-2</v>
      </c>
      <c r="M17" s="14">
        <v>25.006810383888109</v>
      </c>
      <c r="N17" s="14">
        <v>2.5953341638572172E-3</v>
      </c>
      <c r="O17" s="14">
        <v>5225</v>
      </c>
      <c r="P17" s="14">
        <v>81.362001561541234</v>
      </c>
      <c r="Q17" s="14">
        <v>29283.16</v>
      </c>
      <c r="R17" s="14">
        <v>2.1999999999999999E-2</v>
      </c>
      <c r="S17" s="14">
        <v>23.287987729093469</v>
      </c>
      <c r="T17" s="14">
        <f>AVERAGE(AS17:AT17)</f>
        <v>22.157295092161803</v>
      </c>
      <c r="U17" s="14">
        <v>16.633554930539169</v>
      </c>
      <c r="V17" s="14"/>
      <c r="W17" s="14">
        <f>VLOOKUP($AV17,ggg,W$4,0)</f>
        <v>13.98</v>
      </c>
      <c r="X17" s="14">
        <f>M17+SUM(AI17:AQ17)+$T$1+R17/$AB$1</f>
        <v>22.544656203272915</v>
      </c>
      <c r="Y17" s="14">
        <f>M17+SUM(AI17:AQ17)+$T$1+R17/$AB$1-AL17-AO17</f>
        <v>21.769933981050695</v>
      </c>
      <c r="Z17" s="14" t="e">
        <f>VLOOKUP($AV17,fff,3,)</f>
        <v>#N/A</v>
      </c>
      <c r="AA17" s="14" t="e">
        <f>VLOOKUP($AV17,fff,2,)</f>
        <v>#N/A</v>
      </c>
      <c r="AB17" s="14">
        <f>VLOOKUP($AV17,ggg,AB$4,0)</f>
        <v>8.11</v>
      </c>
      <c r="AC17" s="14">
        <f>VLOOKUP($AV17,ggg,AC$4,0)</f>
        <v>26.22</v>
      </c>
      <c r="AD17" s="14">
        <f>VLOOKUP($AV17,ggg,AD$4,0)</f>
        <v>3.25</v>
      </c>
      <c r="AE17" s="14">
        <f>VLOOKUP($AV17,ggg,AE$4,0)</f>
        <v>3.65</v>
      </c>
      <c r="AI17">
        <f>C$3*(C$1-C17)/C$2</f>
        <v>0.15000000000000213</v>
      </c>
      <c r="AJ17">
        <f>D$3*(D$1-D17)/D$2</f>
        <v>0</v>
      </c>
      <c r="AK17">
        <f>E$3*(E$1-E17)/E$2</f>
        <v>-0.91499999999999915</v>
      </c>
      <c r="AL17">
        <f>F$3*(F$1-F17)/F$2</f>
        <v>0.68499999999999872</v>
      </c>
      <c r="AM17">
        <f>G$3*(G$1-G17)/G$2</f>
        <v>-0.35714285714285648</v>
      </c>
      <c r="AN17">
        <f>H$3*(H$1-H17)/H$2</f>
        <v>0</v>
      </c>
      <c r="AO17">
        <f>I$3*(I$1-I17)/I$2</f>
        <v>8.972222222222194E-2</v>
      </c>
      <c r="AP17">
        <f>(Q17-$M$1)/$M$2</f>
        <v>0.88526333333333329</v>
      </c>
      <c r="AQ17">
        <f>(J17-$Q$1)/$Q$2</f>
        <v>9.2097210611574492E-7</v>
      </c>
      <c r="AS17">
        <f>M17+SUM(AI17:AQ17)+$T$1+R17/$AB$1</f>
        <v>22.544656203272915</v>
      </c>
      <c r="AT17">
        <f>M17+SUM(AI17:AQ17)+$T$1+R17/$AB$1-AL17-AO17</f>
        <v>21.769933981050695</v>
      </c>
      <c r="AV17" t="str">
        <f>A17&amp;B17</f>
        <v>45524C</v>
      </c>
    </row>
    <row r="18" spans="1:48" hidden="1" x14ac:dyDescent="0.3">
      <c r="A18" s="16">
        <v>45525</v>
      </c>
      <c r="B18" s="17" t="s">
        <v>21</v>
      </c>
      <c r="C18" s="14">
        <v>8.1125000000000007</v>
      </c>
      <c r="D18" s="14">
        <v>37.714285714285722</v>
      </c>
      <c r="E18" s="14">
        <v>26.221428571428572</v>
      </c>
      <c r="F18" s="14">
        <v>56.43</v>
      </c>
      <c r="G18" s="14">
        <v>3.65</v>
      </c>
      <c r="H18" s="14">
        <v>3.245714285714286</v>
      </c>
      <c r="I18" s="14">
        <v>147.57142857142861</v>
      </c>
      <c r="J18" s="14">
        <v>6.620025326916533</v>
      </c>
      <c r="K18" s="14">
        <v>1.4588945088583609E-3</v>
      </c>
      <c r="L18" s="14">
        <v>9.6579185979418052E-3</v>
      </c>
      <c r="M18" s="14">
        <v>23.07073731178146</v>
      </c>
      <c r="N18" s="14">
        <v>2.5948877863195829E-3</v>
      </c>
      <c r="O18" s="14">
        <v>5225</v>
      </c>
      <c r="P18" s="14">
        <v>81.331999668133221</v>
      </c>
      <c r="Q18" s="14">
        <v>4569.4799999999996</v>
      </c>
      <c r="R18" s="14">
        <v>1.4999999999999999E-2</v>
      </c>
      <c r="S18" s="14">
        <v>21.922062247265039</v>
      </c>
      <c r="T18" s="14">
        <f>AVERAGE(AS18:AT18)</f>
        <v>19.587657154185131</v>
      </c>
      <c r="U18" s="14">
        <v>18.128848782055645</v>
      </c>
      <c r="V18" s="14"/>
      <c r="W18" s="14">
        <f>VLOOKUP($AV18,ggg,W$4,0)</f>
        <v>21.47</v>
      </c>
      <c r="X18" s="14">
        <f>M18+SUM(AI18:AQ18)+$T$1+R18/$AB$1</f>
        <v>19.99235953513751</v>
      </c>
      <c r="Y18" s="14">
        <f>M18+SUM(AI18:AQ18)+$T$1+R18/$AB$1-AL18-AO18</f>
        <v>19.182954773232751</v>
      </c>
      <c r="Z18" s="14">
        <f>VLOOKUP($AV18,fff,3,)</f>
        <v>23.05</v>
      </c>
      <c r="AA18" s="14">
        <f>VLOOKUP($AV18,fff,2,)</f>
        <v>22.68</v>
      </c>
      <c r="AB18" s="14">
        <f>VLOOKUP($AV18,ggg,AB$4,0)</f>
        <v>7.9</v>
      </c>
      <c r="AC18" s="14">
        <f>VLOOKUP($AV18,ggg,AC$4,0)</f>
        <v>25.9</v>
      </c>
      <c r="AD18" s="14">
        <f>VLOOKUP($AV18,ggg,AD$4,0)</f>
        <v>3.32</v>
      </c>
      <c r="AE18" s="14">
        <f>VLOOKUP($AV18,ggg,AE$4,0)</f>
        <v>3.65</v>
      </c>
      <c r="AI18">
        <f>C$3*(C$1-C18)/C$2</f>
        <v>7.4999999999999289E-2</v>
      </c>
      <c r="AJ18">
        <f>D$3*(D$1-D18)/D$2</f>
        <v>0</v>
      </c>
      <c r="AK18">
        <f>E$3*(E$1-E18)/E$2</f>
        <v>-1.7142857142856016E-2</v>
      </c>
      <c r="AL18">
        <f>F$3*(F$1-F18)/F$2</f>
        <v>0.67999999999999972</v>
      </c>
      <c r="AM18">
        <f>G$3*(G$1-G18)/G$2</f>
        <v>0.22857142857142876</v>
      </c>
      <c r="AN18">
        <f>H$3*(H$1-H18)/H$2</f>
        <v>0</v>
      </c>
      <c r="AO18">
        <f>I$3*(I$1-I18)/I$2</f>
        <v>0.1294047619047605</v>
      </c>
      <c r="AP18">
        <f>(Q18-$M$1)/$M$2</f>
        <v>-1.17421</v>
      </c>
      <c r="AQ18">
        <f>(J18-$Q$1)/$Q$2</f>
        <v>-2.6099772830607503E-6</v>
      </c>
      <c r="AS18">
        <f>M18+SUM(AI18:AQ18)+$T$1+R18/$AB$1</f>
        <v>19.99235953513751</v>
      </c>
      <c r="AT18">
        <f>M18+SUM(AI18:AQ18)+$T$1+R18/$AB$1-AL18-AO18</f>
        <v>19.182954773232751</v>
      </c>
      <c r="AV18" t="str">
        <f>A18&amp;B18</f>
        <v>45525A</v>
      </c>
    </row>
    <row r="19" spans="1:48" hidden="1" x14ac:dyDescent="0.3">
      <c r="A19" s="16">
        <v>45525</v>
      </c>
      <c r="B19" s="17" t="s">
        <v>19</v>
      </c>
      <c r="C19" s="14">
        <v>7.9249999999999998</v>
      </c>
      <c r="D19" s="14">
        <v>38.200000000000003</v>
      </c>
      <c r="E19" s="14">
        <v>25.582000000000001</v>
      </c>
      <c r="F19" s="14">
        <v>55.79</v>
      </c>
      <c r="G19" s="14">
        <v>3.65</v>
      </c>
      <c r="H19" s="14">
        <v>3.351999999999999</v>
      </c>
      <c r="I19" s="14">
        <v>145</v>
      </c>
      <c r="J19" s="14">
        <v>12.786211408572131</v>
      </c>
      <c r="K19" s="14">
        <v>3.048726928732399E-3</v>
      </c>
      <c r="L19" s="14">
        <v>3.8981667037779263E-2</v>
      </c>
      <c r="M19" s="14">
        <v>19.47397920949183</v>
      </c>
      <c r="N19" s="14">
        <v>2.592609503822865E-3</v>
      </c>
      <c r="O19" s="14">
        <v>5225</v>
      </c>
      <c r="P19" s="14">
        <v>81.276256417102559</v>
      </c>
      <c r="Q19" s="14">
        <v>6827.6</v>
      </c>
      <c r="R19" s="14">
        <v>0.01</v>
      </c>
      <c r="S19" s="14">
        <v>20.690398468420899</v>
      </c>
      <c r="T19" s="14">
        <f>AVERAGE(AS19:AT19)</f>
        <v>17.388938527611558</v>
      </c>
      <c r="U19" s="14">
        <v>16.33594115619001</v>
      </c>
      <c r="V19" s="14"/>
      <c r="W19" s="14">
        <f>VLOOKUP($AV19,ggg,W$4,0)</f>
        <v>20.350000000000001</v>
      </c>
      <c r="X19" s="14">
        <f>M19+SUM(AI19:AQ19)+$T$1+R19/$AB$1</f>
        <v>17.669355194278225</v>
      </c>
      <c r="Y19" s="14">
        <f>M19+SUM(AI19:AQ19)+$T$1+R19/$AB$1-AL19-AO19</f>
        <v>17.108521860944894</v>
      </c>
      <c r="Z19" s="14">
        <f>VLOOKUP($AV19,fff,3,)</f>
        <v>16.170000000000002</v>
      </c>
      <c r="AA19" s="14">
        <f>VLOOKUP($AV19,fff,2,)</f>
        <v>14.13</v>
      </c>
      <c r="AB19" s="14">
        <f>VLOOKUP($AV19,ggg,AB$4,0)</f>
        <v>7.96</v>
      </c>
      <c r="AC19" s="14">
        <f>VLOOKUP($AV19,ggg,AC$4,0)</f>
        <v>26.9</v>
      </c>
      <c r="AD19" s="14">
        <f>VLOOKUP($AV19,ggg,AD$4,0)</f>
        <v>3.41</v>
      </c>
      <c r="AE19" s="14">
        <f>VLOOKUP($AV19,ggg,AE$4,0)</f>
        <v>3.65</v>
      </c>
      <c r="AI19">
        <f>C$3*(C$1-C19)/C$2</f>
        <v>0.45000000000000107</v>
      </c>
      <c r="AJ19">
        <f>D$3*(D$1-D19)/D$2</f>
        <v>0</v>
      </c>
      <c r="AK19">
        <f>E$3*(E$1-E19)/E$2</f>
        <v>0.94200000000000017</v>
      </c>
      <c r="AL19">
        <f>F$3*(F$1-F19)/F$2</f>
        <v>0.35999999999999938</v>
      </c>
      <c r="AM19">
        <f>G$3*(G$1-G19)/G$2</f>
        <v>0.22857142857142876</v>
      </c>
      <c r="AN19">
        <f>H$3*(H$1-H19)/H$2</f>
        <v>0</v>
      </c>
      <c r="AO19">
        <f>I$3*(I$1-I19)/I$2</f>
        <v>0.20083333333333303</v>
      </c>
      <c r="AP19">
        <f>(Q19-$M$1)/$M$2</f>
        <v>-0.98603333333333332</v>
      </c>
      <c r="AQ19">
        <f>(J19-$Q$1)/$Q$2</f>
        <v>3.5562149647870948E-6</v>
      </c>
      <c r="AS19">
        <f>M19+SUM(AI19:AQ19)+$T$1+R19/$AB$1</f>
        <v>17.669355194278225</v>
      </c>
      <c r="AT19">
        <f>M19+SUM(AI19:AQ19)+$T$1+R19/$AB$1-AL19-AO19</f>
        <v>17.108521860944894</v>
      </c>
      <c r="AV19" t="str">
        <f>A19&amp;B19</f>
        <v>45525B</v>
      </c>
    </row>
    <row r="20" spans="1:48" hidden="1" x14ac:dyDescent="0.3">
      <c r="A20" s="16">
        <v>45525</v>
      </c>
      <c r="B20" s="17" t="s">
        <v>20</v>
      </c>
      <c r="C20" s="14">
        <v>8.0299999999999994</v>
      </c>
      <c r="D20" s="14">
        <v>38.5</v>
      </c>
      <c r="E20" s="14">
        <v>26.033333333333331</v>
      </c>
      <c r="F20" s="14">
        <v>55.09</v>
      </c>
      <c r="G20" s="14">
        <v>3.65</v>
      </c>
      <c r="H20" s="14">
        <v>3.395</v>
      </c>
      <c r="I20" s="14">
        <v>142.25</v>
      </c>
      <c r="J20" s="14">
        <v>9.9397398536296055</v>
      </c>
      <c r="K20" s="14">
        <v>7.2732766463186596E-3</v>
      </c>
      <c r="L20" s="14">
        <v>7.2294477747887068E-2</v>
      </c>
      <c r="M20" s="14">
        <v>15.67185472893425</v>
      </c>
      <c r="N20" s="14">
        <v>2.5917474211813638E-3</v>
      </c>
      <c r="O20" s="14">
        <v>5225</v>
      </c>
      <c r="P20" s="14">
        <v>81.217345490340321</v>
      </c>
      <c r="Q20" s="14">
        <v>27303.599999999999</v>
      </c>
      <c r="R20" s="14">
        <v>1.6E-2</v>
      </c>
      <c r="S20" s="14">
        <v>19.446377109152142</v>
      </c>
      <c r="T20" s="14">
        <f>AVERAGE(AS20:AT20)</f>
        <v>14.269339578357361</v>
      </c>
      <c r="U20" s="14">
        <v>18.716717037262811</v>
      </c>
      <c r="V20" s="14"/>
      <c r="W20" s="14">
        <f>VLOOKUP($AV20,ggg,W$4,0)</f>
        <v>16.21</v>
      </c>
      <c r="X20" s="14">
        <f>M20+SUM(AI20:AQ20)+$T$1+R20/$AB$1</f>
        <v>14.412950689468472</v>
      </c>
      <c r="Y20" s="14">
        <f>M20+SUM(AI20:AQ20)+$T$1+R20/$AB$1-AL20-AO20</f>
        <v>14.125728467246249</v>
      </c>
      <c r="Z20" s="14" t="e">
        <f>VLOOKUP($AV20,fff,3,)</f>
        <v>#N/A</v>
      </c>
      <c r="AA20" s="14" t="e">
        <f>VLOOKUP($AV20,fff,2,)</f>
        <v>#N/A</v>
      </c>
      <c r="AB20" s="14">
        <f>VLOOKUP($AV20,ggg,AB$4,0)</f>
        <v>8.3000000000000007</v>
      </c>
      <c r="AC20" s="14">
        <f>VLOOKUP($AV20,ggg,AC$4,0)</f>
        <v>26.5</v>
      </c>
      <c r="AD20" s="14">
        <f>VLOOKUP($AV20,ggg,AD$4,0)</f>
        <v>3.43</v>
      </c>
      <c r="AE20" s="14">
        <f>VLOOKUP($AV20,ggg,AE$4,0)</f>
        <v>3.65</v>
      </c>
      <c r="AI20">
        <f>C$3*(C$1-C20)/C$2</f>
        <v>0.24000000000000202</v>
      </c>
      <c r="AJ20">
        <f>D$3*(D$1-D20)/D$2</f>
        <v>0</v>
      </c>
      <c r="AK20">
        <f>E$3*(E$1-E20)/E$2</f>
        <v>0.26500000000000412</v>
      </c>
      <c r="AL20">
        <f>F$3*(F$1-F20)/F$2</f>
        <v>1.0000000000001563E-2</v>
      </c>
      <c r="AM20">
        <f>G$3*(G$1-G20)/G$2</f>
        <v>0.22857142857142876</v>
      </c>
      <c r="AN20">
        <f>H$3*(H$1-H20)/H$2</f>
        <v>0</v>
      </c>
      <c r="AO20">
        <f>I$3*(I$1-I20)/I$2</f>
        <v>0.27722222222222193</v>
      </c>
      <c r="AP20">
        <f>(Q20-$M$1)/$M$2</f>
        <v>0.72029999999999983</v>
      </c>
      <c r="AQ20">
        <f>(J20-$Q$1)/$Q$2</f>
        <v>7.0974056337016846E-7</v>
      </c>
      <c r="AS20">
        <f>M20+SUM(AI20:AQ20)+$T$1+R20/$AB$1</f>
        <v>14.412950689468472</v>
      </c>
      <c r="AT20">
        <f>M20+SUM(AI20:AQ20)+$T$1+R20/$AB$1-AL20-AO20</f>
        <v>14.125728467246249</v>
      </c>
      <c r="AV20" t="str">
        <f>A20&amp;B20</f>
        <v>45525C</v>
      </c>
    </row>
    <row r="21" spans="1:48" hidden="1" x14ac:dyDescent="0.3">
      <c r="A21" s="16">
        <v>45526</v>
      </c>
      <c r="B21" s="17" t="s">
        <v>21</v>
      </c>
      <c r="C21" s="14">
        <v>8.3000000000000007</v>
      </c>
      <c r="D21" s="14">
        <v>38.5</v>
      </c>
      <c r="E21" s="14">
        <v>26.5</v>
      </c>
      <c r="F21" s="14">
        <v>55.08</v>
      </c>
      <c r="G21" s="14">
        <v>3.65</v>
      </c>
      <c r="H21" s="14">
        <v>3.43</v>
      </c>
      <c r="I21" s="14">
        <v>147.5</v>
      </c>
      <c r="J21" s="14">
        <v>8.547786287929739</v>
      </c>
      <c r="K21" s="14">
        <v>5.5408994496284258E-3</v>
      </c>
      <c r="L21" s="14">
        <v>4.7362424338331287E-2</v>
      </c>
      <c r="M21" s="14">
        <v>13.84884966534044</v>
      </c>
      <c r="N21" s="14">
        <v>2.5897974648383692E-3</v>
      </c>
      <c r="O21" s="14">
        <v>5225</v>
      </c>
      <c r="P21" s="14">
        <v>81.1890809489677</v>
      </c>
      <c r="Q21" s="14">
        <v>9577.44</v>
      </c>
      <c r="R21" s="14">
        <v>0.01</v>
      </c>
      <c r="S21" s="14">
        <v>15.63469644638848</v>
      </c>
      <c r="T21" s="14">
        <f>AVERAGE(AS21:AT21)</f>
        <v>9.6537358561419175</v>
      </c>
      <c r="U21" s="14">
        <v>15.513319681062713</v>
      </c>
      <c r="V21" s="14"/>
      <c r="W21" s="14">
        <f>VLOOKUP($AV21,ggg,W$4,0)</f>
        <v>21.21</v>
      </c>
      <c r="X21" s="14">
        <f>M21+SUM(AI21:AQ21)+$T$1+R21/$AB$1</f>
        <v>9.7219303005863615</v>
      </c>
      <c r="Y21" s="14">
        <f>M21+SUM(AI21:AQ21)+$T$1+R21/$AB$1-AL21-AO21</f>
        <v>9.5855414116974735</v>
      </c>
      <c r="Z21" s="14">
        <f>VLOOKUP($AV21,fff,3,)</f>
        <v>20.72</v>
      </c>
      <c r="AA21" s="14">
        <f>VLOOKUP($AV21,fff,2,)</f>
        <v>17.88</v>
      </c>
      <c r="AB21" s="14">
        <f>VLOOKUP($AV21,ggg,AB$4,0)</f>
        <v>7.85</v>
      </c>
      <c r="AC21" s="14">
        <f>VLOOKUP($AV21,ggg,AC$4,0)</f>
        <v>25</v>
      </c>
      <c r="AD21" s="14">
        <f>VLOOKUP($AV21,ggg,AD$4,0)</f>
        <v>3.37</v>
      </c>
      <c r="AE21" s="14">
        <f>VLOOKUP($AV21,ggg,AE$4,0)</f>
        <v>3.65</v>
      </c>
      <c r="AI21">
        <f>C$3*(C$1-C21)/C$2</f>
        <v>-0.30000000000000071</v>
      </c>
      <c r="AJ21">
        <f>D$3*(D$1-D21)/D$2</f>
        <v>0</v>
      </c>
      <c r="AK21">
        <f>E$3*(E$1-E21)/E$2</f>
        <v>-0.43499999999999872</v>
      </c>
      <c r="AL21">
        <f>F$3*(F$1-F21)/F$2</f>
        <v>4.9999999999990052E-3</v>
      </c>
      <c r="AM21">
        <f>G$3*(G$1-G21)/G$2</f>
        <v>0.22857142857142876</v>
      </c>
      <c r="AN21">
        <f>H$3*(H$1-H21)/H$2</f>
        <v>0</v>
      </c>
      <c r="AO21">
        <f>I$3*(I$1-I21)/I$2</f>
        <v>0.13138888888888861</v>
      </c>
      <c r="AP21">
        <f>(Q21-$M$1)/$M$2</f>
        <v>-0.75688</v>
      </c>
      <c r="AQ21">
        <f>(J21-$Q$1)/$Q$2</f>
        <v>-6.8221439428465572E-7</v>
      </c>
      <c r="AS21">
        <f>M21+SUM(AI21:AQ21)+$T$1+R21/$AB$1</f>
        <v>9.7219303005863615</v>
      </c>
      <c r="AT21">
        <f>M21+SUM(AI21:AQ21)+$T$1+R21/$AB$1-AL21-AO21</f>
        <v>9.5855414116974735</v>
      </c>
      <c r="AV21" t="str">
        <f>A21&amp;B21</f>
        <v>45526A</v>
      </c>
    </row>
    <row r="22" spans="1:48" hidden="1" x14ac:dyDescent="0.3">
      <c r="A22" s="16">
        <v>45526</v>
      </c>
      <c r="B22" s="17" t="s">
        <v>19</v>
      </c>
      <c r="C22" s="14">
        <v>7.9124999999999996</v>
      </c>
      <c r="D22" s="14">
        <v>38.75</v>
      </c>
      <c r="E22" s="14">
        <v>25</v>
      </c>
      <c r="F22" s="14">
        <v>55.08</v>
      </c>
      <c r="G22" s="14">
        <v>3.65</v>
      </c>
      <c r="H22" s="14">
        <v>3.38</v>
      </c>
      <c r="I22" s="14">
        <v>145.5</v>
      </c>
      <c r="J22" s="14">
        <v>8.6556062457569585</v>
      </c>
      <c r="K22" s="14">
        <v>2.8319428526868569E-3</v>
      </c>
      <c r="L22" s="14">
        <v>2.4512182243343141E-2</v>
      </c>
      <c r="M22" s="14">
        <v>17.092231677911741</v>
      </c>
      <c r="N22" s="14">
        <v>2.59188693520419E-3</v>
      </c>
      <c r="O22" s="14">
        <v>5225</v>
      </c>
      <c r="P22" s="14">
        <v>81.239345433938183</v>
      </c>
      <c r="Q22" s="14">
        <v>6499.16</v>
      </c>
      <c r="R22" s="14">
        <v>1.2E-2</v>
      </c>
      <c r="S22" s="14">
        <v>19.645877866329052</v>
      </c>
      <c r="T22" s="14">
        <f>AVERAGE(AS22:AT22)</f>
        <v>15.69337262097773</v>
      </c>
      <c r="U22" s="14">
        <v>20.098889620289015</v>
      </c>
      <c r="V22" s="14"/>
      <c r="W22" s="14">
        <f>VLOOKUP($AV22,ggg,W$4,0)</f>
        <v>19.45</v>
      </c>
      <c r="X22" s="14">
        <f>M22+SUM(AI22:AQ22)+$T$1+R22/$AB$1</f>
        <v>15.789344843199952</v>
      </c>
      <c r="Y22" s="14">
        <f>M22+SUM(AI22:AQ22)+$T$1+R22/$AB$1-AL22-AO22</f>
        <v>15.597400398755509</v>
      </c>
      <c r="Z22" s="14">
        <f>VLOOKUP($AV22,fff,3,)</f>
        <v>17.5</v>
      </c>
      <c r="AA22" s="14">
        <f>VLOOKUP($AV22,fff,2,)</f>
        <v>17.32</v>
      </c>
      <c r="AB22" s="14">
        <f>VLOOKUP($AV22,ggg,AB$4,0)</f>
        <v>7.98</v>
      </c>
      <c r="AC22" s="14">
        <f>VLOOKUP($AV22,ggg,AC$4,0)</f>
        <v>27.9</v>
      </c>
      <c r="AD22" s="14">
        <f>VLOOKUP($AV22,ggg,AD$4,0)</f>
        <v>3.42</v>
      </c>
      <c r="AE22" s="14">
        <f>VLOOKUP($AV22,ggg,AE$4,0)</f>
        <v>3.84</v>
      </c>
      <c r="AI22">
        <f>C$3*(C$1-C22)/C$2</f>
        <v>0.47500000000000142</v>
      </c>
      <c r="AJ22">
        <f>D$3*(D$1-D22)/D$2</f>
        <v>0</v>
      </c>
      <c r="AK22">
        <f>E$3*(E$1-E22)/E$2</f>
        <v>1.8150000000000013</v>
      </c>
      <c r="AL22">
        <f>F$3*(F$1-F22)/F$2</f>
        <v>4.9999999999990052E-3</v>
      </c>
      <c r="AM22">
        <f>G$3*(G$1-G22)/G$2</f>
        <v>0.22857142857142876</v>
      </c>
      <c r="AN22">
        <f>H$3*(H$1-H22)/H$2</f>
        <v>0</v>
      </c>
      <c r="AO22">
        <f>I$3*(I$1-I22)/I$2</f>
        <v>0.18694444444444416</v>
      </c>
      <c r="AP22">
        <f>(Q22-$M$1)/$M$2</f>
        <v>-1.0134033333333334</v>
      </c>
      <c r="AQ22">
        <f>(J22-$Q$1)/$Q$2</f>
        <v>-5.7439432863737061E-7</v>
      </c>
      <c r="AS22">
        <f>M22+SUM(AI22:AQ22)+$T$1+R22/$AB$1</f>
        <v>15.789344843199952</v>
      </c>
      <c r="AT22">
        <f>M22+SUM(AI22:AQ22)+$T$1+R22/$AB$1-AL22-AO22</f>
        <v>15.597400398755509</v>
      </c>
      <c r="AV22" t="str">
        <f>A22&amp;B22</f>
        <v>45526B</v>
      </c>
    </row>
    <row r="23" spans="1:48" hidden="1" x14ac:dyDescent="0.3">
      <c r="A23" s="16">
        <v>45526</v>
      </c>
      <c r="B23" s="17" t="s">
        <v>20</v>
      </c>
      <c r="C23" s="14">
        <v>8.07</v>
      </c>
      <c r="D23" s="14">
        <v>37.666666666666657</v>
      </c>
      <c r="E23" s="14">
        <v>26.233333333333331</v>
      </c>
      <c r="F23" s="14">
        <v>55.45333333333334</v>
      </c>
      <c r="G23" s="14">
        <v>3.8450000000000002</v>
      </c>
      <c r="H23" s="14">
        <v>3.5066666666666659</v>
      </c>
      <c r="I23" s="14">
        <v>143</v>
      </c>
      <c r="J23" s="14">
        <v>10.333741320990759</v>
      </c>
      <c r="K23" s="14">
        <v>1.0130450957718969E-2</v>
      </c>
      <c r="L23" s="14">
        <v>0.10468545966205089</v>
      </c>
      <c r="M23" s="14">
        <v>14.75957915891231</v>
      </c>
      <c r="N23" s="14">
        <v>2.5914895514617892E-3</v>
      </c>
      <c r="O23" s="14">
        <v>5225</v>
      </c>
      <c r="P23" s="14">
        <v>81.203207651831775</v>
      </c>
      <c r="Q23" s="14">
        <v>41254.76</v>
      </c>
      <c r="R23" s="14">
        <v>1.4999999999999999E-2</v>
      </c>
      <c r="S23" s="14">
        <v>17.46329975165121</v>
      </c>
      <c r="T23" s="14">
        <f>AVERAGE(AS23:AT23)</f>
        <v>13.941506207099186</v>
      </c>
      <c r="U23" s="14">
        <v>19.051010563783947</v>
      </c>
      <c r="V23" s="14"/>
      <c r="W23" s="14">
        <f>VLOOKUP($AV23,ggg,W$4,0)</f>
        <v>16.95</v>
      </c>
      <c r="X23" s="14">
        <f>M23+SUM(AI23:AQ23)+$T$1+R23/$AB$1</f>
        <v>14.165533984876966</v>
      </c>
      <c r="Y23" s="14">
        <f>M23+SUM(AI23:AQ23)+$T$1+R23/$AB$1-AL23-AO23</f>
        <v>13.717478429321407</v>
      </c>
      <c r="Z23" s="14" t="e">
        <f>VLOOKUP($AV23,fff,3,)</f>
        <v>#N/A</v>
      </c>
      <c r="AA23" s="14" t="e">
        <f>VLOOKUP($AV23,fff,2,)</f>
        <v>#N/A</v>
      </c>
      <c r="AB23" s="14">
        <f>VLOOKUP($AV23,ggg,AB$4,0)</f>
        <v>8.5500000000000007</v>
      </c>
      <c r="AC23" s="14">
        <f>VLOOKUP($AV23,ggg,AC$4,0)</f>
        <v>25.61</v>
      </c>
      <c r="AD23" s="14">
        <f>VLOOKUP($AV23,ggg,AD$4,0)</f>
        <v>3.59</v>
      </c>
      <c r="AE23" s="14">
        <f>VLOOKUP($AV23,ggg,AE$4,0)</f>
        <v>3.84</v>
      </c>
      <c r="AI23">
        <f>C$3*(C$1-C23)/C$2</f>
        <v>0.16000000000000014</v>
      </c>
      <c r="AJ23">
        <f>D$3*(D$1-D23)/D$2</f>
        <v>0</v>
      </c>
      <c r="AK23">
        <f>E$3*(E$1-E23)/E$2</f>
        <v>-3.4999999999994813E-2</v>
      </c>
      <c r="AL23">
        <f>F$3*(F$1-F23)/F$2</f>
        <v>0.19166666666666998</v>
      </c>
      <c r="AM23">
        <f>G$3*(G$1-G23)/G$2</f>
        <v>-5.0000000000000204E-2</v>
      </c>
      <c r="AN23">
        <f>H$3*(H$1-H23)/H$2</f>
        <v>0</v>
      </c>
      <c r="AO23">
        <f>I$3*(I$1-I23)/I$2</f>
        <v>0.25638888888888861</v>
      </c>
      <c r="AP23">
        <f>(Q23-$M$1)/$M$2</f>
        <v>1.8828966666666669</v>
      </c>
      <c r="AQ23">
        <f>(J23-$Q$1)/$Q$2</f>
        <v>1.1037424247331835E-6</v>
      </c>
      <c r="AS23">
        <f>M23+SUM(AI23:AQ23)+$T$1+R23/$AB$1</f>
        <v>14.165533984876966</v>
      </c>
      <c r="AT23">
        <f>M23+SUM(AI23:AQ23)+$T$1+R23/$AB$1-AL23-AO23</f>
        <v>13.717478429321407</v>
      </c>
      <c r="AV23" t="str">
        <f>A23&amp;B23</f>
        <v>45526C</v>
      </c>
    </row>
    <row r="24" spans="1:48" hidden="1" x14ac:dyDescent="0.3">
      <c r="A24" s="16">
        <v>45530</v>
      </c>
      <c r="B24" s="17" t="s">
        <v>21</v>
      </c>
      <c r="C24" s="14">
        <v>8.5500000000000007</v>
      </c>
      <c r="D24" s="14">
        <v>38.666666666666657</v>
      </c>
      <c r="E24" s="14">
        <v>25.61</v>
      </c>
      <c r="F24" s="14">
        <v>55.24</v>
      </c>
      <c r="G24" s="14">
        <v>3.84</v>
      </c>
      <c r="H24" s="14">
        <v>3.586666666666666</v>
      </c>
      <c r="I24" s="14">
        <v>147.33333333333329</v>
      </c>
      <c r="J24" s="14">
        <v>6.9524741321938466</v>
      </c>
      <c r="K24" s="14">
        <v>5.5308729959501384E-3</v>
      </c>
      <c r="L24" s="14">
        <v>3.8453251432792823E-2</v>
      </c>
      <c r="M24" s="14">
        <v>13.00216312836055</v>
      </c>
      <c r="N24" s="14">
        <v>2.601971992297582E-3</v>
      </c>
      <c r="O24" s="14">
        <v>5225</v>
      </c>
      <c r="P24" s="14">
        <v>81.986259349397869</v>
      </c>
      <c r="Q24" s="14">
        <v>17853.96</v>
      </c>
      <c r="R24" s="14">
        <v>9.0000000000000011E-3</v>
      </c>
      <c r="S24" s="14">
        <v>13.002159855752</v>
      </c>
      <c r="T24" s="14">
        <f>AVERAGE(AS24:AT24)</f>
        <v>10.102643867234525</v>
      </c>
      <c r="U24" s="14">
        <v>17.705399294939554</v>
      </c>
      <c r="V24" s="14"/>
      <c r="W24" s="14">
        <f>VLOOKUP($AV24,ggg,W$4,0)</f>
        <v>16.440000000000001</v>
      </c>
      <c r="X24" s="14">
        <f>M24+SUM(AI24:AQ24)+$T$1+R24/$AB$1</f>
        <v>10.213153126493784</v>
      </c>
      <c r="Y24" s="14">
        <f>M24+SUM(AI24:AQ24)+$T$1+R24/$AB$1-AL24-AO24</f>
        <v>9.9921346079752649</v>
      </c>
      <c r="Z24" s="14">
        <f>VLOOKUP($AV24,fff,3,)</f>
        <v>17.43</v>
      </c>
      <c r="AA24" s="14">
        <f>VLOOKUP($AV24,fff,2,)</f>
        <v>18.989999999999998</v>
      </c>
      <c r="AB24" s="14">
        <f>VLOOKUP($AV24,ggg,AB$4,0)</f>
        <v>8.41</v>
      </c>
      <c r="AC24" s="14">
        <f>VLOOKUP($AV24,ggg,AC$4,0)</f>
        <v>26.08</v>
      </c>
      <c r="AD24" s="14">
        <f>VLOOKUP($AV24,ggg,AD$4,0)</f>
        <v>3.55</v>
      </c>
      <c r="AE24" s="14">
        <f>VLOOKUP($AV24,ggg,AE$4,0)</f>
        <v>3.75</v>
      </c>
      <c r="AI24">
        <f>C$3*(C$1-C24)/C$2</f>
        <v>-0.80000000000000071</v>
      </c>
      <c r="AJ24">
        <f>D$3*(D$1-D24)/D$2</f>
        <v>0</v>
      </c>
      <c r="AK24">
        <f>E$3*(E$1-E24)/E$2</f>
        <v>0.90000000000000202</v>
      </c>
      <c r="AL24">
        <f>F$3*(F$1-F24)/F$2</f>
        <v>8.5000000000000853E-2</v>
      </c>
      <c r="AM24">
        <f>G$3*(G$1-G24)/G$2</f>
        <v>-4.2857142857142573E-2</v>
      </c>
      <c r="AN24">
        <f>H$3*(H$1-H24)/H$2</f>
        <v>0</v>
      </c>
      <c r="AO24">
        <f>I$3*(I$1-I24)/I$2</f>
        <v>0.13601851851851957</v>
      </c>
      <c r="AP24">
        <f>(Q24-$M$1)/$M$2</f>
        <v>-6.7170000000000077E-2</v>
      </c>
      <c r="AQ24">
        <f>(J24-$Q$1)/$Q$2</f>
        <v>-2.2775281453342991E-6</v>
      </c>
      <c r="AS24">
        <f>M24+SUM(AI24:AQ24)+$T$1+R24/$AB$1</f>
        <v>10.213153126493784</v>
      </c>
      <c r="AT24">
        <f>M24+SUM(AI24:AQ24)+$T$1+R24/$AB$1-AL24-AO24</f>
        <v>9.9921346079752649</v>
      </c>
      <c r="AV24" t="str">
        <f>A24&amp;B24</f>
        <v>45530A</v>
      </c>
    </row>
    <row r="25" spans="1:48" hidden="1" x14ac:dyDescent="0.3">
      <c r="A25" s="16">
        <v>45530</v>
      </c>
      <c r="B25" s="17" t="s">
        <v>19</v>
      </c>
      <c r="C25" s="14">
        <v>8.41</v>
      </c>
      <c r="D25" s="14">
        <v>38.4</v>
      </c>
      <c r="E25" s="14">
        <v>26.082000000000001</v>
      </c>
      <c r="F25" s="14">
        <v>56.12</v>
      </c>
      <c r="G25" s="14">
        <v>3.75</v>
      </c>
      <c r="H25" s="14">
        <v>3.5539999999999998</v>
      </c>
      <c r="I25" s="14">
        <v>134</v>
      </c>
      <c r="J25" s="14">
        <v>10.61038371700077</v>
      </c>
      <c r="K25" s="14">
        <v>2.9140024485204959E-4</v>
      </c>
      <c r="L25" s="14">
        <v>3.0918684131082241E-3</v>
      </c>
      <c r="M25" s="14">
        <v>13.00216140447248</v>
      </c>
      <c r="N25" s="14">
        <v>2.590799597104061E-3</v>
      </c>
      <c r="O25" s="14">
        <v>5225</v>
      </c>
      <c r="P25" s="14">
        <v>81.986272966063922</v>
      </c>
      <c r="Q25" s="14">
        <v>686.2</v>
      </c>
      <c r="R25" s="14">
        <v>3030.1129999999998</v>
      </c>
      <c r="S25" s="14">
        <v>13.002160365971161</v>
      </c>
      <c r="T25" s="14">
        <f>AVERAGE(AS25:AT25)</f>
        <v>9.0807661483496389</v>
      </c>
      <c r="U25" s="14">
        <v>14.041780452158216</v>
      </c>
      <c r="V25" s="14"/>
      <c r="W25" s="14">
        <f>VLOOKUP($AV25,ggg,W$4,0)</f>
        <v>11.12</v>
      </c>
      <c r="X25" s="14">
        <f>M25+SUM(AI25:AQ25)+$T$1+R25/$AB$1</f>
        <v>9.5964605927940827</v>
      </c>
      <c r="Y25" s="14">
        <f>M25+SUM(AI25:AQ25)+$T$1+R25/$AB$1-AL25-AO25</f>
        <v>8.5650717039051951</v>
      </c>
      <c r="Z25" s="14">
        <f>VLOOKUP($AV25,fff,3,)</f>
        <v>9.3800000000000008</v>
      </c>
      <c r="AA25" s="14">
        <f>VLOOKUP($AV25,fff,2,)</f>
        <v>8.6</v>
      </c>
      <c r="AB25" s="14">
        <f>VLOOKUP($AV25,ggg,AB$4,0)</f>
        <v>8.86</v>
      </c>
      <c r="AC25" s="14">
        <f>VLOOKUP($AV25,ggg,AC$4,0)</f>
        <v>27.15</v>
      </c>
      <c r="AD25" s="14">
        <f>VLOOKUP($AV25,ggg,AD$4,0)</f>
        <v>3.68</v>
      </c>
      <c r="AE25" s="14">
        <f>VLOOKUP($AV25,ggg,AE$4,0)</f>
        <v>4.29</v>
      </c>
      <c r="AI25">
        <f>C$3*(C$1-C25)/C$2</f>
        <v>-0.51999999999999957</v>
      </c>
      <c r="AJ25">
        <f>D$3*(D$1-D25)/D$2</f>
        <v>0</v>
      </c>
      <c r="AK25">
        <f>E$3*(E$1-E25)/E$2</f>
        <v>0.19200000000000014</v>
      </c>
      <c r="AL25">
        <f>F$3*(F$1-F25)/F$2</f>
        <v>0.52499999999999858</v>
      </c>
      <c r="AM25">
        <f>G$3*(G$1-G25)/G$2</f>
        <v>8.5714285714285784E-2</v>
      </c>
      <c r="AN25">
        <f>H$3*(H$1-H25)/H$2</f>
        <v>0</v>
      </c>
      <c r="AO25">
        <f>I$3*(I$1-I25)/I$2</f>
        <v>0.50638888888888867</v>
      </c>
      <c r="AP25">
        <f>(Q25-$M$1)/$M$2</f>
        <v>-1.4978166666666666</v>
      </c>
      <c r="AQ25">
        <f>(J25-$Q$1)/$Q$2</f>
        <v>1.3803850973858673E-6</v>
      </c>
      <c r="AS25">
        <f>M25+SUM(AI25:AQ25)+$T$1+R25/$AB$1</f>
        <v>9.5964605927940827</v>
      </c>
      <c r="AT25">
        <f>M25+SUM(AI25:AQ25)+$T$1+R25/$AB$1-AL25-AO25</f>
        <v>8.5650717039051951</v>
      </c>
      <c r="AV25" t="str">
        <f>A25&amp;B25</f>
        <v>45530B</v>
      </c>
    </row>
    <row r="26" spans="1:48" hidden="1" x14ac:dyDescent="0.3">
      <c r="A26" s="16">
        <v>45530</v>
      </c>
      <c r="B26" s="17" t="s">
        <v>20</v>
      </c>
      <c r="C26" s="14">
        <v>8.8524999999999991</v>
      </c>
      <c r="D26" s="14">
        <v>38.714285714285722</v>
      </c>
      <c r="E26" s="14">
        <v>27.542857142857141</v>
      </c>
      <c r="F26" s="14">
        <v>56.47</v>
      </c>
      <c r="G26" s="14">
        <v>4.29</v>
      </c>
      <c r="H26" s="14">
        <v>3.694285714285714</v>
      </c>
      <c r="I26" s="14">
        <v>141.42857142857139</v>
      </c>
      <c r="J26" s="14">
        <v>10.006905921436569</v>
      </c>
      <c r="K26" s="14">
        <v>5.2441708532127698E-3</v>
      </c>
      <c r="L26" s="14">
        <v>5.2477924364039918E-2</v>
      </c>
      <c r="M26" s="14">
        <v>13.002160018684879</v>
      </c>
      <c r="N26" s="14">
        <v>2.590081594486197E-3</v>
      </c>
      <c r="O26" s="14">
        <v>5225</v>
      </c>
      <c r="P26" s="14">
        <v>81.986310011487745</v>
      </c>
      <c r="Q26" s="14">
        <v>21941.439999999999</v>
      </c>
      <c r="R26" s="14">
        <v>10668.941000000001</v>
      </c>
      <c r="S26" s="14">
        <v>13.017401671617691</v>
      </c>
      <c r="T26" s="14">
        <f>AVERAGE(AS26:AT26)</f>
        <v>7.7525280701947601</v>
      </c>
      <c r="U26" s="14">
        <v>11.157560722216902</v>
      </c>
      <c r="V26" s="14"/>
      <c r="W26" s="14">
        <f>VLOOKUP($AV26,ggg,W$4,0)</f>
        <v>9.32</v>
      </c>
      <c r="X26" s="14">
        <f>M26+SUM(AI26:AQ26)+$T$1+R26/$AB$1</f>
        <v>8.2525479114646014</v>
      </c>
      <c r="Y26" s="14">
        <f>M26+SUM(AI26:AQ26)+$T$1+R26/$AB$1-AL26-AO26</f>
        <v>7.2525082289249188</v>
      </c>
      <c r="Z26" s="14" t="e">
        <f>VLOOKUP($AV26,fff,3,)</f>
        <v>#N/A</v>
      </c>
      <c r="AA26" s="14" t="e">
        <f>VLOOKUP($AV26,fff,2,)</f>
        <v>#N/A</v>
      </c>
      <c r="AB26" s="14">
        <f>VLOOKUP($AV26,ggg,AB$4,0)</f>
        <v>8.5</v>
      </c>
      <c r="AC26" s="14">
        <f>VLOOKUP($AV26,ggg,AC$4,0)</f>
        <v>25.75</v>
      </c>
      <c r="AD26" s="14">
        <f>VLOOKUP($AV26,ggg,AD$4,0)</f>
        <v>3.58</v>
      </c>
      <c r="AE26" s="14">
        <f>VLOOKUP($AV26,ggg,AE$4,0)</f>
        <v>4.29</v>
      </c>
      <c r="AI26">
        <f>C$3*(C$1-C26)/C$2</f>
        <v>-1.4049999999999976</v>
      </c>
      <c r="AJ26">
        <f>D$3*(D$1-D26)/D$2</f>
        <v>0</v>
      </c>
      <c r="AK26">
        <f>E$3*(E$1-E26)/E$2</f>
        <v>-1.9992857142857101</v>
      </c>
      <c r="AL26">
        <f>F$3*(F$1-F26)/F$2</f>
        <v>0.69999999999999929</v>
      </c>
      <c r="AM26">
        <f>G$3*(G$1-G26)/G$2</f>
        <v>-0.68571428571428561</v>
      </c>
      <c r="AN26">
        <f>H$3*(H$1-H26)/H$2</f>
        <v>0</v>
      </c>
      <c r="AO26">
        <f>I$3*(I$1-I26)/I$2</f>
        <v>0.30003968253968338</v>
      </c>
      <c r="AP26">
        <f>(Q26-$M$1)/$M$2</f>
        <v>0.27345333333333322</v>
      </c>
      <c r="AQ26">
        <f>(J26-$Q$1)/$Q$2</f>
        <v>7.7690669834326738E-7</v>
      </c>
      <c r="AS26">
        <f>M26+SUM(AI26:AQ26)+$T$1+R26/$AB$1</f>
        <v>8.2525479114646014</v>
      </c>
      <c r="AT26">
        <f>M26+SUM(AI26:AQ26)+$T$1+R26/$AB$1-AL26-AO26</f>
        <v>7.2525082289249188</v>
      </c>
      <c r="AV26" t="str">
        <f>A26&amp;B26</f>
        <v>45530C</v>
      </c>
    </row>
    <row r="27" spans="1:48" hidden="1" x14ac:dyDescent="0.3">
      <c r="A27" s="16">
        <v>45531</v>
      </c>
      <c r="B27" s="17" t="s">
        <v>21</v>
      </c>
      <c r="C27" s="14">
        <v>8.5</v>
      </c>
      <c r="D27" s="14">
        <v>38.333333333333343</v>
      </c>
      <c r="E27" s="14">
        <v>25.75333333333333</v>
      </c>
      <c r="F27" s="14">
        <v>56.46</v>
      </c>
      <c r="G27" s="14">
        <v>4.29</v>
      </c>
      <c r="H27" s="14">
        <v>3.583333333333333</v>
      </c>
      <c r="I27" s="14">
        <v>144.83333333333329</v>
      </c>
      <c r="J27" s="14">
        <v>8.6905054962166837</v>
      </c>
      <c r="K27" s="14">
        <v>8.3771888685040541E-3</v>
      </c>
      <c r="L27" s="14">
        <v>7.2802005904579706E-2</v>
      </c>
      <c r="M27" s="14">
        <v>13.002160210335759</v>
      </c>
      <c r="N27" s="14">
        <v>2.5897719701491379E-3</v>
      </c>
      <c r="O27" s="14">
        <v>5225</v>
      </c>
      <c r="P27" s="14">
        <v>81.98626296169634</v>
      </c>
      <c r="Q27" s="14">
        <v>22908.68</v>
      </c>
      <c r="R27" s="14">
        <v>5844.6450000000004</v>
      </c>
      <c r="S27" s="14">
        <v>13.002159846834941</v>
      </c>
      <c r="T27" s="14">
        <f>AVERAGE(AS27:AT27)</f>
        <v>10.690198033274587</v>
      </c>
      <c r="U27" s="14">
        <v>17.102024531622746</v>
      </c>
      <c r="V27" s="14"/>
      <c r="W27" s="14">
        <f>VLOOKUP($AV27,ggg,W$4,0)</f>
        <v>15.69</v>
      </c>
      <c r="X27" s="14">
        <f>M27+SUM(AI27:AQ27)+$T$1+R27/$AB$1</f>
        <v>11.140429514756068</v>
      </c>
      <c r="Y27" s="14">
        <f>M27+SUM(AI27:AQ27)+$T$1+R27/$AB$1-AL27-AO27</f>
        <v>10.239966551793104</v>
      </c>
      <c r="Z27" s="14">
        <f>VLOOKUP($AV27,fff,3,)</f>
        <v>16.5</v>
      </c>
      <c r="AA27" s="14">
        <f>VLOOKUP($AV27,fff,2,)</f>
        <v>15.34</v>
      </c>
      <c r="AB27" s="14">
        <f>VLOOKUP($AV27,ggg,AB$4,0)</f>
        <v>8.4</v>
      </c>
      <c r="AC27" s="14">
        <f>VLOOKUP($AV27,ggg,AC$4,0)</f>
        <v>25.46</v>
      </c>
      <c r="AD27" s="14">
        <f>VLOOKUP($AV27,ggg,AD$4,0)</f>
        <v>3.2</v>
      </c>
      <c r="AE27" s="14">
        <f>VLOOKUP($AV27,ggg,AE$4,0)</f>
        <v>4.29</v>
      </c>
      <c r="AI27">
        <f>C$3*(C$1-C27)/C$2</f>
        <v>-0.69999999999999929</v>
      </c>
      <c r="AJ27">
        <f>D$3*(D$1-D27)/D$2</f>
        <v>0</v>
      </c>
      <c r="AK27">
        <f>E$3*(E$1-E27)/E$2</f>
        <v>0.68500000000000572</v>
      </c>
      <c r="AL27">
        <f>F$3*(F$1-F27)/F$2</f>
        <v>0.69500000000000028</v>
      </c>
      <c r="AM27">
        <f>G$3*(G$1-G27)/G$2</f>
        <v>-0.68571428571428561</v>
      </c>
      <c r="AN27">
        <f>H$3*(H$1-H27)/H$2</f>
        <v>0</v>
      </c>
      <c r="AO27">
        <f>I$3*(I$1-I27)/I$2</f>
        <v>0.20546296296296401</v>
      </c>
      <c r="AP27">
        <f>(Q27-$M$1)/$M$2</f>
        <v>0.35405666666666669</v>
      </c>
      <c r="AQ27">
        <f>(J27-$Q$1)/$Q$2</f>
        <v>-5.3949504327836001E-7</v>
      </c>
      <c r="AS27">
        <f>M27+SUM(AI27:AQ27)+$T$1+R27/$AB$1</f>
        <v>11.140429514756068</v>
      </c>
      <c r="AT27">
        <f>M27+SUM(AI27:AQ27)+$T$1+R27/$AB$1-AL27-AO27</f>
        <v>10.239966551793104</v>
      </c>
      <c r="AV27" t="str">
        <f>A27&amp;B27</f>
        <v>45531A</v>
      </c>
    </row>
    <row r="28" spans="1:48" hidden="1" x14ac:dyDescent="0.3">
      <c r="A28" s="16">
        <v>45531</v>
      </c>
      <c r="B28" s="17" t="s">
        <v>19</v>
      </c>
      <c r="C28" s="14">
        <v>8.3949999999999996</v>
      </c>
      <c r="D28" s="14">
        <v>37</v>
      </c>
      <c r="E28" s="14">
        <v>25.132000000000001</v>
      </c>
      <c r="F28" s="14">
        <v>57.09</v>
      </c>
      <c r="G28" s="14">
        <v>4.29</v>
      </c>
      <c r="H28" s="14">
        <v>3.3639999999999999</v>
      </c>
      <c r="I28" s="14">
        <v>135.19999999999999</v>
      </c>
      <c r="J28" s="14">
        <v>10.203497823250141</v>
      </c>
      <c r="K28" s="14">
        <v>5.0649025563603567E-3</v>
      </c>
      <c r="L28" s="14">
        <v>5.1679722208796977E-2</v>
      </c>
      <c r="M28" s="14">
        <v>13.800100340791859</v>
      </c>
      <c r="N28" s="14">
        <v>2.589916382880436E-3</v>
      </c>
      <c r="O28" s="14">
        <v>5225</v>
      </c>
      <c r="P28" s="14">
        <v>81.188328415892158</v>
      </c>
      <c r="Q28" s="14">
        <v>13900.76</v>
      </c>
      <c r="R28" s="14">
        <v>9216.9230000000007</v>
      </c>
      <c r="S28" s="14">
        <v>15.13270545138389</v>
      </c>
      <c r="T28" s="14">
        <f>AVERAGE(AS28:AT28)</f>
        <v>12.508003773020818</v>
      </c>
      <c r="U28" s="14">
        <v>17.476352476563406</v>
      </c>
      <c r="V28" s="14"/>
      <c r="W28" s="14">
        <f>VLOOKUP($AV28,ggg,W$4,0)</f>
        <v>14.72</v>
      </c>
      <c r="X28" s="14">
        <f>M28+SUM(AI28:AQ28)+$T$1+R28/$AB$1</f>
        <v>13.249531550798595</v>
      </c>
      <c r="Y28" s="14">
        <f>M28+SUM(AI28:AQ28)+$T$1+R28/$AB$1-AL28-AO28</f>
        <v>11.766475995243038</v>
      </c>
      <c r="Z28" s="14">
        <f>VLOOKUP($AV28,fff,3,)</f>
        <v>13.37</v>
      </c>
      <c r="AA28" s="14">
        <f>VLOOKUP($AV28,fff,2,)</f>
        <v>10.42</v>
      </c>
      <c r="AB28" s="14">
        <f>VLOOKUP($AV28,ggg,AB$4,0)</f>
        <v>8.4499999999999993</v>
      </c>
      <c r="AC28" s="14">
        <f>VLOOKUP($AV28,ggg,AC$4,0)</f>
        <v>27.46</v>
      </c>
      <c r="AD28" s="14">
        <f>VLOOKUP($AV28,ggg,AD$4,0)</f>
        <v>3.38</v>
      </c>
      <c r="AE28" s="14">
        <f>VLOOKUP($AV28,ggg,AE$4,0)</f>
        <v>4.29</v>
      </c>
      <c r="AI28">
        <f>C$3*(C$1-C28)/C$2</f>
        <v>-0.48999999999999849</v>
      </c>
      <c r="AJ28">
        <f>D$3*(D$1-D28)/D$2</f>
        <v>0</v>
      </c>
      <c r="AK28">
        <f>E$3*(E$1-E28)/E$2</f>
        <v>1.6169999999999989</v>
      </c>
      <c r="AL28">
        <f>F$3*(F$1-F28)/F$2</f>
        <v>1.0100000000000016</v>
      </c>
      <c r="AM28">
        <f>G$3*(G$1-G28)/G$2</f>
        <v>-0.68571428571428561</v>
      </c>
      <c r="AN28">
        <f>H$3*(H$1-H28)/H$2</f>
        <v>0</v>
      </c>
      <c r="AO28">
        <f>I$3*(I$1-I28)/I$2</f>
        <v>0.47305555555555562</v>
      </c>
      <c r="AP28">
        <f>(Q28-$M$1)/$M$2</f>
        <v>-0.39660333333333331</v>
      </c>
      <c r="AQ28">
        <f>(J28-$Q$1)/$Q$2</f>
        <v>9.7349879674893695E-7</v>
      </c>
      <c r="AS28">
        <f>M28+SUM(AI28:AQ28)+$T$1+R28/$AB$1</f>
        <v>13.249531550798595</v>
      </c>
      <c r="AT28">
        <f>M28+SUM(AI28:AQ28)+$T$1+R28/$AB$1-AL28-AO28</f>
        <v>11.766475995243038</v>
      </c>
      <c r="AV28" t="str">
        <f>A28&amp;B28</f>
        <v>45531B</v>
      </c>
    </row>
    <row r="29" spans="1:48" hidden="1" x14ac:dyDescent="0.3">
      <c r="A29" s="16">
        <v>45531</v>
      </c>
      <c r="B29" s="17" t="s">
        <v>20</v>
      </c>
      <c r="C29" s="14">
        <v>8.3975000000000009</v>
      </c>
      <c r="D29" s="14">
        <v>38.428571428571431</v>
      </c>
      <c r="E29" s="14">
        <v>27.071428571428569</v>
      </c>
      <c r="F29" s="14">
        <v>57.78</v>
      </c>
      <c r="G29" s="14">
        <v>4.29</v>
      </c>
      <c r="H29" s="14">
        <v>3.3857142857142861</v>
      </c>
      <c r="I29" s="14">
        <v>145.28571428571431</v>
      </c>
      <c r="J29" s="14">
        <v>10.272851463018711</v>
      </c>
      <c r="K29" s="14">
        <v>8.626305985948237E-3</v>
      </c>
      <c r="L29" s="14">
        <v>8.8616760068195355E-2</v>
      </c>
      <c r="M29" s="14">
        <v>19.8454017365992</v>
      </c>
      <c r="N29" s="14">
        <v>2.5927686190672099E-3</v>
      </c>
      <c r="O29" s="14">
        <v>5225</v>
      </c>
      <c r="P29" s="14">
        <v>81.282012603058121</v>
      </c>
      <c r="Q29" s="14">
        <v>32590.32</v>
      </c>
      <c r="R29" s="14">
        <v>12531.216</v>
      </c>
      <c r="S29" s="14">
        <v>15.94510534638296</v>
      </c>
      <c r="T29" s="14">
        <f>AVERAGE(AS29:AT29)</f>
        <v>17.560475649292979</v>
      </c>
      <c r="U29" s="14">
        <v>15.661089075447848</v>
      </c>
      <c r="V29" s="14"/>
      <c r="W29" s="14">
        <f>VLOOKUP($AV29,ggg,W$4,0)</f>
        <v>13.62</v>
      </c>
      <c r="X29" s="14">
        <f>M29+SUM(AI29:AQ29)+$T$1+R29/$AB$1</f>
        <v>18.334424061991392</v>
      </c>
      <c r="Y29" s="14">
        <f>M29+SUM(AI29:AQ29)+$T$1+R29/$AB$1-AL29-AO29</f>
        <v>16.786527236594566</v>
      </c>
      <c r="Z29" s="14" t="e">
        <f>VLOOKUP($AV29,fff,3,)</f>
        <v>#N/A</v>
      </c>
      <c r="AA29" s="14" t="e">
        <f>VLOOKUP($AV29,fff,2,)</f>
        <v>#N/A</v>
      </c>
      <c r="AB29" s="14">
        <f>VLOOKUP($AV29,ggg,AB$4,0)</f>
        <v>8.32</v>
      </c>
      <c r="AC29" s="14">
        <f>VLOOKUP($AV29,ggg,AC$4,0)</f>
        <v>26.34</v>
      </c>
      <c r="AD29" s="14">
        <f>VLOOKUP($AV29,ggg,AD$4,0)</f>
        <v>3.41</v>
      </c>
      <c r="AE29" s="14">
        <f>VLOOKUP($AV29,ggg,AE$4,0)</f>
        <v>4.29</v>
      </c>
      <c r="AI29">
        <f>C$3*(C$1-C29)/C$2</f>
        <v>-0.49500000000000099</v>
      </c>
      <c r="AJ29">
        <f>D$3*(D$1-D29)/D$2</f>
        <v>0</v>
      </c>
      <c r="AK29">
        <f>E$3*(E$1-E29)/E$2</f>
        <v>-1.2921428571428528</v>
      </c>
      <c r="AL29">
        <f>F$3*(F$1-F29)/F$2</f>
        <v>1.3550000000000002</v>
      </c>
      <c r="AM29">
        <f>G$3*(G$1-G29)/G$2</f>
        <v>-0.68571428571428561</v>
      </c>
      <c r="AN29">
        <f>H$3*(H$1-H29)/H$2</f>
        <v>0</v>
      </c>
      <c r="AO29">
        <f>I$3*(I$1-I29)/I$2</f>
        <v>0.19289682539682454</v>
      </c>
      <c r="AP29">
        <f>(Q29-$M$1)/$M$2</f>
        <v>1.16086</v>
      </c>
      <c r="AQ29">
        <f>(J29-$Q$1)/$Q$2</f>
        <v>1.0428525058712161E-6</v>
      </c>
      <c r="AS29">
        <f>M29+SUM(AI29:AQ29)+$T$1+R29/$AB$1</f>
        <v>18.334424061991392</v>
      </c>
      <c r="AT29">
        <f>M29+SUM(AI29:AQ29)+$T$1+R29/$AB$1-AL29-AO29</f>
        <v>16.786527236594566</v>
      </c>
      <c r="AV29" t="str">
        <f>A29&amp;B29</f>
        <v>45531C</v>
      </c>
    </row>
    <row r="30" spans="1:48" hidden="1" x14ac:dyDescent="0.3">
      <c r="A30" s="16">
        <v>45532</v>
      </c>
      <c r="B30" s="17" t="s">
        <v>21</v>
      </c>
      <c r="C30" s="14">
        <v>8.3249999999999993</v>
      </c>
      <c r="D30" s="14">
        <v>38.428571428571431</v>
      </c>
      <c r="E30" s="14">
        <v>26.341428571428569</v>
      </c>
      <c r="F30" s="14">
        <v>57.78</v>
      </c>
      <c r="G30" s="14">
        <v>4.29</v>
      </c>
      <c r="H30" s="14">
        <v>3.4085714285714279</v>
      </c>
      <c r="I30" s="14">
        <v>144.71428571428569</v>
      </c>
      <c r="J30" s="14">
        <v>6.9350617496581837</v>
      </c>
      <c r="K30" s="14">
        <v>3.7339164457575922E-3</v>
      </c>
      <c r="L30" s="14">
        <v>2.5894941119393111E-2</v>
      </c>
      <c r="M30" s="14">
        <v>18.98112975596008</v>
      </c>
      <c r="N30" s="14">
        <v>2.592323580834503E-3</v>
      </c>
      <c r="O30" s="14">
        <v>5225</v>
      </c>
      <c r="P30" s="14">
        <v>81.268618439362541</v>
      </c>
      <c r="Q30" s="14">
        <v>11742.32</v>
      </c>
      <c r="R30" s="14">
        <v>7487.1010000000006</v>
      </c>
      <c r="S30" s="14">
        <v>16.020596440102651</v>
      </c>
      <c r="T30" s="14">
        <f>AVERAGE(AS30:AT30)</f>
        <v>15.702392005463986</v>
      </c>
      <c r="U30" s="14">
        <v>17.295644392291379</v>
      </c>
      <c r="V30" s="14"/>
      <c r="W30" s="14">
        <f>VLOOKUP($AV30,ggg,W$4,0)</f>
        <v>19.82</v>
      </c>
      <c r="X30" s="14">
        <f>M30+SUM(AI30:AQ30)+$T$1+R30/$AB$1</f>
        <v>16.484276926098907</v>
      </c>
      <c r="Y30" s="14">
        <f>M30+SUM(AI30:AQ30)+$T$1+R30/$AB$1-AL30-AO30</f>
        <v>14.920507084829065</v>
      </c>
      <c r="Z30" s="14">
        <f>VLOOKUP($AV30,fff,3,)</f>
        <v>20.02</v>
      </c>
      <c r="AA30" s="14">
        <f>VLOOKUP($AV30,fff,2,)</f>
        <v>20.399999999999999</v>
      </c>
      <c r="AB30" s="14">
        <f>VLOOKUP($AV30,ggg,AB$4,0)</f>
        <v>8.33</v>
      </c>
      <c r="AC30" s="14">
        <f>VLOOKUP($AV30,ggg,AC$4,0)</f>
        <v>25.6</v>
      </c>
      <c r="AD30" s="14">
        <f>VLOOKUP($AV30,ggg,AD$4,0)</f>
        <v>3.41</v>
      </c>
      <c r="AE30" s="14">
        <f>VLOOKUP($AV30,ggg,AE$4,0)</f>
        <v>4.0199999999999996</v>
      </c>
      <c r="AI30">
        <f>C$3*(C$1-C30)/C$2</f>
        <v>-0.34999999999999787</v>
      </c>
      <c r="AJ30">
        <f>D$3*(D$1-D30)/D$2</f>
        <v>0</v>
      </c>
      <c r="AK30">
        <f>E$3*(E$1-E30)/E$2</f>
        <v>-0.19714285714285215</v>
      </c>
      <c r="AL30">
        <f>F$3*(F$1-F30)/F$2</f>
        <v>1.3550000000000002</v>
      </c>
      <c r="AM30">
        <f>G$3*(G$1-G30)/G$2</f>
        <v>-0.68571428571428561</v>
      </c>
      <c r="AN30">
        <f>H$3*(H$1-H30)/H$2</f>
        <v>0</v>
      </c>
      <c r="AO30">
        <f>I$3*(I$1-I30)/I$2</f>
        <v>0.20876984126984158</v>
      </c>
      <c r="AP30">
        <f>(Q30-$M$1)/$M$2</f>
        <v>-0.57647333333333339</v>
      </c>
      <c r="AQ30">
        <f>(J30-$Q$1)/$Q$2</f>
        <v>-2.2949405452823621E-6</v>
      </c>
      <c r="AS30">
        <f>M30+SUM(AI30:AQ30)+$T$1+R30/$AB$1</f>
        <v>16.484276926098907</v>
      </c>
      <c r="AT30">
        <f>M30+SUM(AI30:AQ30)+$T$1+R30/$AB$1-AL30-AO30</f>
        <v>14.920507084829065</v>
      </c>
      <c r="AV30" t="str">
        <f>A30&amp;B30</f>
        <v>45532A</v>
      </c>
    </row>
    <row r="31" spans="1:48" hidden="1" x14ac:dyDescent="0.3">
      <c r="A31" s="16">
        <v>45532</v>
      </c>
      <c r="B31" s="17" t="s">
        <v>19</v>
      </c>
      <c r="C31" s="14">
        <v>8.3140000000000001</v>
      </c>
      <c r="D31" s="14">
        <v>37.571428571428569</v>
      </c>
      <c r="E31" s="14">
        <v>25.48714285714286</v>
      </c>
      <c r="F31" s="14">
        <v>56.04</v>
      </c>
      <c r="G31" s="14">
        <v>4.0199999999999996</v>
      </c>
      <c r="H31" s="14">
        <v>3.4085714285714279</v>
      </c>
      <c r="I31" s="14">
        <v>139</v>
      </c>
      <c r="J31" s="14">
        <v>10.299578127637</v>
      </c>
      <c r="K31" s="14">
        <v>9.9822344769051885E-3</v>
      </c>
      <c r="L31" s="14">
        <v>0.1028128038832767</v>
      </c>
      <c r="M31" s="14">
        <v>13.581019526380009</v>
      </c>
      <c r="N31" s="14">
        <v>2.5898103315396088E-3</v>
      </c>
      <c r="O31" s="14">
        <v>5225</v>
      </c>
      <c r="P31" s="14">
        <v>81.407404373712623</v>
      </c>
      <c r="Q31" s="14">
        <v>25586.2</v>
      </c>
      <c r="R31" s="14">
        <v>8367.6280000000006</v>
      </c>
      <c r="S31" s="14">
        <v>15.698349559676529</v>
      </c>
      <c r="T31" s="14">
        <f>AVERAGE(AS31:AT31)</f>
        <v>12.877502443578253</v>
      </c>
      <c r="U31" s="14">
        <v>18.289374067289618</v>
      </c>
      <c r="V31" s="14"/>
      <c r="W31" s="14">
        <f>VLOOKUP($AV31,ggg,W$4,0)</f>
        <v>20.47</v>
      </c>
      <c r="X31" s="14">
        <f>M31+SUM(AI31:AQ31)+$T$1+R31/$AB$1</f>
        <v>13.303752443578253</v>
      </c>
      <c r="Y31" s="14">
        <f>M31+SUM(AI31:AQ31)+$T$1+R31/$AB$1-AL31-AO31</f>
        <v>12.451252443578253</v>
      </c>
      <c r="Z31" s="14">
        <f>VLOOKUP($AV31,fff,3,)</f>
        <v>14.23</v>
      </c>
      <c r="AA31" s="14">
        <f>VLOOKUP($AV31,fff,2,)</f>
        <v>14.04</v>
      </c>
      <c r="AB31" s="14">
        <f>VLOOKUP($AV31,ggg,AB$4,0)</f>
        <v>8.36</v>
      </c>
      <c r="AC31" s="14">
        <f>VLOOKUP($AV31,ggg,AC$4,0)</f>
        <v>26.6</v>
      </c>
      <c r="AD31" s="14">
        <f>VLOOKUP($AV31,ggg,AD$4,0)</f>
        <v>3.52</v>
      </c>
      <c r="AE31" s="14">
        <f>VLOOKUP($AV31,ggg,AE$4,0)</f>
        <v>4.0199999999999996</v>
      </c>
      <c r="AI31">
        <f>C$3*(C$1-C31)/C$2</f>
        <v>-0.3279999999999994</v>
      </c>
      <c r="AJ31">
        <f>D$3*(D$1-D31)/D$2</f>
        <v>0</v>
      </c>
      <c r="AK31">
        <f>E$3*(E$1-E31)/E$2</f>
        <v>1.084285714285711</v>
      </c>
      <c r="AL31">
        <f>F$3*(F$1-F31)/F$2</f>
        <v>0.48499999999999943</v>
      </c>
      <c r="AM31">
        <f>G$3*(G$1-G31)/G$2</f>
        <v>-0.29999999999999932</v>
      </c>
      <c r="AN31">
        <f>H$3*(H$1-H31)/H$2</f>
        <v>0</v>
      </c>
      <c r="AO31">
        <f>I$3*(I$1-I31)/I$2</f>
        <v>0.36749999999999972</v>
      </c>
      <c r="AP31">
        <f>(Q31-$M$1)/$M$2</f>
        <v>0.57718333333333338</v>
      </c>
      <c r="AQ31">
        <f>(J31-$Q$1)/$Q$2</f>
        <v>1.0695791972161968E-6</v>
      </c>
      <c r="AS31">
        <f>M31+SUM(AI31:AQ31)+$T$1+R31/$AB$1</f>
        <v>13.303752443578253</v>
      </c>
      <c r="AT31">
        <f>M31+SUM(AI31:AQ31)+$T$1+R31/$AB$1-AL31-AO31</f>
        <v>12.451252443578253</v>
      </c>
      <c r="AV31" t="str">
        <f>A31&amp;B31</f>
        <v>45532B</v>
      </c>
    </row>
    <row r="32" spans="1:48" hidden="1" x14ac:dyDescent="0.3">
      <c r="A32" s="16">
        <v>45532</v>
      </c>
      <c r="B32" s="17" t="s">
        <v>20</v>
      </c>
      <c r="C32" s="14">
        <v>8.3550000000000004</v>
      </c>
      <c r="D32" s="14">
        <v>37.75</v>
      </c>
      <c r="E32" s="14">
        <v>27.3</v>
      </c>
      <c r="F32" s="14">
        <v>56.435000000000002</v>
      </c>
      <c r="G32" s="14">
        <v>4.0199999999999996</v>
      </c>
      <c r="H32" s="14">
        <v>3.45</v>
      </c>
      <c r="I32" s="14">
        <v>146.75</v>
      </c>
      <c r="J32" s="14">
        <v>11.71435890494276</v>
      </c>
      <c r="K32" s="14">
        <v>1.8801516881098821E-3</v>
      </c>
      <c r="L32" s="14">
        <v>2.2024771670253171E-2</v>
      </c>
      <c r="M32" s="14">
        <v>16.20812698506435</v>
      </c>
      <c r="N32" s="14">
        <v>2.591095873731099E-3</v>
      </c>
      <c r="O32" s="14">
        <v>5225</v>
      </c>
      <c r="P32" s="14">
        <v>81.225647220418395</v>
      </c>
      <c r="Q32" s="14">
        <v>6663</v>
      </c>
      <c r="R32" s="14">
        <v>11682.025</v>
      </c>
      <c r="S32" s="14">
        <v>14.614645506553821</v>
      </c>
      <c r="T32" s="14">
        <f>AVERAGE(AS32:AT32)</f>
        <v>11.448943080536852</v>
      </c>
      <c r="U32" s="14">
        <v>11.83522350781594</v>
      </c>
      <c r="V32" s="14"/>
      <c r="W32" s="14">
        <f>VLOOKUP($AV32,ggg,W$4,0)</f>
        <v>14.23</v>
      </c>
      <c r="X32" s="14">
        <f>M32+SUM(AI32:AQ32)+$T$1+R32/$AB$1</f>
        <v>11.866304191647963</v>
      </c>
      <c r="Y32" s="14">
        <f>M32+SUM(AI32:AQ32)+$T$1+R32/$AB$1-AL32-AO32</f>
        <v>11.031581969425741</v>
      </c>
      <c r="Z32" s="14" t="e">
        <f>VLOOKUP($AV32,fff,3,)</f>
        <v>#N/A</v>
      </c>
      <c r="AA32" s="14" t="e">
        <f>VLOOKUP($AV32,fff,2,)</f>
        <v>#N/A</v>
      </c>
      <c r="AB32" s="14">
        <f>VLOOKUP($AV32,ggg,AB$4,0)</f>
        <v>9</v>
      </c>
      <c r="AC32" s="14">
        <f>VLOOKUP($AV32,ggg,AC$4,0)</f>
        <v>25.85</v>
      </c>
      <c r="AD32" s="14">
        <f>VLOOKUP($AV32,ggg,AD$4,0)</f>
        <v>3.78</v>
      </c>
      <c r="AE32" s="14">
        <f>VLOOKUP($AV32,ggg,AE$4,0)</f>
        <v>4.0199999999999996</v>
      </c>
      <c r="AI32">
        <f>C$3*(C$1-C32)/C$2</f>
        <v>-0.41000000000000014</v>
      </c>
      <c r="AJ32">
        <f>D$3*(D$1-D32)/D$2</f>
        <v>0</v>
      </c>
      <c r="AK32">
        <f>E$3*(E$1-E32)/E$2</f>
        <v>-1.6349999999999998</v>
      </c>
      <c r="AL32">
        <f>F$3*(F$1-F32)/F$2</f>
        <v>0.68250000000000099</v>
      </c>
      <c r="AM32">
        <f>G$3*(G$1-G32)/G$2</f>
        <v>-0.29999999999999932</v>
      </c>
      <c r="AN32">
        <f>H$3*(H$1-H32)/H$2</f>
        <v>0</v>
      </c>
      <c r="AO32">
        <f>I$3*(I$1-I32)/I$2</f>
        <v>0.15222222222222195</v>
      </c>
      <c r="AP32">
        <f>(Q32-$M$1)/$M$2</f>
        <v>-0.99975000000000003</v>
      </c>
      <c r="AQ32">
        <f>(J32-$Q$1)/$Q$2</f>
        <v>2.4843613893041487E-6</v>
      </c>
      <c r="AS32">
        <f>M32+SUM(AI32:AQ32)+$T$1+R32/$AB$1</f>
        <v>11.866304191647963</v>
      </c>
      <c r="AT32">
        <f>M32+SUM(AI32:AQ32)+$T$1+R32/$AB$1-AL32-AO32</f>
        <v>11.031581969425741</v>
      </c>
      <c r="AV32" t="str">
        <f>A32&amp;B32</f>
        <v>45532C</v>
      </c>
    </row>
    <row r="33" spans="1:48" hidden="1" x14ac:dyDescent="0.3">
      <c r="A33" s="16">
        <v>45533</v>
      </c>
      <c r="B33" s="17" t="s">
        <v>21</v>
      </c>
      <c r="C33" s="14">
        <v>9.0333333333333332</v>
      </c>
      <c r="D33" s="14">
        <v>38.333333333333343</v>
      </c>
      <c r="E33" s="14">
        <v>26.2</v>
      </c>
      <c r="F33" s="14">
        <v>56.84</v>
      </c>
      <c r="G33" s="14">
        <v>4.0199999999999996</v>
      </c>
      <c r="H33" s="14">
        <v>3.7866666666666671</v>
      </c>
      <c r="I33" s="14">
        <v>146.66666666666671</v>
      </c>
      <c r="J33" s="14">
        <v>8.2170402800152615</v>
      </c>
      <c r="K33" s="14">
        <v>1.552855708283725E-3</v>
      </c>
      <c r="L33" s="14">
        <v>1.2759877904018989E-2</v>
      </c>
      <c r="M33" s="14">
        <v>13.00216033185295</v>
      </c>
      <c r="N33" s="14">
        <v>2.5911203402723781E-3</v>
      </c>
      <c r="O33" s="14">
        <v>5225</v>
      </c>
      <c r="P33" s="14">
        <v>81.986265797926563</v>
      </c>
      <c r="Q33" s="14">
        <v>2407.84</v>
      </c>
      <c r="R33" s="14">
        <v>4898.6769999999997</v>
      </c>
      <c r="S33" s="14">
        <v>13.00216035768776</v>
      </c>
      <c r="T33" s="14">
        <f>AVERAGE(AS33:AT33)</f>
        <v>7.605782204077407</v>
      </c>
      <c r="U33" s="14">
        <v>12.19977079850835</v>
      </c>
      <c r="V33" s="14"/>
      <c r="W33" s="14">
        <f>VLOOKUP($AV33,ggg,W$4,0)</f>
        <v>10.57</v>
      </c>
      <c r="X33" s="14">
        <f>M33+SUM(AI33:AQ33)+$T$1+R33/$AB$1</f>
        <v>8.1255507225959249</v>
      </c>
      <c r="Y33" s="14">
        <f>M33+SUM(AI33:AQ33)+$T$1+R33/$AB$1-AL33-AO33</f>
        <v>7.0860136855588882</v>
      </c>
      <c r="Z33" s="14">
        <f>VLOOKUP($AV33,fff,3,)</f>
        <v>10.19</v>
      </c>
      <c r="AA33" s="14">
        <f>VLOOKUP($AV33,fff,2,)</f>
        <v>9.4600000000000009</v>
      </c>
      <c r="AB33" s="14">
        <f>VLOOKUP($AV33,ggg,AB$4,0)</f>
        <v>8.65</v>
      </c>
      <c r="AC33" s="14">
        <f>VLOOKUP($AV33,ggg,AC$4,0)</f>
        <v>25.4</v>
      </c>
      <c r="AD33" s="14">
        <f>VLOOKUP($AV33,ggg,AD$4,0)</f>
        <v>3.36</v>
      </c>
      <c r="AE33" s="14">
        <f>VLOOKUP($AV33,ggg,AE$4,0)</f>
        <v>4.0199999999999996</v>
      </c>
      <c r="AI33">
        <f>C$3*(C$1-C33)/C$2</f>
        <v>-1.7666666666666657</v>
      </c>
      <c r="AJ33">
        <f>D$3*(D$1-D33)/D$2</f>
        <v>0</v>
      </c>
      <c r="AK33">
        <f>E$3*(E$1-E33)/E$2</f>
        <v>1.5000000000002343E-2</v>
      </c>
      <c r="AL33">
        <f>F$3*(F$1-F33)/F$2</f>
        <v>0.88500000000000156</v>
      </c>
      <c r="AM33">
        <f>G$3*(G$1-G33)/G$2</f>
        <v>-0.29999999999999932</v>
      </c>
      <c r="AN33">
        <f>H$3*(H$1-H33)/H$2</f>
        <v>0</v>
      </c>
      <c r="AO33">
        <f>I$3*(I$1-I33)/I$2</f>
        <v>0.15453703703703545</v>
      </c>
      <c r="AP33">
        <f>(Q33-$M$1)/$M$2</f>
        <v>-1.3543466666666666</v>
      </c>
      <c r="AQ33">
        <f>(J33-$Q$1)/$Q$2</f>
        <v>-1.0129607329454719E-6</v>
      </c>
      <c r="AS33">
        <f>M33+SUM(AI33:AQ33)+$T$1+R33/$AB$1</f>
        <v>8.1255507225959249</v>
      </c>
      <c r="AT33">
        <f>M33+SUM(AI33:AQ33)+$T$1+R33/$AB$1-AL33-AO33</f>
        <v>7.0860136855588882</v>
      </c>
      <c r="AV33" t="str">
        <f>A33&amp;B33</f>
        <v>45533A</v>
      </c>
    </row>
    <row r="34" spans="1:48" hidden="1" x14ac:dyDescent="0.3">
      <c r="A34" s="16">
        <v>45533</v>
      </c>
      <c r="B34" s="17" t="s">
        <v>19</v>
      </c>
      <c r="C34" s="14">
        <v>8.6533333333333342</v>
      </c>
      <c r="D34" s="14">
        <v>38.5</v>
      </c>
      <c r="E34" s="14">
        <v>26.563333333333329</v>
      </c>
      <c r="F34" s="14">
        <v>53.2</v>
      </c>
      <c r="G34" s="14">
        <v>4.0199999999999996</v>
      </c>
      <c r="H34" s="14">
        <v>3.4816666666666669</v>
      </c>
      <c r="I34" s="14">
        <v>139.83333333333329</v>
      </c>
      <c r="J34" s="14">
        <v>9.3829678143574835</v>
      </c>
      <c r="K34" s="14">
        <v>3.2661419880299879E-3</v>
      </c>
      <c r="L34" s="14">
        <v>3.064610515080694E-2</v>
      </c>
      <c r="M34" s="14">
        <v>13.113266089896801</v>
      </c>
      <c r="N34" s="14">
        <v>12.918020451838469</v>
      </c>
      <c r="O34" s="14">
        <v>5225</v>
      </c>
      <c r="P34" s="14">
        <v>114.420266014338</v>
      </c>
      <c r="Q34" s="14">
        <v>9992.0400000000009</v>
      </c>
      <c r="R34" s="14">
        <v>10015.950000000001</v>
      </c>
      <c r="S34" s="14">
        <v>13.00215976208815</v>
      </c>
      <c r="T34" s="14">
        <f>AVERAGE(AS34:AT34)</f>
        <v>8.2605405021240372</v>
      </c>
      <c r="U34" s="14">
        <v>12.880298049687614</v>
      </c>
      <c r="V34" s="14"/>
      <c r="W34" s="14">
        <f>VLOOKUP($AV34,ggg,W$4,0)</f>
        <v>11.84</v>
      </c>
      <c r="X34" s="14">
        <f>M34+SUM(AI34:AQ34)+$T$1+R34/$AB$1</f>
        <v>7.9652164280499633</v>
      </c>
      <c r="Y34" s="14">
        <f>M34+SUM(AI34:AQ34)+$T$1+R34/$AB$1-AL34-AO34</f>
        <v>8.5558645761981094</v>
      </c>
      <c r="Z34" s="14">
        <f>VLOOKUP($AV34,fff,3,)</f>
        <v>14.69</v>
      </c>
      <c r="AA34" s="14">
        <f>VLOOKUP($AV34,fff,2,)</f>
        <v>14.65</v>
      </c>
      <c r="AB34" s="14">
        <f>VLOOKUP($AV34,ggg,AB$4,0)</f>
        <v>8.2799999999999994</v>
      </c>
      <c r="AC34" s="14">
        <f>VLOOKUP($AV34,ggg,AC$4,0)</f>
        <v>26.87</v>
      </c>
      <c r="AD34" s="14">
        <f>VLOOKUP($AV34,ggg,AD$4,0)</f>
        <v>3.23</v>
      </c>
      <c r="AE34" s="14">
        <f>VLOOKUP($AV34,ggg,AE$4,0)</f>
        <v>4.0199999999999996</v>
      </c>
      <c r="AI34">
        <f>C$3*(C$1-C34)/C$2</f>
        <v>-1.0066666666666677</v>
      </c>
      <c r="AJ34">
        <f>D$3*(D$1-D34)/D$2</f>
        <v>0</v>
      </c>
      <c r="AK34">
        <f>E$3*(E$1-E34)/E$2</f>
        <v>-0.52999999999999214</v>
      </c>
      <c r="AL34">
        <f>F$3*(F$1-F34)/F$2</f>
        <v>-0.93499999999999872</v>
      </c>
      <c r="AM34">
        <f>G$3*(G$1-G34)/G$2</f>
        <v>-0.29999999999999932</v>
      </c>
      <c r="AN34">
        <f>H$3*(H$1-H34)/H$2</f>
        <v>0</v>
      </c>
      <c r="AO34">
        <f>I$3*(I$1-I34)/I$2</f>
        <v>0.34435185185185291</v>
      </c>
      <c r="AP34">
        <f>(Q34-$M$1)/$M$2</f>
        <v>-0.72232999999999992</v>
      </c>
      <c r="AQ34">
        <f>(J34-$Q$1)/$Q$2</f>
        <v>1.529679673254504E-7</v>
      </c>
      <c r="AS34">
        <f>M34+SUM(AI34:AQ34)+$T$1+R34/$AB$1</f>
        <v>7.9652164280499633</v>
      </c>
      <c r="AT34">
        <f>M34+SUM(AI34:AQ34)+$T$1+R34/$AB$1-AL34-AO34</f>
        <v>8.5558645761981094</v>
      </c>
      <c r="AV34" t="str">
        <f>A34&amp;B34</f>
        <v>45533B</v>
      </c>
    </row>
    <row r="35" spans="1:48" hidden="1" x14ac:dyDescent="0.3">
      <c r="A35" s="16">
        <v>45533</v>
      </c>
      <c r="B35" s="17" t="s">
        <v>20</v>
      </c>
      <c r="C35" s="14">
        <v>8.2750000000000004</v>
      </c>
      <c r="D35" s="14">
        <v>36.25</v>
      </c>
      <c r="E35" s="14">
        <v>26.574999999999999</v>
      </c>
      <c r="F35" s="14">
        <v>54.98</v>
      </c>
      <c r="G35" s="14">
        <v>4.0199999999999996</v>
      </c>
      <c r="H35" s="14">
        <v>3.22</v>
      </c>
      <c r="I35" s="14">
        <v>143.25</v>
      </c>
      <c r="J35" s="14">
        <v>8.8478557475126696</v>
      </c>
      <c r="K35" s="14">
        <v>4.8068631303150259E-3</v>
      </c>
      <c r="L35" s="14">
        <v>4.2530431575064552E-2</v>
      </c>
      <c r="M35" s="14">
        <v>17.143816887419352</v>
      </c>
      <c r="N35" s="14">
        <v>2.6002125898145689E-3</v>
      </c>
      <c r="O35" s="14">
        <v>5225</v>
      </c>
      <c r="P35" s="14">
        <v>97.683740425688541</v>
      </c>
      <c r="Q35" s="14">
        <v>16833.8</v>
      </c>
      <c r="R35" s="14">
        <v>11779.987999999999</v>
      </c>
      <c r="S35" s="14">
        <v>21.773347625609659</v>
      </c>
      <c r="T35" s="14">
        <f>AVERAGE(AS35:AT35)</f>
        <v>14.174354194163605</v>
      </c>
      <c r="U35" s="14">
        <v>16.304697590547111</v>
      </c>
      <c r="V35" s="14"/>
      <c r="W35" s="14">
        <f>VLOOKUP($AV35,ggg,W$4,0)</f>
        <v>14.83</v>
      </c>
      <c r="X35" s="14">
        <f>M35+SUM(AI35:AQ35)+$T$1+R35/$AB$1</f>
        <v>14.276576416385828</v>
      </c>
      <c r="Y35" s="14">
        <f>M35+SUM(AI35:AQ35)+$T$1+R35/$AB$1-AL35-AO35</f>
        <v>14.072131971941385</v>
      </c>
      <c r="Z35" s="14" t="e">
        <f>VLOOKUP($AV35,fff,3,)</f>
        <v>#N/A</v>
      </c>
      <c r="AA35" s="14" t="e">
        <f>VLOOKUP($AV35,fff,2,)</f>
        <v>#N/A</v>
      </c>
      <c r="AB35" s="14">
        <f>VLOOKUP($AV35,ggg,AB$4,0)</f>
        <v>8.1</v>
      </c>
      <c r="AC35" s="14">
        <f>VLOOKUP($AV35,ggg,AC$4,0)</f>
        <v>26.17</v>
      </c>
      <c r="AD35" s="14">
        <f>VLOOKUP($AV35,ggg,AD$4,0)</f>
        <v>3.29</v>
      </c>
      <c r="AE35" s="14">
        <f>VLOOKUP($AV35,ggg,AE$4,0)</f>
        <v>4.0199999999999996</v>
      </c>
      <c r="AI35">
        <f>C$3*(C$1-C35)/C$2</f>
        <v>-0.25</v>
      </c>
      <c r="AJ35">
        <f>D$3*(D$1-D35)/D$2</f>
        <v>0</v>
      </c>
      <c r="AK35">
        <f>E$3*(E$1-E35)/E$2</f>
        <v>-0.54749999999999766</v>
      </c>
      <c r="AL35">
        <f>F$3*(F$1-F35)/F$2</f>
        <v>-4.5000000000001705E-2</v>
      </c>
      <c r="AM35">
        <f>G$3*(G$1-G35)/G$2</f>
        <v>-0.29999999999999932</v>
      </c>
      <c r="AN35">
        <f>H$3*(H$1-H35)/H$2</f>
        <v>0</v>
      </c>
      <c r="AO35">
        <f>I$3*(I$1-I35)/I$2</f>
        <v>0.24944444444444416</v>
      </c>
      <c r="AP35">
        <f>(Q35-$M$1)/$M$2</f>
        <v>-0.15218333333333339</v>
      </c>
      <c r="AQ35">
        <f>(J35-$Q$1)/$Q$2</f>
        <v>-3.8214463463196549E-7</v>
      </c>
      <c r="AS35">
        <f>M35+SUM(AI35:AQ35)+$T$1+R35/$AB$1</f>
        <v>14.276576416385828</v>
      </c>
      <c r="AT35">
        <f>M35+SUM(AI35:AQ35)+$T$1+R35/$AB$1-AL35-AO35</f>
        <v>14.072131971941385</v>
      </c>
      <c r="AV35" t="str">
        <f>A35&amp;B35</f>
        <v>45533C</v>
      </c>
    </row>
    <row r="36" spans="1:48" x14ac:dyDescent="0.3">
      <c r="A36" s="16">
        <v>45538</v>
      </c>
      <c r="B36" s="17" t="s">
        <v>21</v>
      </c>
      <c r="C36" s="14">
        <v>8</v>
      </c>
      <c r="D36" s="14">
        <v>37.777777777777779</v>
      </c>
      <c r="E36" s="14">
        <v>26.02</v>
      </c>
      <c r="F36" s="14">
        <v>56.77</v>
      </c>
      <c r="G36" s="14">
        <v>4.0199999999999996</v>
      </c>
      <c r="H36" s="14">
        <v>3.2844444444444441</v>
      </c>
      <c r="I36" s="14">
        <v>143.2222222222222</v>
      </c>
      <c r="J36" s="14">
        <v>9.6136977820488632</v>
      </c>
      <c r="K36" s="14">
        <v>1.0860455393712311E-2</v>
      </c>
      <c r="L36" s="14">
        <v>0.10440913593057261</v>
      </c>
      <c r="M36" s="22">
        <v>23.40421932845727</v>
      </c>
      <c r="N36" s="14">
        <v>2.594511515119787E-3</v>
      </c>
      <c r="O36" s="14">
        <v>5225</v>
      </c>
      <c r="P36" s="14">
        <v>81.337165302424637</v>
      </c>
      <c r="Q36" s="14">
        <v>35418.920000000013</v>
      </c>
      <c r="R36" s="14">
        <v>6246.9120000000003</v>
      </c>
      <c r="S36" s="14">
        <v>23.188769445469909</v>
      </c>
      <c r="T36" s="22">
        <f>AVERAGE(AS36:AT36)</f>
        <v>23.260595603513469</v>
      </c>
      <c r="U36" s="22">
        <v>20.216662303325457</v>
      </c>
      <c r="V36" s="22">
        <f>AVERAGE(T36:U36)</f>
        <v>21.738628953419465</v>
      </c>
      <c r="W36" s="14">
        <f>VLOOKUP($AV36,ggg,W$4,0)</f>
        <v>21.41</v>
      </c>
      <c r="X36" s="14">
        <f>M36+SUM(AI36:AQ36)+$T$1+R36/$AB$1</f>
        <v>23.810703628204827</v>
      </c>
      <c r="Y36" s="14">
        <f>M36+SUM(AI36:AQ36)+$T$1+R36/$AB$1-AL36-AO36</f>
        <v>22.710487578822111</v>
      </c>
      <c r="Z36" s="14">
        <f>VLOOKUP($AV36,fff,3,)</f>
        <v>20.84</v>
      </c>
      <c r="AA36" s="14">
        <f>VLOOKUP($AV36,fff,2,)</f>
        <v>21.51</v>
      </c>
      <c r="AB36" s="14">
        <f>VLOOKUP($AV36,ggg,AB$4,0)</f>
        <v>8.09</v>
      </c>
      <c r="AC36" s="14">
        <f>VLOOKUP($AV36,ggg,AC$4,0)</f>
        <v>26.23</v>
      </c>
      <c r="AD36" s="14">
        <f>VLOOKUP($AV36,ggg,AD$4,0)</f>
        <v>3.41</v>
      </c>
      <c r="AE36" s="14">
        <f>VLOOKUP($AV36,ggg,AE$4,0)</f>
        <v>4.0199999999999996</v>
      </c>
      <c r="AI36">
        <f>C$3*(C$1-C36)/C$2</f>
        <v>0.30000000000000071</v>
      </c>
      <c r="AJ36">
        <f>D$3*(D$1-D36)/D$2</f>
        <v>0</v>
      </c>
      <c r="AK36">
        <f>E$3*(E$1-E36)/E$2</f>
        <v>0.28500000000000192</v>
      </c>
      <c r="AL36">
        <f>F$3*(F$1-F36)/F$2</f>
        <v>0.85000000000000142</v>
      </c>
      <c r="AM36">
        <f>G$3*(G$1-G36)/G$2</f>
        <v>-0.29999999999999932</v>
      </c>
      <c r="AN36">
        <f>H$3*(H$1-H36)/H$2</f>
        <v>0</v>
      </c>
      <c r="AO36">
        <f>I$3*(I$1-I36)/I$2</f>
        <v>0.25021604938271641</v>
      </c>
      <c r="AP36">
        <f>(Q36-$M$1)/$M$2</f>
        <v>1.3965766666666677</v>
      </c>
      <c r="AQ36">
        <f>(J36-$Q$1)/$Q$2</f>
        <v>3.8369816574702847E-7</v>
      </c>
      <c r="AS36">
        <f>M36+SUM(AI36:AQ36)+$T$1+R36/$AB$1</f>
        <v>23.810703628204827</v>
      </c>
      <c r="AT36">
        <f>M36+SUM(AI36:AQ36)+$T$1+R36/$AB$1-AL36-AO36</f>
        <v>22.710487578822111</v>
      </c>
      <c r="AV36" t="str">
        <f>A36&amp;B36</f>
        <v>45538A</v>
      </c>
    </row>
    <row r="37" spans="1:48" x14ac:dyDescent="0.3">
      <c r="A37" s="16">
        <v>45538</v>
      </c>
      <c r="B37" s="17" t="s">
        <v>19</v>
      </c>
      <c r="C37" s="14">
        <v>8.0939999999999994</v>
      </c>
      <c r="D37" s="14">
        <v>38.857142857142847</v>
      </c>
      <c r="E37" s="14">
        <v>25.997142857142851</v>
      </c>
      <c r="F37" s="14">
        <v>55.8</v>
      </c>
      <c r="G37" s="14">
        <v>4.0199999999999996</v>
      </c>
      <c r="H37" s="14">
        <v>3.422857142857143</v>
      </c>
      <c r="I37" s="14">
        <v>144.57142857142861</v>
      </c>
      <c r="J37" s="14">
        <v>9.8521459760907373</v>
      </c>
      <c r="K37" s="14">
        <v>3.1257445530413221E-4</v>
      </c>
      <c r="L37" s="14">
        <v>3.07952916205336E-3</v>
      </c>
      <c r="M37" s="22">
        <v>16.010788879004409</v>
      </c>
      <c r="N37" s="14">
        <v>2.590917800961393E-3</v>
      </c>
      <c r="O37" s="14">
        <v>5225</v>
      </c>
      <c r="P37" s="14">
        <v>81.222585940988679</v>
      </c>
      <c r="Q37" s="14">
        <v>603.56000000000006</v>
      </c>
      <c r="R37" s="14">
        <v>5527.0240000000003</v>
      </c>
      <c r="S37" s="14">
        <v>17.367992030653092</v>
      </c>
      <c r="T37" s="22">
        <f>AVERAGE(AS37:AT37)</f>
        <v>12.478943329722446</v>
      </c>
      <c r="U37" s="22">
        <v>15.842643615939528</v>
      </c>
      <c r="V37" s="22">
        <f t="shared" ref="V37:V67" si="1">AVERAGE(T37:U37)</f>
        <v>14.160793472830987</v>
      </c>
      <c r="W37" s="14">
        <f>VLOOKUP($AV37,ggg,W$4,0)</f>
        <v>18.22</v>
      </c>
      <c r="X37" s="14">
        <f>M37+SUM(AI37:AQ37)+$T$1+R37/$AB$1</f>
        <v>12.767812377341492</v>
      </c>
      <c r="Y37" s="14">
        <f>M37+SUM(AI37:AQ37)+$T$1+R37/$AB$1-AL37-AO37</f>
        <v>12.190074282103399</v>
      </c>
      <c r="Z37" s="14">
        <f>VLOOKUP($AV37,fff,3,)</f>
        <v>16.79</v>
      </c>
      <c r="AA37" s="14">
        <f>VLOOKUP($AV37,fff,2,)</f>
        <v>15.82</v>
      </c>
      <c r="AB37" s="14">
        <f>VLOOKUP($AV37,ggg,AB$4,0)</f>
        <v>8.3000000000000007</v>
      </c>
      <c r="AC37" s="14">
        <f>VLOOKUP($AV37,ggg,AC$4,0)</f>
        <v>28.1</v>
      </c>
      <c r="AD37" s="14">
        <f>VLOOKUP($AV37,ggg,AD$4,0)</f>
        <v>3.44</v>
      </c>
      <c r="AE37" s="14">
        <f>VLOOKUP($AV37,ggg,AE$4,0)</f>
        <v>3.97</v>
      </c>
      <c r="AI37">
        <f>C$3*(C$1-C37)/C$2</f>
        <v>0.11200000000000189</v>
      </c>
      <c r="AJ37">
        <f>D$3*(D$1-D37)/D$2</f>
        <v>0</v>
      </c>
      <c r="AK37">
        <f>E$3*(E$1-E37)/E$2</f>
        <v>0.31928571428572455</v>
      </c>
      <c r="AL37">
        <f>F$3*(F$1-F37)/F$2</f>
        <v>0.36499999999999844</v>
      </c>
      <c r="AM37">
        <f>G$3*(G$1-G37)/G$2</f>
        <v>-0.29999999999999932</v>
      </c>
      <c r="AN37">
        <f>H$3*(H$1-H37)/H$2</f>
        <v>0</v>
      </c>
      <c r="AO37">
        <f>I$3*(I$1-I37)/I$2</f>
        <v>0.21273809523809384</v>
      </c>
      <c r="AP37">
        <f>(Q37-$M$1)/$M$2</f>
        <v>-1.5047033333333333</v>
      </c>
      <c r="AQ37">
        <f>(J37-$Q$1)/$Q$2</f>
        <v>6.2214659823733513E-7</v>
      </c>
      <c r="AS37">
        <f>M37+SUM(AI37:AQ37)+$T$1+R37/$AB$1</f>
        <v>12.767812377341492</v>
      </c>
      <c r="AT37">
        <f>M37+SUM(AI37:AQ37)+$T$1+R37/$AB$1-AL37-AO37</f>
        <v>12.190074282103399</v>
      </c>
      <c r="AV37" t="str">
        <f>A37&amp;B37</f>
        <v>45538B</v>
      </c>
    </row>
    <row r="38" spans="1:48" x14ac:dyDescent="0.3">
      <c r="A38" s="16">
        <v>45538</v>
      </c>
      <c r="B38" s="17" t="s">
        <v>20</v>
      </c>
      <c r="C38" s="14">
        <v>8.2524999999999995</v>
      </c>
      <c r="D38" s="14">
        <v>38.428571428571431</v>
      </c>
      <c r="E38" s="14">
        <v>27.828571428571429</v>
      </c>
      <c r="F38" s="14">
        <v>56</v>
      </c>
      <c r="G38" s="14">
        <v>3.9049999999999998</v>
      </c>
      <c r="H38" s="14">
        <v>3.4457142857142862</v>
      </c>
      <c r="I38" s="14">
        <v>143.85714285714289</v>
      </c>
      <c r="J38" s="14">
        <v>9.0366516138324258</v>
      </c>
      <c r="K38" s="14">
        <v>9.7461229840524778E-3</v>
      </c>
      <c r="L38" s="14">
        <v>8.8072317992447122E-2</v>
      </c>
      <c r="M38" s="21">
        <v>16.75324705712946</v>
      </c>
      <c r="N38" s="14">
        <v>2.5921071444882358E-3</v>
      </c>
      <c r="O38" s="14">
        <v>5225</v>
      </c>
      <c r="P38" s="14">
        <v>82.860847602541966</v>
      </c>
      <c r="Q38" s="14">
        <v>41582.199999999997</v>
      </c>
      <c r="R38" s="14">
        <v>14129.743</v>
      </c>
      <c r="S38" s="14">
        <v>17.474664159616871</v>
      </c>
      <c r="T38" s="22">
        <f>AVERAGE(AS38:AT38)</f>
        <v>14.656622751082471</v>
      </c>
      <c r="U38" s="22">
        <v>16.826534330460927</v>
      </c>
      <c r="V38" s="22">
        <f t="shared" si="1"/>
        <v>15.741578540771698</v>
      </c>
      <c r="W38" s="14">
        <f>VLOOKUP($AV38,ggg,W$4,0)</f>
        <v>16.36</v>
      </c>
      <c r="X38" s="14">
        <f>M38+SUM(AI38:AQ38)+$T$1+R38/$AB$1</f>
        <v>15.005412433622153</v>
      </c>
      <c r="Y38" s="14">
        <f>M38+SUM(AI38:AQ38)+$T$1+R38/$AB$1-AL38-AO38</f>
        <v>14.30783306854279</v>
      </c>
      <c r="Z38" s="14" t="e">
        <f>VLOOKUP($AV38,fff,3,)</f>
        <v>#N/A</v>
      </c>
      <c r="AA38" s="14" t="e">
        <f>VLOOKUP($AV38,fff,2,)</f>
        <v>#N/A</v>
      </c>
      <c r="AB38" s="14">
        <f>VLOOKUP($AV38,ggg,AB$4,0)</f>
        <v>8.4700000000000006</v>
      </c>
      <c r="AC38" s="14">
        <f>VLOOKUP($AV38,ggg,AC$4,0)</f>
        <v>26.52</v>
      </c>
      <c r="AD38" s="14">
        <f>VLOOKUP($AV38,ggg,AD$4,0)</f>
        <v>3.5</v>
      </c>
      <c r="AE38" s="14">
        <f>VLOOKUP($AV38,ggg,AE$4,0)</f>
        <v>3.91</v>
      </c>
      <c r="AI38">
        <f>C$3*(C$1-C38)/C$2</f>
        <v>-0.20499999999999829</v>
      </c>
      <c r="AJ38">
        <f>D$3*(D$1-D38)/D$2</f>
        <v>0</v>
      </c>
      <c r="AK38">
        <f>E$3*(E$1-E38)/E$2</f>
        <v>-2.4278571428571425</v>
      </c>
      <c r="AL38">
        <f>F$3*(F$1-F38)/F$2</f>
        <v>0.46499999999999986</v>
      </c>
      <c r="AM38">
        <f>G$3*(G$1-G38)/G$2</f>
        <v>-0.13571428571428534</v>
      </c>
      <c r="AN38">
        <f>H$3*(H$1-H38)/H$2</f>
        <v>0</v>
      </c>
      <c r="AO38">
        <f>I$3*(I$1-I38)/I$2</f>
        <v>0.23257936507936391</v>
      </c>
      <c r="AP38">
        <f>(Q38-$M$1)/$M$2</f>
        <v>1.9101833333333331</v>
      </c>
      <c r="AQ38">
        <f>(J38-$Q$1)/$Q$2</f>
        <v>-1.9334857951615417E-7</v>
      </c>
      <c r="AS38">
        <f>M38+SUM(AI38:AQ38)+$T$1+R38/$AB$1</f>
        <v>15.005412433622153</v>
      </c>
      <c r="AT38">
        <f>M38+SUM(AI38:AQ38)+$T$1+R38/$AB$1-AL38-AO38</f>
        <v>14.30783306854279</v>
      </c>
      <c r="AV38" t="str">
        <f>A38&amp;B38</f>
        <v>45538C</v>
      </c>
    </row>
    <row r="39" spans="1:48" x14ac:dyDescent="0.3">
      <c r="A39" s="16">
        <v>45539</v>
      </c>
      <c r="B39" s="17" t="s">
        <v>21</v>
      </c>
      <c r="C39" s="14">
        <v>8.4666666666666668</v>
      </c>
      <c r="D39" s="14">
        <v>37.25</v>
      </c>
      <c r="E39" s="14">
        <v>26.524999999999999</v>
      </c>
      <c r="F39" s="14">
        <v>55.99</v>
      </c>
      <c r="G39" s="14">
        <v>3.91</v>
      </c>
      <c r="H39" s="14">
        <v>3.5049999999999999</v>
      </c>
      <c r="I39" s="14">
        <v>141.75</v>
      </c>
      <c r="J39" s="14">
        <v>9.2324068386317837</v>
      </c>
      <c r="K39" s="14">
        <v>2.2197895242148661E-2</v>
      </c>
      <c r="L39" s="14">
        <v>0.2049399998368453</v>
      </c>
      <c r="M39" s="23">
        <v>13.00216140944868</v>
      </c>
      <c r="N39" s="14">
        <v>2.5897742931884479E-3</v>
      </c>
      <c r="O39" s="14">
        <v>5225</v>
      </c>
      <c r="P39" s="14">
        <v>81.986263234818693</v>
      </c>
      <c r="Q39" s="14">
        <v>50244.320000000007</v>
      </c>
      <c r="R39" s="14">
        <v>2964.9009999999998</v>
      </c>
      <c r="S39" s="14">
        <v>13.964098560526701</v>
      </c>
      <c r="T39" s="23">
        <f>AVERAGE(AS39:AT39)</f>
        <v>12.057543257887271</v>
      </c>
      <c r="U39" s="22">
        <v>18.373852586943897</v>
      </c>
      <c r="V39" s="22">
        <f t="shared" si="1"/>
        <v>15.215697922415584</v>
      </c>
      <c r="W39" s="14">
        <f>VLOOKUP($AV39,ggg,W$4,0)</f>
        <v>19.89</v>
      </c>
      <c r="X39" s="14">
        <f>M39+SUM(AI39:AQ39)+$T$1+R39/$AB$1</f>
        <v>12.433098813442827</v>
      </c>
      <c r="Y39" s="14">
        <f>M39+SUM(AI39:AQ39)+$T$1+R39/$AB$1-AL39-AO39</f>
        <v>11.681987702331716</v>
      </c>
      <c r="Z39" s="14">
        <f>VLOOKUP($AV39,fff,3,)</f>
        <v>19.989999999999998</v>
      </c>
      <c r="AA39" s="14">
        <f>VLOOKUP($AV39,fff,2,)</f>
        <v>20.32</v>
      </c>
      <c r="AB39" s="14">
        <f>VLOOKUP($AV39,ggg,AB$4,0)</f>
        <v>8.32</v>
      </c>
      <c r="AC39" s="14">
        <f>VLOOKUP($AV39,ggg,AC$4,0)</f>
        <v>27.31</v>
      </c>
      <c r="AD39" s="14">
        <f>VLOOKUP($AV39,ggg,AD$4,0)</f>
        <v>3.51</v>
      </c>
      <c r="AE39" s="14">
        <f>VLOOKUP($AV39,ggg,AE$4,0)</f>
        <v>4.05</v>
      </c>
      <c r="AI39">
        <f>C$3*(C$1-C39)/C$2</f>
        <v>-0.63333333333333275</v>
      </c>
      <c r="AJ39">
        <f>D$3*(D$1-D39)/D$2</f>
        <v>0</v>
      </c>
      <c r="AK39">
        <f>E$3*(E$1-E39)/E$2</f>
        <v>-0.47249999999999659</v>
      </c>
      <c r="AL39">
        <f>F$3*(F$1-F39)/F$2</f>
        <v>0.46000000000000085</v>
      </c>
      <c r="AM39">
        <f>G$3*(G$1-G39)/G$2</f>
        <v>-0.14285714285714296</v>
      </c>
      <c r="AN39">
        <f>H$3*(H$1-H39)/H$2</f>
        <v>0</v>
      </c>
      <c r="AO39">
        <f>I$3*(I$1-I39)/I$2</f>
        <v>0.29111111111111082</v>
      </c>
      <c r="AP39">
        <f>(Q39-$M$1)/$M$2</f>
        <v>2.6320266666666674</v>
      </c>
      <c r="AQ39">
        <f>(J39-$Q$1)/$Q$2</f>
        <v>2.4068410386242977E-9</v>
      </c>
      <c r="AS39">
        <f>M39+SUM(AI39:AQ39)+$T$1+R39/$AB$1</f>
        <v>12.433098813442827</v>
      </c>
      <c r="AT39">
        <f>M39+SUM(AI39:AQ39)+$T$1+R39/$AB$1-AL39-AO39</f>
        <v>11.681987702331716</v>
      </c>
      <c r="AV39" t="str">
        <f>A39&amp;B39</f>
        <v>45539A</v>
      </c>
    </row>
    <row r="40" spans="1:48" x14ac:dyDescent="0.3">
      <c r="A40" s="16">
        <v>45539</v>
      </c>
      <c r="B40" s="17" t="s">
        <v>19</v>
      </c>
      <c r="C40" s="14">
        <v>8.2449999999999992</v>
      </c>
      <c r="D40" s="14">
        <v>37.888888888888893</v>
      </c>
      <c r="E40" s="14">
        <v>26.90111111111111</v>
      </c>
      <c r="F40" s="14">
        <v>54.89</v>
      </c>
      <c r="G40" s="14">
        <v>4.05</v>
      </c>
      <c r="H40" s="14">
        <v>3.4866666666666659</v>
      </c>
      <c r="I40" s="14">
        <v>147.2222222222222</v>
      </c>
      <c r="J40" s="14">
        <v>8.652920433527246</v>
      </c>
      <c r="K40" s="14">
        <v>1.541855595519863E-3</v>
      </c>
      <c r="L40" s="14">
        <v>1.334155378802215E-2</v>
      </c>
      <c r="M40" s="14">
        <v>13.27985446028976</v>
      </c>
      <c r="N40" s="14">
        <v>2.590708236847213E-3</v>
      </c>
      <c r="O40" s="14">
        <v>5225</v>
      </c>
      <c r="P40" s="14">
        <v>83.597185904267874</v>
      </c>
      <c r="Q40" s="14">
        <v>4371.2</v>
      </c>
      <c r="R40" s="14">
        <v>9315.1209999999992</v>
      </c>
      <c r="S40" s="14">
        <v>15.729040425064669</v>
      </c>
      <c r="T40" s="23">
        <f>AVERAGE(AS40:AT40)</f>
        <v>8.4756613094882809</v>
      </c>
      <c r="U40" s="22">
        <v>14.401320881704951</v>
      </c>
      <c r="V40" s="25">
        <f t="shared" si="1"/>
        <v>11.438491095596616</v>
      </c>
      <c r="W40" s="14">
        <f>VLOOKUP($AV40,ggg,W$4,0)</f>
        <v>17.64</v>
      </c>
      <c r="X40" s="14">
        <f>M40+SUM(AI40:AQ40)+$T$1+R40/$AB$1</f>
        <v>8.500213778624083</v>
      </c>
      <c r="Y40" s="14">
        <f>M40+SUM(AI40:AQ40)+$T$1+R40/$AB$1-AL40-AO40</f>
        <v>8.451108840352477</v>
      </c>
      <c r="Z40" s="14">
        <f>VLOOKUP($AV40,fff,3,)</f>
        <v>14.5</v>
      </c>
      <c r="AA40" s="14">
        <f>VLOOKUP($AV40,fff,2,)</f>
        <v>14.06</v>
      </c>
      <c r="AB40" s="14">
        <f>VLOOKUP($AV40,ggg,AB$4,0)</f>
        <v>8.32</v>
      </c>
      <c r="AC40" s="14">
        <f>VLOOKUP($AV40,ggg,AC$4,0)</f>
        <v>27.45</v>
      </c>
      <c r="AD40" s="14">
        <f>VLOOKUP($AV40,ggg,AD$4,0)</f>
        <v>3.53</v>
      </c>
      <c r="AE40" s="14">
        <f>VLOOKUP($AV40,ggg,AE$4,0)</f>
        <v>4.05</v>
      </c>
      <c r="AI40">
        <f>C$3*(C$1-C40)/C$2</f>
        <v>-0.18999999999999773</v>
      </c>
      <c r="AJ40">
        <f>D$3*(D$1-D40)/D$2</f>
        <v>0</v>
      </c>
      <c r="AK40">
        <f>E$3*(E$1-E40)/E$2</f>
        <v>-1.0366666666666635</v>
      </c>
      <c r="AL40">
        <f>F$3*(F$1-F40)/F$2</f>
        <v>-8.9999999999999844E-2</v>
      </c>
      <c r="AM40">
        <f>G$3*(G$1-G40)/G$2</f>
        <v>-0.34285714285714253</v>
      </c>
      <c r="AN40">
        <f>H$3*(H$1-H40)/H$2</f>
        <v>0</v>
      </c>
      <c r="AO40">
        <f>I$3*(I$1-I40)/I$2</f>
        <v>0.13910493827160528</v>
      </c>
      <c r="AP40">
        <f>(Q40-$M$1)/$M$2</f>
        <v>-1.1907333333333332</v>
      </c>
      <c r="AQ40">
        <f>(J40-$Q$1)/$Q$2</f>
        <v>-5.7708014355289792E-7</v>
      </c>
      <c r="AS40">
        <f>M40+SUM(AI40:AQ40)+$T$1+R40/$AB$1</f>
        <v>8.500213778624083</v>
      </c>
      <c r="AT40">
        <f>M40+SUM(AI40:AQ40)+$T$1+R40/$AB$1-AL40-AO40</f>
        <v>8.451108840352477</v>
      </c>
      <c r="AV40" t="str">
        <f>A40&amp;B40</f>
        <v>45539B</v>
      </c>
    </row>
    <row r="41" spans="1:48" x14ac:dyDescent="0.3">
      <c r="A41" s="16">
        <v>45539</v>
      </c>
      <c r="B41" s="17" t="s">
        <v>20</v>
      </c>
      <c r="C41" s="14">
        <v>8.3166666666666682</v>
      </c>
      <c r="D41" s="14">
        <v>38.4</v>
      </c>
      <c r="E41" s="14">
        <v>27.3</v>
      </c>
      <c r="F41" s="14">
        <v>55.24</v>
      </c>
      <c r="G41" s="14">
        <v>4.05</v>
      </c>
      <c r="H41" s="14">
        <v>3.54</v>
      </c>
      <c r="I41" s="14">
        <v>146.4</v>
      </c>
      <c r="J41" s="14">
        <v>8.7322634755159978</v>
      </c>
      <c r="K41" s="14">
        <v>1.6218656888617521E-2</v>
      </c>
      <c r="L41" s="14">
        <v>0.14162558517040069</v>
      </c>
      <c r="M41" s="14">
        <v>13.02071958916812</v>
      </c>
      <c r="N41" s="14">
        <v>2.5934733877255281E-3</v>
      </c>
      <c r="O41" s="14">
        <v>5225</v>
      </c>
      <c r="P41" s="14">
        <v>89.458779726386922</v>
      </c>
      <c r="Q41" s="14">
        <v>66133.2</v>
      </c>
      <c r="R41" s="14">
        <v>12533.172</v>
      </c>
      <c r="S41" s="14">
        <v>15.090037632094131</v>
      </c>
      <c r="T41" s="22">
        <f>AVERAGE(AS41:AT41)</f>
        <v>13.042418037462841</v>
      </c>
      <c r="U41" s="25">
        <v>19.681970895687744</v>
      </c>
      <c r="V41" s="25">
        <f t="shared" si="1"/>
        <v>16.362194466575293</v>
      </c>
      <c r="W41" s="14">
        <f>VLOOKUP($AV41,ggg,W$4,0)</f>
        <v>13.39</v>
      </c>
      <c r="X41" s="14">
        <f>M41+SUM(AI41:AQ41)+$T$1+R41/$AB$1</f>
        <v>13.165890259685064</v>
      </c>
      <c r="Y41" s="14">
        <f>M41+SUM(AI41:AQ41)+$T$1+R41/$AB$1-AL41-AO41</f>
        <v>12.918945815240619</v>
      </c>
      <c r="Z41" s="14" t="e">
        <f>VLOOKUP($AV41,fff,3,)</f>
        <v>#N/A</v>
      </c>
      <c r="AA41" s="14" t="e">
        <f>VLOOKUP($AV41,fff,2,)</f>
        <v>#N/A</v>
      </c>
      <c r="AB41" s="14">
        <f>VLOOKUP($AV41,ggg,AB$4,0)</f>
        <v>8.5</v>
      </c>
      <c r="AC41" s="14">
        <f>VLOOKUP($AV41,ggg,AC$4,0)</f>
        <v>26.89</v>
      </c>
      <c r="AD41" s="14">
        <f>VLOOKUP($AV41,ggg,AD$4,0)</f>
        <v>3.51</v>
      </c>
      <c r="AE41" s="14">
        <f>VLOOKUP($AV41,ggg,AE$4,0)</f>
        <v>4.05</v>
      </c>
      <c r="AI41">
        <f>C$3*(C$1-C41)/C$2</f>
        <v>-0.33333333333333565</v>
      </c>
      <c r="AJ41">
        <f>D$3*(D$1-D41)/D$2</f>
        <v>0</v>
      </c>
      <c r="AK41">
        <f>E$3*(E$1-E41)/E$2</f>
        <v>-1.6349999999999998</v>
      </c>
      <c r="AL41">
        <f>F$3*(F$1-F41)/F$2</f>
        <v>8.5000000000000853E-2</v>
      </c>
      <c r="AM41">
        <f>G$3*(G$1-G41)/G$2</f>
        <v>-0.34285714285714253</v>
      </c>
      <c r="AN41">
        <f>H$3*(H$1-H41)/H$2</f>
        <v>0</v>
      </c>
      <c r="AO41">
        <f>I$3*(I$1-I41)/I$2</f>
        <v>0.161944444444444</v>
      </c>
      <c r="AP41">
        <f>(Q41-$M$1)/$M$2</f>
        <v>3.9560999999999997</v>
      </c>
      <c r="AQ41">
        <f>(J41-$Q$1)/$Q$2</f>
        <v>-4.9773702222102484E-7</v>
      </c>
      <c r="AS41">
        <f>M41+SUM(AI41:AQ41)+$T$1+R41/$AB$1</f>
        <v>13.165890259685064</v>
      </c>
      <c r="AT41">
        <f>M41+SUM(AI41:AQ41)+$T$1+R41/$AB$1-AL41-AO41</f>
        <v>12.918945815240619</v>
      </c>
      <c r="AV41" t="str">
        <f>A41&amp;B41</f>
        <v>45539C</v>
      </c>
    </row>
    <row r="42" spans="1:48" x14ac:dyDescent="0.3">
      <c r="A42" s="16">
        <v>45540</v>
      </c>
      <c r="B42" s="17" t="s">
        <v>21</v>
      </c>
      <c r="C42" s="14">
        <v>8.5</v>
      </c>
      <c r="D42" s="14">
        <v>38.714285714285722</v>
      </c>
      <c r="E42" s="14">
        <v>26.89142857142857</v>
      </c>
      <c r="F42" s="14">
        <v>54.89</v>
      </c>
      <c r="G42" s="14">
        <v>4.05</v>
      </c>
      <c r="H42" s="14">
        <v>3.5142857142857151</v>
      </c>
      <c r="I42" s="14">
        <v>145.85714285714289</v>
      </c>
      <c r="J42" s="14">
        <v>8.1365005839424374</v>
      </c>
      <c r="K42" s="14">
        <v>4.366254518413719E-3</v>
      </c>
      <c r="L42" s="14">
        <v>3.5526032438714529E-2</v>
      </c>
      <c r="M42" s="14">
        <v>13.0107260299587</v>
      </c>
      <c r="N42" s="14">
        <v>2.591916947993165E-3</v>
      </c>
      <c r="O42" s="14">
        <v>5225</v>
      </c>
      <c r="P42" s="14">
        <v>85.482596228274687</v>
      </c>
      <c r="Q42" s="14">
        <v>12471.84</v>
      </c>
      <c r="R42" s="14">
        <v>5108.03</v>
      </c>
      <c r="S42" s="14">
        <v>13.002160607161761</v>
      </c>
      <c r="T42" s="14">
        <f>AVERAGE(AS42:AT42)</f>
        <v>7.9843598412201002</v>
      </c>
      <c r="U42" s="14">
        <v>14.038516563085999</v>
      </c>
      <c r="V42" s="22">
        <f t="shared" si="1"/>
        <v>11.01143820215305</v>
      </c>
      <c r="W42" s="14">
        <f>VLOOKUP($AV42,ggg,W$4,0)</f>
        <v>16.13</v>
      </c>
      <c r="X42" s="14">
        <f>M42+SUM(AI42:AQ42)+$T$1+R42/$AB$1</f>
        <v>8.0278717459820044</v>
      </c>
      <c r="Y42" s="14">
        <f>M42+SUM(AI42:AQ42)+$T$1+R42/$AB$1-AL42-AO42</f>
        <v>7.9408479364581961</v>
      </c>
      <c r="Z42" s="14">
        <f>VLOOKUP($AV42,fff,3,)</f>
        <v>15.74</v>
      </c>
      <c r="AA42" s="14">
        <f>VLOOKUP($AV42,fff,2,)</f>
        <v>15.97</v>
      </c>
      <c r="AB42" s="14">
        <f>VLOOKUP($AV42,ggg,AB$4,0)</f>
        <v>8.4</v>
      </c>
      <c r="AC42" s="14">
        <f>VLOOKUP($AV42,ggg,AC$4,0)</f>
        <v>27.73</v>
      </c>
      <c r="AD42" s="14">
        <f>VLOOKUP($AV42,ggg,AD$4,0)</f>
        <v>3.5</v>
      </c>
      <c r="AE42" s="14">
        <f>VLOOKUP($AV42,ggg,AE$4,0)</f>
        <v>4.05</v>
      </c>
      <c r="AI42">
        <f>C$3*(C$1-C42)/C$2</f>
        <v>-0.69999999999999929</v>
      </c>
      <c r="AJ42">
        <f>D$3*(D$1-D42)/D$2</f>
        <v>0</v>
      </c>
      <c r="AK42">
        <f>E$3*(E$1-E42)/E$2</f>
        <v>-1.0221428571428532</v>
      </c>
      <c r="AL42">
        <f>F$3*(F$1-F42)/F$2</f>
        <v>-8.9999999999999844E-2</v>
      </c>
      <c r="AM42">
        <f>G$3*(G$1-G42)/G$2</f>
        <v>-0.34285714285714253</v>
      </c>
      <c r="AN42">
        <f>H$3*(H$1-H42)/H$2</f>
        <v>0</v>
      </c>
      <c r="AO42">
        <f>I$3*(I$1-I42)/I$2</f>
        <v>0.17702380952380833</v>
      </c>
      <c r="AP42">
        <f>(Q42-$M$1)/$M$2</f>
        <v>-0.51568000000000003</v>
      </c>
      <c r="AQ42">
        <f>(J42-$Q$1)/$Q$2</f>
        <v>-1.0935005095580726E-6</v>
      </c>
      <c r="AS42">
        <f>M42+SUM(AI42:AQ42)+$T$1+R42/$AB$1</f>
        <v>8.0278717459820044</v>
      </c>
      <c r="AT42">
        <f>M42+SUM(AI42:AQ42)+$T$1+R42/$AB$1-AL42-AO42</f>
        <v>7.9408479364581961</v>
      </c>
      <c r="AV42" t="str">
        <f>A42&amp;B42</f>
        <v>45540A</v>
      </c>
    </row>
    <row r="43" spans="1:48" x14ac:dyDescent="0.3">
      <c r="A43" s="16">
        <v>45540</v>
      </c>
      <c r="B43" s="17" t="s">
        <v>19</v>
      </c>
      <c r="C43" s="14">
        <v>8.4580000000000002</v>
      </c>
      <c r="D43" s="14">
        <v>37.285714285714278</v>
      </c>
      <c r="E43" s="14">
        <v>27.118571428571428</v>
      </c>
      <c r="F43" s="14">
        <v>54.1</v>
      </c>
      <c r="G43" s="14">
        <v>4.05</v>
      </c>
      <c r="H43" s="14">
        <v>3.5228571428571431</v>
      </c>
      <c r="I43" s="14">
        <v>138.85714285714289</v>
      </c>
      <c r="J43" s="14">
        <v>10.998658010791409</v>
      </c>
      <c r="K43" s="14">
        <v>6.5193720791456534E-3</v>
      </c>
      <c r="L43" s="14">
        <v>7.1704343943625196E-2</v>
      </c>
      <c r="M43" s="14">
        <v>13.088805848680719</v>
      </c>
      <c r="N43" s="14">
        <v>2.6073641566913531E-3</v>
      </c>
      <c r="O43" s="14">
        <v>5225</v>
      </c>
      <c r="P43" s="14">
        <v>117.3519331358581</v>
      </c>
      <c r="Q43" s="14">
        <v>17023.400000000001</v>
      </c>
      <c r="R43" s="14">
        <v>9050.5249999999996</v>
      </c>
      <c r="S43" s="14">
        <v>13.02500736851135</v>
      </c>
      <c r="T43" s="14">
        <f>AVERAGE(AS43:AT43)</f>
        <v>8.4789966252770093</v>
      </c>
      <c r="U43" s="14">
        <v>12.503837119789859</v>
      </c>
      <c r="V43" s="26">
        <f t="shared" si="1"/>
        <v>10.491416872533435</v>
      </c>
      <c r="W43" s="14">
        <f>VLOOKUP($AV43,ggg,W$4,0)</f>
        <v>14.98</v>
      </c>
      <c r="X43" s="14">
        <f>M43+SUM(AI43:AQ43)+$T$1+R43/$AB$1</f>
        <v>8.4222307522611359</v>
      </c>
      <c r="Y43" s="14">
        <f>M43+SUM(AI43:AQ43)+$T$1+R43/$AB$1-AL43-AO43</f>
        <v>8.5357624982928826</v>
      </c>
      <c r="Z43" s="14">
        <f>VLOOKUP($AV43,fff,3,)</f>
        <v>11.37</v>
      </c>
      <c r="AA43" s="14">
        <f>VLOOKUP($AV43,fff,2,)</f>
        <v>10.14</v>
      </c>
      <c r="AB43" s="14">
        <f>VLOOKUP($AV43,ggg,AB$4,0)</f>
        <v>8.35</v>
      </c>
      <c r="AC43" s="14">
        <f>VLOOKUP($AV43,ggg,AC$4,0)</f>
        <v>26.5</v>
      </c>
      <c r="AD43" s="14">
        <f>VLOOKUP($AV43,ggg,AD$4,0)</f>
        <v>3.46</v>
      </c>
      <c r="AE43" s="14">
        <f>VLOOKUP($AV43,ggg,AE$4,0)</f>
        <v>4</v>
      </c>
      <c r="AI43">
        <f>C$3*(C$1-C43)/C$2</f>
        <v>-0.61599999999999966</v>
      </c>
      <c r="AJ43">
        <f>D$3*(D$1-D43)/D$2</f>
        <v>0</v>
      </c>
      <c r="AK43">
        <f>E$3*(E$1-E43)/E$2</f>
        <v>-1.3628571428571412</v>
      </c>
      <c r="AL43">
        <f>F$3*(F$1-F43)/F$2</f>
        <v>-0.48499999999999943</v>
      </c>
      <c r="AM43">
        <f>G$3*(G$1-G43)/G$2</f>
        <v>-0.34285714285714253</v>
      </c>
      <c r="AN43">
        <f>H$3*(H$1-H43)/H$2</f>
        <v>0</v>
      </c>
      <c r="AO43">
        <f>I$3*(I$1-I43)/I$2</f>
        <v>0.37146825396825284</v>
      </c>
      <c r="AP43">
        <f>(Q43-$M$1)/$M$2</f>
        <v>-0.13638333333333322</v>
      </c>
      <c r="AQ43">
        <f>(J43-$Q$1)/$Q$2</f>
        <v>1.7686597794511884E-6</v>
      </c>
      <c r="AS43">
        <f>M43+SUM(AI43:AQ43)+$T$1+R43/$AB$1</f>
        <v>8.4222307522611359</v>
      </c>
      <c r="AT43">
        <f>M43+SUM(AI43:AQ43)+$T$1+R43/$AB$1-AL43-AO43</f>
        <v>8.5357624982928826</v>
      </c>
      <c r="AV43" t="str">
        <f>A43&amp;B43</f>
        <v>45540B</v>
      </c>
    </row>
    <row r="44" spans="1:48" x14ac:dyDescent="0.3">
      <c r="A44" s="16">
        <v>45540</v>
      </c>
      <c r="B44" s="17" t="s">
        <v>20</v>
      </c>
      <c r="C44" s="14">
        <v>8.3699999999999992</v>
      </c>
      <c r="D44" s="14">
        <v>37.200000000000003</v>
      </c>
      <c r="E44" s="14">
        <v>26.52</v>
      </c>
      <c r="F44" s="14">
        <v>56.24</v>
      </c>
      <c r="G44" s="14">
        <v>3.9950000000000001</v>
      </c>
      <c r="H44" s="14">
        <v>3.4359999999999999</v>
      </c>
      <c r="I44" s="14">
        <v>144.19999999999999</v>
      </c>
      <c r="J44" s="14">
        <v>9.2575623116350449</v>
      </c>
      <c r="K44" s="14">
        <v>2.425207262881366E-3</v>
      </c>
      <c r="L44" s="14">
        <v>2.2451507354754121E-2</v>
      </c>
      <c r="M44" s="14">
        <v>14.49380933011996</v>
      </c>
      <c r="N44" s="14">
        <v>2.5903353502616561E-3</v>
      </c>
      <c r="O44" s="14">
        <v>5225</v>
      </c>
      <c r="P44" s="14">
        <v>81.199077646666851</v>
      </c>
      <c r="Q44" s="14">
        <v>7740</v>
      </c>
      <c r="R44" s="14">
        <v>11042.933999999999</v>
      </c>
      <c r="S44" s="14">
        <v>15.045429215428159</v>
      </c>
      <c r="T44" s="14">
        <f>AVERAGE(AS44:AT44)</f>
        <v>10.922844821174369</v>
      </c>
      <c r="U44" s="14">
        <v>15.045562789068708</v>
      </c>
      <c r="V44" s="22">
        <f t="shared" si="1"/>
        <v>12.984203805121538</v>
      </c>
      <c r="W44" s="14">
        <f>VLOOKUP($AV44,ggg,W$4,0)</f>
        <v>11.36</v>
      </c>
      <c r="X44" s="14">
        <f>M44+SUM(AI44:AQ44)+$T$1+R44/$AB$1</f>
        <v>11.326872598952146</v>
      </c>
      <c r="Y44" s="14">
        <f>M44+SUM(AI44:AQ44)+$T$1+R44/$AB$1-AL44-AO44</f>
        <v>10.51881704339659</v>
      </c>
      <c r="Z44" s="14" t="e">
        <f>VLOOKUP($AV44,fff,3,)</f>
        <v>#N/A</v>
      </c>
      <c r="AA44" s="14" t="e">
        <f>VLOOKUP($AV44,fff,2,)</f>
        <v>#N/A</v>
      </c>
      <c r="AB44" s="14">
        <f>VLOOKUP($AV44,ggg,AB$4,0)</f>
        <v>8.5</v>
      </c>
      <c r="AC44" s="14">
        <f>VLOOKUP($AV44,ggg,AC$4,0)</f>
        <v>25.43</v>
      </c>
      <c r="AD44" s="14">
        <f>VLOOKUP($AV44,ggg,AD$4,0)</f>
        <v>3.47</v>
      </c>
      <c r="AE44" s="14">
        <f>VLOOKUP($AV44,ggg,AE$4,0)</f>
        <v>4</v>
      </c>
      <c r="AI44">
        <f>C$3*(C$1-C44)/C$2</f>
        <v>-0.43999999999999773</v>
      </c>
      <c r="AJ44">
        <f>D$3*(D$1-D44)/D$2</f>
        <v>0</v>
      </c>
      <c r="AK44">
        <f>E$3*(E$1-E44)/E$2</f>
        <v>-0.46499999999999803</v>
      </c>
      <c r="AL44">
        <f>F$3*(F$1-F44)/F$2</f>
        <v>0.58500000000000085</v>
      </c>
      <c r="AM44">
        <f>G$3*(G$1-G44)/G$2</f>
        <v>-0.26428571428571435</v>
      </c>
      <c r="AN44">
        <f>H$3*(H$1-H44)/H$2</f>
        <v>0</v>
      </c>
      <c r="AO44">
        <f>I$3*(I$1-I44)/I$2</f>
        <v>0.22305555555555559</v>
      </c>
      <c r="AP44">
        <f>(Q44-$M$1)/$M$2</f>
        <v>-0.91</v>
      </c>
      <c r="AQ44">
        <f>(J44-$Q$1)/$Q$2</f>
        <v>2.7562339197383722E-8</v>
      </c>
      <c r="AS44">
        <f>M44+SUM(AI44:AQ44)+$T$1+R44/$AB$1</f>
        <v>11.326872598952146</v>
      </c>
      <c r="AT44">
        <f>M44+SUM(AI44:AQ44)+$T$1+R44/$AB$1-AL44-AO44</f>
        <v>10.51881704339659</v>
      </c>
      <c r="AV44" t="str">
        <f>A44&amp;B44</f>
        <v>45540C</v>
      </c>
    </row>
    <row r="45" spans="1:48" x14ac:dyDescent="0.3">
      <c r="A45" s="16">
        <v>45541</v>
      </c>
      <c r="B45" s="17" t="s">
        <v>21</v>
      </c>
      <c r="C45" s="14">
        <v>8.5</v>
      </c>
      <c r="D45" s="14">
        <v>38.75</v>
      </c>
      <c r="E45" s="14">
        <v>25.432500000000001</v>
      </c>
      <c r="F45" s="14">
        <v>56.24</v>
      </c>
      <c r="G45" s="14">
        <v>4</v>
      </c>
      <c r="H45" s="14">
        <v>3.4750000000000001</v>
      </c>
      <c r="I45" s="14">
        <v>144.25</v>
      </c>
      <c r="J45" s="14">
        <v>9.0295199197210518</v>
      </c>
      <c r="K45" s="14">
        <v>1.4512531652580291E-2</v>
      </c>
      <c r="L45" s="14">
        <v>0.13104119364255601</v>
      </c>
      <c r="M45" s="14">
        <v>13.002355809330741</v>
      </c>
      <c r="N45" s="14">
        <v>2.589927933175177E-3</v>
      </c>
      <c r="O45" s="14">
        <v>5225</v>
      </c>
      <c r="P45" s="14">
        <v>81.986067581327433</v>
      </c>
      <c r="Q45" s="14">
        <v>32320</v>
      </c>
      <c r="R45" s="14">
        <v>6966.0610000000006</v>
      </c>
      <c r="S45" s="14">
        <v>13.002237526548329</v>
      </c>
      <c r="T45" s="14">
        <f>AVERAGE(AS45:AT45)</f>
        <v>12.435449804088556</v>
      </c>
      <c r="U45" s="14">
        <v>18.900962215424059</v>
      </c>
      <c r="V45" s="22">
        <f t="shared" si="1"/>
        <v>15.668206009756307</v>
      </c>
      <c r="W45" s="14">
        <f>VLOOKUP($AV45,ggg,W$4,0)</f>
        <v>12.05</v>
      </c>
      <c r="X45" s="14">
        <f>M45+SUM(AI45:AQ45)+$T$1+R45/$AB$1</f>
        <v>12.83878313742189</v>
      </c>
      <c r="Y45" s="14">
        <f>M45+SUM(AI45:AQ45)+$T$1+R45/$AB$1-AL45-AO45</f>
        <v>12.032116470755224</v>
      </c>
      <c r="Z45" s="14">
        <f>VLOOKUP($AV45,fff,3,)</f>
        <v>12.17</v>
      </c>
      <c r="AA45" s="14">
        <f>VLOOKUP($AV45,fff,2,)</f>
        <v>11.87</v>
      </c>
      <c r="AB45" s="14">
        <f>VLOOKUP($AV45,ggg,AB$4,0)</f>
        <v>8.1999999999999993</v>
      </c>
      <c r="AC45" s="14">
        <f>VLOOKUP($AV45,ggg,AC$4,0)</f>
        <v>25.74</v>
      </c>
      <c r="AD45" s="14">
        <f>VLOOKUP($AV45,ggg,AD$4,0)</f>
        <v>3.42</v>
      </c>
      <c r="AE45" s="14">
        <f>VLOOKUP($AV45,ggg,AE$4,0)</f>
        <v>3.89</v>
      </c>
      <c r="AI45">
        <f>C$3*(C$1-C45)/C$2</f>
        <v>-0.69999999999999929</v>
      </c>
      <c r="AJ45">
        <f>D$3*(D$1-D45)/D$2</f>
        <v>0</v>
      </c>
      <c r="AK45">
        <f>E$3*(E$1-E45)/E$2</f>
        <v>1.1662499999999998</v>
      </c>
      <c r="AL45">
        <f>F$3*(F$1-F45)/F$2</f>
        <v>0.58500000000000085</v>
      </c>
      <c r="AM45">
        <f>G$3*(G$1-G45)/G$2</f>
        <v>-0.27142857142857135</v>
      </c>
      <c r="AN45">
        <f>H$3*(H$1-H45)/H$2</f>
        <v>0</v>
      </c>
      <c r="AO45">
        <f>I$3*(I$1-I45)/I$2</f>
        <v>0.2216666666666664</v>
      </c>
      <c r="AP45">
        <f>(Q45-$M$1)/$M$2</f>
        <v>1.1383333333333334</v>
      </c>
      <c r="AQ45">
        <f>(J45-$Q$1)/$Q$2</f>
        <v>-2.0048028075922934E-7</v>
      </c>
      <c r="AS45">
        <f>M45+SUM(AI45:AQ45)+$T$1+R45/$AB$1</f>
        <v>12.83878313742189</v>
      </c>
      <c r="AT45">
        <f>M45+SUM(AI45:AQ45)+$T$1+R45/$AB$1-AL45-AO45</f>
        <v>12.032116470755224</v>
      </c>
      <c r="AV45" t="str">
        <f>A45&amp;B45</f>
        <v>45541A</v>
      </c>
    </row>
    <row r="46" spans="1:48" x14ac:dyDescent="0.3">
      <c r="A46" s="16">
        <v>45541</v>
      </c>
      <c r="B46" s="17" t="s">
        <v>19</v>
      </c>
      <c r="C46" s="14">
        <v>8.1960000000000015</v>
      </c>
      <c r="D46" s="14">
        <v>37.571428571428569</v>
      </c>
      <c r="E46" s="14">
        <v>26.074285714285711</v>
      </c>
      <c r="F46" s="14">
        <v>56.56</v>
      </c>
      <c r="G46" s="14">
        <v>3.89</v>
      </c>
      <c r="H46" s="14">
        <v>3.4057142857142861</v>
      </c>
      <c r="I46" s="14">
        <v>142.71428571428569</v>
      </c>
      <c r="J46" s="14">
        <v>8.6026708842459225</v>
      </c>
      <c r="K46" s="14">
        <v>3.182188450668227E-3</v>
      </c>
      <c r="L46" s="14">
        <v>2.7375319932747191E-2</v>
      </c>
      <c r="M46" s="14">
        <v>16.920408847781871</v>
      </c>
      <c r="N46" s="14">
        <v>2.5913226519826732E-3</v>
      </c>
      <c r="O46" s="14">
        <v>5225</v>
      </c>
      <c r="P46" s="14">
        <v>81.236682496743342</v>
      </c>
      <c r="Q46" s="14">
        <v>10225.120000000001</v>
      </c>
      <c r="R46" s="14">
        <v>10146.513999999999</v>
      </c>
      <c r="S46" s="14">
        <v>17.35185885219969</v>
      </c>
      <c r="T46" s="14">
        <f>AVERAGE(AS46:AT46)</f>
        <v>14.734101366483877</v>
      </c>
      <c r="U46" s="14">
        <v>17.682971232724945</v>
      </c>
      <c r="V46" s="22">
        <f t="shared" si="1"/>
        <v>16.208536299604411</v>
      </c>
      <c r="W46" s="14">
        <f>VLOOKUP($AV46,ggg,W$4,0)</f>
        <v>14.94</v>
      </c>
      <c r="X46" s="14">
        <f>M46+SUM(AI46:AQ46)+$T$1+R46/$AB$1</f>
        <v>15.238764064896577</v>
      </c>
      <c r="Y46" s="14">
        <f>M46+SUM(AI46:AQ46)+$T$1+R46/$AB$1-AL46-AO46</f>
        <v>14.229438668071179</v>
      </c>
      <c r="Z46" s="14">
        <f>VLOOKUP($AV46,fff,3,)</f>
        <v>16.7</v>
      </c>
      <c r="AA46" s="14">
        <f>VLOOKUP($AV46,fff,2,)</f>
        <v>16.28</v>
      </c>
      <c r="AB46" s="14">
        <f>VLOOKUP($AV46,ggg,AB$4,0)</f>
        <v>8</v>
      </c>
      <c r="AC46" s="14">
        <f>VLOOKUP($AV46,ggg,AC$4,0)</f>
        <v>26.98</v>
      </c>
      <c r="AD46" s="14">
        <f>VLOOKUP($AV46,ggg,AD$4,0)</f>
        <v>3.25</v>
      </c>
      <c r="AE46" s="14">
        <f>VLOOKUP($AV46,ggg,AE$4,0)</f>
        <v>3.7</v>
      </c>
      <c r="AI46">
        <f>C$3*(C$1-C46)/C$2</f>
        <v>-9.2000000000002302E-2</v>
      </c>
      <c r="AJ46">
        <f>D$3*(D$1-D46)/D$2</f>
        <v>0</v>
      </c>
      <c r="AK46">
        <f>E$3*(E$1-E46)/E$2</f>
        <v>0.20357142857143451</v>
      </c>
      <c r="AL46">
        <f>F$3*(F$1-F46)/F$2</f>
        <v>0.74500000000000099</v>
      </c>
      <c r="AM46">
        <f>G$3*(G$1-G46)/G$2</f>
        <v>-0.11428571428571438</v>
      </c>
      <c r="AN46">
        <f>H$3*(H$1-H46)/H$2</f>
        <v>0</v>
      </c>
      <c r="AO46">
        <f>I$3*(I$1-I46)/I$2</f>
        <v>0.26432539682539713</v>
      </c>
      <c r="AP46">
        <f>(Q46-$M$1)/$M$2</f>
        <v>-0.70290666666666657</v>
      </c>
      <c r="AQ46">
        <f>(J46-$Q$1)/$Q$2</f>
        <v>-6.2732974308382102E-7</v>
      </c>
      <c r="AS46">
        <f>M46+SUM(AI46:AQ46)+$T$1+R46/$AB$1</f>
        <v>15.238764064896577</v>
      </c>
      <c r="AT46">
        <f>M46+SUM(AI46:AQ46)+$T$1+R46/$AB$1-AL46-AO46</f>
        <v>14.229438668071179</v>
      </c>
      <c r="AV46" t="str">
        <f>A46&amp;B46</f>
        <v>45541B</v>
      </c>
    </row>
    <row r="47" spans="1:48" x14ac:dyDescent="0.3">
      <c r="A47" s="16">
        <v>45541</v>
      </c>
      <c r="B47" s="17" t="s">
        <v>20</v>
      </c>
      <c r="C47" s="14">
        <v>8</v>
      </c>
      <c r="D47" s="14">
        <v>37.5</v>
      </c>
      <c r="E47" s="14">
        <v>26.63333333333334</v>
      </c>
      <c r="F47" s="14">
        <v>56.56</v>
      </c>
      <c r="G47" s="14">
        <v>3.7</v>
      </c>
      <c r="H47" s="14">
        <v>3.273333333333333</v>
      </c>
      <c r="I47" s="14">
        <v>145.16666666666671</v>
      </c>
      <c r="J47" s="14">
        <v>8.8319028955476178</v>
      </c>
      <c r="K47" s="14">
        <v>8.1410017718382705E-3</v>
      </c>
      <c r="L47" s="14">
        <v>7.1900537121356703E-2</v>
      </c>
      <c r="M47" s="14">
        <v>24.343214060445298</v>
      </c>
      <c r="N47" s="14">
        <v>2.594977545289008E-3</v>
      </c>
      <c r="O47" s="14">
        <v>5225</v>
      </c>
      <c r="P47" s="14">
        <v>81.351717383519855</v>
      </c>
      <c r="Q47" s="14">
        <v>26370.959999999999</v>
      </c>
      <c r="R47" s="14">
        <v>10280.174999999999</v>
      </c>
      <c r="S47" s="14">
        <v>23.835376196076108</v>
      </c>
      <c r="T47" s="25">
        <f>AVERAGE(AS47:AT47)</f>
        <v>23.306555871342496</v>
      </c>
      <c r="U47" s="25">
        <v>19.252917111962958</v>
      </c>
      <c r="V47" s="25">
        <f t="shared" si="1"/>
        <v>21.279736491652727</v>
      </c>
      <c r="W47" s="14">
        <f>VLOOKUP($AV47,ggg,W$4,0)</f>
        <v>16.91</v>
      </c>
      <c r="X47" s="14">
        <f>M47+SUM(AI47:AQ47)+$T$1+R47/$AB$1</f>
        <v>23.77715772319435</v>
      </c>
      <c r="Y47" s="14">
        <f>M47+SUM(AI47:AQ47)+$T$1+R47/$AB$1-AL47-AO47</f>
        <v>22.835954019490647</v>
      </c>
      <c r="Z47" s="14" t="e">
        <f>VLOOKUP($AV47,fff,3,)</f>
        <v>#N/A</v>
      </c>
      <c r="AA47" s="14" t="e">
        <f>VLOOKUP($AV47,fff,2,)</f>
        <v>#N/A</v>
      </c>
      <c r="AB47" s="14">
        <f>VLOOKUP($AV47,ggg,AB$4,0)</f>
        <v>8.1999999999999993</v>
      </c>
      <c r="AC47" s="14">
        <f>VLOOKUP($AV47,ggg,AC$4,0)</f>
        <v>27.12</v>
      </c>
      <c r="AD47" s="14">
        <f>VLOOKUP($AV47,ggg,AD$4,0)</f>
        <v>3.3</v>
      </c>
      <c r="AE47" s="14">
        <f>VLOOKUP($AV47,ggg,AE$4,0)</f>
        <v>3.7</v>
      </c>
      <c r="AI47">
        <f>C$3*(C$1-C47)/C$2</f>
        <v>0.30000000000000071</v>
      </c>
      <c r="AJ47">
        <f>D$3*(D$1-D47)/D$2</f>
        <v>0</v>
      </c>
      <c r="AK47">
        <f>E$3*(E$1-E47)/E$2</f>
        <v>-0.63500000000000856</v>
      </c>
      <c r="AL47">
        <f>F$3*(F$1-F47)/F$2</f>
        <v>0.74500000000000099</v>
      </c>
      <c r="AM47">
        <f>G$3*(G$1-G47)/G$2</f>
        <v>0.15714285714285697</v>
      </c>
      <c r="AN47">
        <f>H$3*(H$1-H47)/H$2</f>
        <v>0</v>
      </c>
      <c r="AO47">
        <f>I$3*(I$1-I47)/I$2</f>
        <v>0.1962037037037021</v>
      </c>
      <c r="AP47">
        <f>(Q47-$M$1)/$M$2</f>
        <v>0.64257999999999993</v>
      </c>
      <c r="AQ47">
        <f>(J47-$Q$1)/$Q$2</f>
        <v>-3.980975025498852E-7</v>
      </c>
      <c r="AS47">
        <f>M47+SUM(AI47:AQ47)+$T$1+R47/$AB$1</f>
        <v>23.77715772319435</v>
      </c>
      <c r="AT47">
        <f>M47+SUM(AI47:AQ47)+$T$1+R47/$AB$1-AL47-AO47</f>
        <v>22.835954019490647</v>
      </c>
      <c r="AV47" t="str">
        <f>A47&amp;B47</f>
        <v>45541C</v>
      </c>
    </row>
    <row r="48" spans="1:48" x14ac:dyDescent="0.3">
      <c r="A48" s="16">
        <v>45544</v>
      </c>
      <c r="B48" s="17" t="s">
        <v>21</v>
      </c>
      <c r="C48" s="14">
        <v>8.1999999999999993</v>
      </c>
      <c r="D48" s="14">
        <v>37.875</v>
      </c>
      <c r="E48" s="14">
        <v>27.125</v>
      </c>
      <c r="F48" s="14">
        <v>56.56</v>
      </c>
      <c r="G48" s="14">
        <v>3.7</v>
      </c>
      <c r="H48" s="14">
        <v>3.3050000000000002</v>
      </c>
      <c r="I48" s="14">
        <v>146.75</v>
      </c>
      <c r="J48" s="14">
        <v>6.6555139097906002</v>
      </c>
      <c r="K48" s="14">
        <v>6.0314255653308281E-3</v>
      </c>
      <c r="L48" s="14">
        <v>4.0142236745925958E-2</v>
      </c>
      <c r="M48" s="14">
        <v>22.014433201569879</v>
      </c>
      <c r="N48" s="14">
        <v>2.5938238331970911E-3</v>
      </c>
      <c r="O48" s="14">
        <v>5225</v>
      </c>
      <c r="P48" s="14">
        <v>81.315627085785977</v>
      </c>
      <c r="Q48" s="14">
        <v>18671.759999999998</v>
      </c>
      <c r="R48" s="14">
        <v>7172.8239999999996</v>
      </c>
      <c r="S48" s="14">
        <v>20.900538462372818</v>
      </c>
      <c r="T48" s="14">
        <f>AVERAGE(AS48:AT48)</f>
        <v>18.865946995335186</v>
      </c>
      <c r="U48" s="14">
        <v>17.721442295060243</v>
      </c>
      <c r="V48" s="26">
        <f t="shared" si="1"/>
        <v>18.293694645197714</v>
      </c>
      <c r="W48" s="14">
        <f>VLOOKUP($AV48,ggg,W$4,0)</f>
        <v>19.64</v>
      </c>
      <c r="X48" s="14">
        <f>M48+SUM(AI48:AQ48)+$T$1+R48/$AB$1</f>
        <v>19.314558106446295</v>
      </c>
      <c r="Y48" s="14">
        <f>M48+SUM(AI48:AQ48)+$T$1+R48/$AB$1-AL48-AO48</f>
        <v>18.417335884224073</v>
      </c>
      <c r="Z48" s="14">
        <f>VLOOKUP($AV48,fff,3,)</f>
        <v>20.05</v>
      </c>
      <c r="AA48" s="14">
        <f>VLOOKUP($AV48,fff,2,)</f>
        <v>19.739999999999998</v>
      </c>
      <c r="AB48" s="14">
        <f>VLOOKUP($AV48,ggg,AB$4,0)</f>
        <v>8.6</v>
      </c>
      <c r="AC48" s="14">
        <f>VLOOKUP($AV48,ggg,AC$4,0)</f>
        <v>30.01</v>
      </c>
      <c r="AD48" s="14">
        <f>VLOOKUP($AV48,ggg,AD$4,0)</f>
        <v>3.59</v>
      </c>
      <c r="AE48" s="14">
        <f>VLOOKUP($AV48,ggg,AE$4,0)</f>
        <v>3.7</v>
      </c>
      <c r="AI48">
        <f>C$3*(C$1-C48)/C$2</f>
        <v>-9.9999999999997868E-2</v>
      </c>
      <c r="AJ48">
        <f>D$3*(D$1-D48)/D$2</f>
        <v>0</v>
      </c>
      <c r="AK48">
        <f>E$3*(E$1-E48)/E$2</f>
        <v>-1.3724999999999987</v>
      </c>
      <c r="AL48">
        <f>F$3*(F$1-F48)/F$2</f>
        <v>0.74500000000000099</v>
      </c>
      <c r="AM48">
        <f>G$3*(G$1-G48)/G$2</f>
        <v>0.15714285714285697</v>
      </c>
      <c r="AN48">
        <f>H$3*(H$1-H48)/H$2</f>
        <v>0</v>
      </c>
      <c r="AO48">
        <f>I$3*(I$1-I48)/I$2</f>
        <v>0.15222222222222195</v>
      </c>
      <c r="AP48">
        <f>(Q48-$M$1)/$M$2</f>
        <v>9.7999999999986661E-4</v>
      </c>
      <c r="AQ48">
        <f>(J48-$Q$1)/$Q$2</f>
        <v>-2.5744886646980649E-6</v>
      </c>
      <c r="AS48">
        <f>M48+SUM(AI48:AQ48)+$T$1+R48/$AB$1</f>
        <v>19.314558106446295</v>
      </c>
      <c r="AT48">
        <f>M48+SUM(AI48:AQ48)+$T$1+R48/$AB$1-AL48-AO48</f>
        <v>18.417335884224073</v>
      </c>
      <c r="AV48" t="str">
        <f>A48&amp;B48</f>
        <v>45544A</v>
      </c>
    </row>
    <row r="49" spans="1:48" x14ac:dyDescent="0.3">
      <c r="A49" s="16">
        <v>45544</v>
      </c>
      <c r="B49" s="17" t="s">
        <v>19</v>
      </c>
      <c r="C49" s="14">
        <v>8.4783333333333335</v>
      </c>
      <c r="D49" s="14">
        <v>38</v>
      </c>
      <c r="E49" s="14">
        <v>28.911111111111111</v>
      </c>
      <c r="F49" s="14">
        <v>56.2</v>
      </c>
      <c r="G49" s="14">
        <v>3.7</v>
      </c>
      <c r="H49" s="14">
        <v>3.6066666666666669</v>
      </c>
      <c r="I49" s="14">
        <v>135.11111111111109</v>
      </c>
      <c r="J49" s="14">
        <v>9.6182503156628911</v>
      </c>
      <c r="K49" s="14">
        <v>3.0756240985937817E-5</v>
      </c>
      <c r="L49" s="14">
        <v>2.958212245716005E-4</v>
      </c>
      <c r="M49" s="14">
        <v>13.04303862688659</v>
      </c>
      <c r="N49" s="14">
        <v>2.599394282007467E-3</v>
      </c>
      <c r="O49" s="14">
        <v>5225</v>
      </c>
      <c r="P49" s="14">
        <v>98.669586728654636</v>
      </c>
      <c r="Q49" s="14">
        <v>59.040000000000013</v>
      </c>
      <c r="R49" s="14">
        <v>5425.1980000000003</v>
      </c>
      <c r="S49" s="14">
        <v>13.051949684444059</v>
      </c>
      <c r="T49" s="14">
        <f>AVERAGE(AS49:AT49)</f>
        <v>5.0045506846258325</v>
      </c>
      <c r="U49" s="14">
        <v>8.8762666368243881</v>
      </c>
      <c r="V49" s="26">
        <f t="shared" si="1"/>
        <v>6.9404086607251099</v>
      </c>
      <c r="W49" s="14">
        <f>VLOOKUP($AV49,ggg,W$4,0)</f>
        <v>17.36</v>
      </c>
      <c r="X49" s="14">
        <f>M49+SUM(AI49:AQ49)+$T$1+R49/$AB$1</f>
        <v>5.5248130303048457</v>
      </c>
      <c r="Y49" s="14">
        <f>M49+SUM(AI49:AQ49)+$T$1+R49/$AB$1-AL49-AO49</f>
        <v>4.4842883389468193</v>
      </c>
      <c r="Z49" s="14">
        <f>VLOOKUP($AV49,fff,3,)</f>
        <v>12.95</v>
      </c>
      <c r="AA49" s="14">
        <f>VLOOKUP($AV49,fff,2,)</f>
        <v>7</v>
      </c>
      <c r="AB49" s="14">
        <f>VLOOKUP($AV49,ggg,AB$4,0)</f>
        <v>8.64</v>
      </c>
      <c r="AC49" s="14">
        <f>VLOOKUP($AV49,ggg,AC$4,0)</f>
        <v>26.75</v>
      </c>
      <c r="AD49" s="14">
        <f>VLOOKUP($AV49,ggg,AD$4,0)</f>
        <v>3.85</v>
      </c>
      <c r="AE49" s="14">
        <f>VLOOKUP($AV49,ggg,AE$4,0)</f>
        <v>4.1900000000000004</v>
      </c>
      <c r="AI49">
        <f>C$3*(C$1-C49)/C$2</f>
        <v>-0.65666666666666629</v>
      </c>
      <c r="AJ49">
        <f>D$3*(D$1-D49)/D$2</f>
        <v>0</v>
      </c>
      <c r="AK49">
        <f>E$3*(E$1-E49)/E$2</f>
        <v>-4.051666666666665</v>
      </c>
      <c r="AL49">
        <f>F$3*(F$1-F49)/F$2</f>
        <v>0.56500000000000128</v>
      </c>
      <c r="AM49">
        <f>G$3*(G$1-G49)/G$2</f>
        <v>0.15714285714285697</v>
      </c>
      <c r="AN49">
        <f>H$3*(H$1-H49)/H$2</f>
        <v>0</v>
      </c>
      <c r="AO49">
        <f>I$3*(I$1-I49)/I$2</f>
        <v>0.47552469135802516</v>
      </c>
      <c r="AP49">
        <f>(Q49-$M$1)/$M$2</f>
        <v>-1.5500799999999999</v>
      </c>
      <c r="AQ49">
        <f>(J49-$Q$1)/$Q$2</f>
        <v>3.882507039135946E-7</v>
      </c>
      <c r="AS49">
        <f>M49+SUM(AI49:AQ49)+$T$1+R49/$AB$1</f>
        <v>5.5248130303048457</v>
      </c>
      <c r="AT49">
        <f>M49+SUM(AI49:AQ49)+$T$1+R49/$AB$1-AL49-AO49</f>
        <v>4.4842883389468193</v>
      </c>
      <c r="AV49" t="str">
        <f>A49&amp;B49</f>
        <v>45544B</v>
      </c>
    </row>
    <row r="50" spans="1:48" x14ac:dyDescent="0.3">
      <c r="A50" s="16">
        <v>45547</v>
      </c>
      <c r="B50" s="17" t="s">
        <v>21</v>
      </c>
      <c r="C50" s="14">
        <v>8.5566666666666666</v>
      </c>
      <c r="D50" s="14">
        <v>41.25</v>
      </c>
      <c r="E50" s="14">
        <v>27.4</v>
      </c>
      <c r="F50" s="14">
        <v>57.41</v>
      </c>
      <c r="G50" s="14">
        <v>4.085</v>
      </c>
      <c r="H50" s="14">
        <v>3.7050000000000001</v>
      </c>
      <c r="I50" s="14">
        <v>145.75</v>
      </c>
      <c r="J50" s="14">
        <v>8.2927441491001357</v>
      </c>
      <c r="K50" s="14">
        <v>5.4785135771305612E-3</v>
      </c>
      <c r="L50" s="14">
        <v>4.5431911412515118E-2</v>
      </c>
      <c r="M50" s="14">
        <v>13.002196737554449</v>
      </c>
      <c r="N50" s="14">
        <v>2.5905795348531739E-3</v>
      </c>
      <c r="O50" s="14">
        <v>5225</v>
      </c>
      <c r="P50" s="14">
        <v>81.986232380834593</v>
      </c>
      <c r="Q50" s="14">
        <v>17244</v>
      </c>
      <c r="R50" s="14">
        <v>9296.5429999999997</v>
      </c>
      <c r="S50" s="14">
        <v>13.00215967651085</v>
      </c>
      <c r="T50" s="14">
        <f>AVERAGE(AS50:AT50)</f>
        <v>8.4976596241071878</v>
      </c>
      <c r="U50" s="14">
        <v>13.971816291076104</v>
      </c>
      <c r="V50" s="26">
        <f t="shared" si="1"/>
        <v>11.234737957591646</v>
      </c>
      <c r="W50" s="14">
        <f>VLOOKUP($AV50,ggg,W$4,0)</f>
        <v>11.92</v>
      </c>
      <c r="X50" s="14">
        <f>M50+SUM(AI50:AQ50)+$T$1+R50/$AB$1</f>
        <v>9.1726596241071867</v>
      </c>
      <c r="Y50" s="14">
        <f>M50+SUM(AI50:AQ50)+$T$1+R50/$AB$1-AL50-AO50</f>
        <v>7.8226596241071888</v>
      </c>
      <c r="Z50" s="14">
        <f>VLOOKUP($AV50,fff,3,)</f>
        <v>12.68</v>
      </c>
      <c r="AA50" s="14">
        <f>VLOOKUP($AV50,fff,2,)</f>
        <v>13.68</v>
      </c>
      <c r="AB50" s="14">
        <f>VLOOKUP($AV50,ggg,AB$4,0)</f>
        <v>8.5500000000000007</v>
      </c>
      <c r="AC50" s="14">
        <f>VLOOKUP($AV50,ggg,AC$4,0)</f>
        <v>26.77</v>
      </c>
      <c r="AD50" s="14">
        <f>VLOOKUP($AV50,ggg,AD$4,0)</f>
        <v>3.67</v>
      </c>
      <c r="AE50" s="14">
        <f>VLOOKUP($AV50,ggg,AE$4,0)</f>
        <v>4.2300000000000004</v>
      </c>
      <c r="AI50">
        <f>C$3*(C$1-C50)/C$2</f>
        <v>-0.81333333333333258</v>
      </c>
      <c r="AJ50">
        <f>D$3*(D$1-D50)/D$2</f>
        <v>0</v>
      </c>
      <c r="AK50">
        <f>E$3*(E$1-E50)/E$2</f>
        <v>-1.7849999999999966</v>
      </c>
      <c r="AL50">
        <f>F$3*(F$1-F50)/F$2</f>
        <v>1.1699999999999982</v>
      </c>
      <c r="AM50">
        <f>G$3*(G$1-G50)/G$2</f>
        <v>-0.39285714285714274</v>
      </c>
      <c r="AN50">
        <f>H$3*(H$1-H50)/H$2</f>
        <v>0</v>
      </c>
      <c r="AO50">
        <f>I$3*(I$1-I50)/I$2</f>
        <v>0.17999999999999972</v>
      </c>
      <c r="AP50">
        <f>(Q50-$M$1)/$M$2</f>
        <v>-0.11799999999999999</v>
      </c>
      <c r="AQ50">
        <f>(J50-$Q$1)/$Q$2</f>
        <v>-9.3725678815665288E-7</v>
      </c>
      <c r="AS50">
        <f>M50+SUM(AI50:AQ50)+$T$1+R50/$AB$1</f>
        <v>9.1726596241071867</v>
      </c>
      <c r="AT50">
        <f>M50+SUM(AI50:AQ50)+$T$1+R50/$AB$1-AL50-AO50</f>
        <v>7.8226596241071888</v>
      </c>
      <c r="AV50" t="str">
        <f>A50&amp;B50</f>
        <v>45547A</v>
      </c>
    </row>
    <row r="51" spans="1:48" x14ac:dyDescent="0.3">
      <c r="A51" s="16">
        <v>45547</v>
      </c>
      <c r="B51" s="17" t="s">
        <v>19</v>
      </c>
      <c r="C51" s="14">
        <v>8.5350000000000001</v>
      </c>
      <c r="D51" s="14">
        <v>38.833333333333343</v>
      </c>
      <c r="E51" s="14">
        <v>26.783333333333331</v>
      </c>
      <c r="F51" s="14">
        <v>56.59</v>
      </c>
      <c r="G51" s="14">
        <v>4.2300000000000004</v>
      </c>
      <c r="H51" s="14">
        <v>3.7</v>
      </c>
      <c r="I51" s="14">
        <v>139.66666666666671</v>
      </c>
      <c r="J51" s="14">
        <v>9.7501989366588813</v>
      </c>
      <c r="K51" s="14">
        <v>2.8082538626609198E-3</v>
      </c>
      <c r="L51" s="14">
        <v>2.738103382558469E-2</v>
      </c>
      <c r="M51" s="14">
        <v>13.00216025460265</v>
      </c>
      <c r="N51" s="14">
        <v>2.5899208929606619E-3</v>
      </c>
      <c r="O51" s="14">
        <v>5225</v>
      </c>
      <c r="P51" s="14">
        <v>81.986263129595642</v>
      </c>
      <c r="Q51" s="14">
        <v>5603.2000000000007</v>
      </c>
      <c r="R51" s="14">
        <v>6081.348</v>
      </c>
      <c r="S51" s="14">
        <v>13.00215968128246</v>
      </c>
      <c r="T51" s="14">
        <f>AVERAGE(AS51:AT51)</f>
        <v>7.846719648876185</v>
      </c>
      <c r="U51" s="14">
        <v>12.635767982968158</v>
      </c>
      <c r="V51" s="26">
        <f t="shared" si="1"/>
        <v>10.241243815922171</v>
      </c>
      <c r="W51" s="14">
        <f>VLOOKUP($AV51,ggg,W$4,0)</f>
        <v>10.71</v>
      </c>
      <c r="X51" s="14">
        <f>M51+SUM(AI51:AQ51)+$T$1+R51/$AB$1</f>
        <v>8.4012103896169261</v>
      </c>
      <c r="Y51" s="14">
        <f>M51+SUM(AI51:AQ51)+$T$1+R51/$AB$1-AL51-AO51</f>
        <v>7.2922289081354448</v>
      </c>
      <c r="Z51" s="14">
        <f>VLOOKUP($AV51,fff,3,)</f>
        <v>7.75</v>
      </c>
      <c r="AA51" s="14">
        <f>VLOOKUP($AV51,fff,2,)</f>
        <v>7</v>
      </c>
      <c r="AB51" s="14">
        <f>VLOOKUP($AV51,ggg,AB$4,0)</f>
        <v>8.36</v>
      </c>
      <c r="AC51" s="14">
        <f>VLOOKUP($AV51,ggg,AC$4,0)</f>
        <v>27.63</v>
      </c>
      <c r="AD51" s="14">
        <f>VLOOKUP($AV51,ggg,AD$4,0)</f>
        <v>3.49</v>
      </c>
      <c r="AE51" s="14">
        <f>VLOOKUP($AV51,ggg,AE$4,0)</f>
        <v>3.99</v>
      </c>
      <c r="AI51">
        <f>C$3*(C$1-C51)/C$2</f>
        <v>-0.76999999999999957</v>
      </c>
      <c r="AJ51">
        <f>D$3*(D$1-D51)/D$2</f>
        <v>0</v>
      </c>
      <c r="AK51">
        <f>E$3*(E$1-E51)/E$2</f>
        <v>-0.85999999999999588</v>
      </c>
      <c r="AL51">
        <f>F$3*(F$1-F51)/F$2</f>
        <v>0.76000000000000156</v>
      </c>
      <c r="AM51">
        <f>G$3*(G$1-G51)/G$2</f>
        <v>-0.60000000000000042</v>
      </c>
      <c r="AN51">
        <f>H$3*(H$1-H51)/H$2</f>
        <v>0</v>
      </c>
      <c r="AO51">
        <f>I$3*(I$1-I51)/I$2</f>
        <v>0.34898148148147995</v>
      </c>
      <c r="AP51">
        <f>(Q51-$M$1)/$M$2</f>
        <v>-1.0880666666666665</v>
      </c>
      <c r="AQ51">
        <f>(J51-$Q$1)/$Q$2</f>
        <v>5.2019945685833771E-7</v>
      </c>
      <c r="AS51">
        <f>M51+SUM(AI51:AQ51)+$T$1+R51/$AB$1</f>
        <v>8.4012103896169261</v>
      </c>
      <c r="AT51">
        <f>M51+SUM(AI51:AQ51)+$T$1+R51/$AB$1-AL51-AO51</f>
        <v>7.2922289081354448</v>
      </c>
      <c r="AV51" t="str">
        <f>A51&amp;B51</f>
        <v>45547B</v>
      </c>
    </row>
    <row r="52" spans="1:48" x14ac:dyDescent="0.3">
      <c r="A52" s="16">
        <v>45547</v>
      </c>
      <c r="B52" s="17" t="s">
        <v>20</v>
      </c>
      <c r="C52" s="14">
        <v>8.3650000000000002</v>
      </c>
      <c r="D52" s="14">
        <v>37.333333333333343</v>
      </c>
      <c r="E52" s="14">
        <v>27.63333333333334</v>
      </c>
      <c r="F52" s="14">
        <v>56.825000000000003</v>
      </c>
      <c r="G52" s="14">
        <v>3.99</v>
      </c>
      <c r="H52" s="14">
        <v>3.49</v>
      </c>
      <c r="I52" s="14">
        <v>135.25</v>
      </c>
      <c r="J52" s="14">
        <v>8.5338510260508365</v>
      </c>
      <c r="K52" s="14">
        <v>1.718996936043298E-3</v>
      </c>
      <c r="L52" s="14">
        <v>1.466966376643134E-2</v>
      </c>
      <c r="M52" s="14">
        <v>13.0025975378529</v>
      </c>
      <c r="N52" s="14">
        <v>2.5898478563382561E-3</v>
      </c>
      <c r="O52" s="14">
        <v>5225</v>
      </c>
      <c r="P52" s="14">
        <v>81.985827176394849</v>
      </c>
      <c r="Q52" s="14">
        <v>6865.52</v>
      </c>
      <c r="R52" s="14">
        <v>10958.641</v>
      </c>
      <c r="S52" s="14">
        <v>14.8653414615542</v>
      </c>
      <c r="T52" s="14">
        <f>AVERAGE(AS52:AT52)</f>
        <v>7.9680280845603644</v>
      </c>
      <c r="U52" s="14">
        <v>13.511001192156577</v>
      </c>
      <c r="V52" s="26">
        <f t="shared" si="1"/>
        <v>10.739514638358472</v>
      </c>
      <c r="W52" s="14">
        <f>VLOOKUP($AV52,ggg,W$4,0)</f>
        <v>7.4</v>
      </c>
      <c r="X52" s="14">
        <f>M52+SUM(AI52:AQ52)+$T$1+R52/$AB$1</f>
        <v>8.6426114178936988</v>
      </c>
      <c r="Y52" s="14">
        <f>M52+SUM(AI52:AQ52)+$T$1+R52/$AB$1-AL52-AO52</f>
        <v>7.2934447512270308</v>
      </c>
      <c r="Z52" s="14" t="e">
        <f>VLOOKUP($AV52,fff,3,)</f>
        <v>#N/A</v>
      </c>
      <c r="AA52" s="14" t="e">
        <f>VLOOKUP($AV52,fff,2,)</f>
        <v>#N/A</v>
      </c>
      <c r="AB52" s="14">
        <f>VLOOKUP($AV52,ggg,AB$4,0)</f>
        <v>8.32</v>
      </c>
      <c r="AC52" s="14">
        <f>VLOOKUP($AV52,ggg,AC$4,0)</f>
        <v>26.43</v>
      </c>
      <c r="AD52" s="14">
        <f>VLOOKUP($AV52,ggg,AD$4,0)</f>
        <v>3.41</v>
      </c>
      <c r="AE52" s="14">
        <f>VLOOKUP($AV52,ggg,AE$4,0)</f>
        <v>3.99</v>
      </c>
      <c r="AI52">
        <f>C$3*(C$1-C52)/C$2</f>
        <v>-0.42999999999999972</v>
      </c>
      <c r="AJ52">
        <f>D$3*(D$1-D52)/D$2</f>
        <v>0</v>
      </c>
      <c r="AK52">
        <f>E$3*(E$1-E52)/E$2</f>
        <v>-2.1350000000000082</v>
      </c>
      <c r="AL52">
        <f>F$3*(F$1-F52)/F$2</f>
        <v>0.87750000000000128</v>
      </c>
      <c r="AM52">
        <f>G$3*(G$1-G52)/G$2</f>
        <v>-0.25714285714285734</v>
      </c>
      <c r="AN52">
        <f>H$3*(H$1-H52)/H$2</f>
        <v>0</v>
      </c>
      <c r="AO52">
        <f>I$3*(I$1-I52)/I$2</f>
        <v>0.4716666666666664</v>
      </c>
      <c r="AP52">
        <f>(Q52-$M$1)/$M$2</f>
        <v>-0.98287333333333327</v>
      </c>
      <c r="AQ52">
        <f>(J52-$Q$1)/$Q$2</f>
        <v>-6.961496700988341E-7</v>
      </c>
      <c r="AS52">
        <f>M52+SUM(AI52:AQ52)+$T$1+R52/$AB$1</f>
        <v>8.6426114178936988</v>
      </c>
      <c r="AT52">
        <f>M52+SUM(AI52:AQ52)+$T$1+R52/$AB$1-AL52-AO52</f>
        <v>7.2934447512270308</v>
      </c>
      <c r="AV52" t="str">
        <f>A52&amp;B52</f>
        <v>45547C</v>
      </c>
    </row>
    <row r="53" spans="1:48" x14ac:dyDescent="0.3">
      <c r="A53" s="16">
        <v>45548</v>
      </c>
      <c r="B53" s="17" t="s">
        <v>19</v>
      </c>
      <c r="C53" s="14">
        <v>8.32</v>
      </c>
      <c r="D53" s="14">
        <v>39</v>
      </c>
      <c r="E53" s="14">
        <v>26.434285714285711</v>
      </c>
      <c r="F53" s="14">
        <v>57.07</v>
      </c>
      <c r="G53" s="14">
        <v>3.99</v>
      </c>
      <c r="H53" s="14">
        <v>3.411428571428571</v>
      </c>
      <c r="I53" s="14">
        <v>140.28571428571431</v>
      </c>
      <c r="J53" s="14">
        <v>8.2409435003719178</v>
      </c>
      <c r="K53" s="14">
        <v>1.155163245684214E-2</v>
      </c>
      <c r="L53" s="14">
        <v>9.5196350413898567E-2</v>
      </c>
      <c r="M53" s="14">
        <v>16.043005034070511</v>
      </c>
      <c r="N53" s="14">
        <v>2.590925486314029E-3</v>
      </c>
      <c r="O53" s="14">
        <v>5225.0000000000009</v>
      </c>
      <c r="P53" s="14">
        <v>81.223085189837548</v>
      </c>
      <c r="Q53" s="14">
        <v>29819.4</v>
      </c>
      <c r="R53" s="14">
        <v>3332.0309999999999</v>
      </c>
      <c r="S53" s="14">
        <v>16.305174082801798</v>
      </c>
      <c r="T53" s="14">
        <f>AVERAGE(AS53:AT53)</f>
        <v>14.038478573584459</v>
      </c>
      <c r="U53" s="14">
        <v>18.107624971180634</v>
      </c>
      <c r="V53" s="26">
        <f t="shared" si="1"/>
        <v>16.073051772382549</v>
      </c>
      <c r="W53" s="14">
        <f>VLOOKUP($AV53,ggg,W$4,0)</f>
        <v>13.64</v>
      </c>
      <c r="X53" s="14">
        <f>M53+SUM(AI53:AQ53)+$T$1+R53/$AB$1</f>
        <v>14.704371430727315</v>
      </c>
      <c r="Y53" s="14">
        <f>M53+SUM(AI53:AQ53)+$T$1+R53/$AB$1-AL53-AO53</f>
        <v>13.372585716441602</v>
      </c>
      <c r="Z53" s="14">
        <f>VLOOKUP($AV53,fff,3,)</f>
        <v>13.68</v>
      </c>
      <c r="AA53" s="14">
        <f>VLOOKUP($AV53,fff,2,)</f>
        <v>12.3</v>
      </c>
      <c r="AB53" s="14">
        <f>VLOOKUP($AV53,ggg,AB$4,0)</f>
        <v>7.7</v>
      </c>
      <c r="AC53" s="14">
        <f>VLOOKUP($AV53,ggg,AC$4,0)</f>
        <v>26.54</v>
      </c>
      <c r="AD53" s="14">
        <f>VLOOKUP($AV53,ggg,AD$4,0)</f>
        <v>3.28</v>
      </c>
      <c r="AE53" s="14">
        <f>VLOOKUP($AV53,ggg,AE$4,0)</f>
        <v>3.6</v>
      </c>
      <c r="AI53">
        <f>C$3*(C$1-C53)/C$2</f>
        <v>-0.33999999999999986</v>
      </c>
      <c r="AJ53">
        <f>D$3*(D$1-D53)/D$2</f>
        <v>0</v>
      </c>
      <c r="AK53">
        <f>E$3*(E$1-E53)/E$2</f>
        <v>-0.33642857142856458</v>
      </c>
      <c r="AL53">
        <f>F$3*(F$1-F53)/F$2</f>
        <v>1</v>
      </c>
      <c r="AM53">
        <f>G$3*(G$1-G53)/G$2</f>
        <v>-0.25714285714285734</v>
      </c>
      <c r="AN53">
        <f>H$3*(H$1-H53)/H$2</f>
        <v>0</v>
      </c>
      <c r="AO53">
        <f>I$3*(I$1-I53)/I$2</f>
        <v>0.33178571428571346</v>
      </c>
      <c r="AP53">
        <f>(Q53-$M$1)/$M$2</f>
        <v>0.92995000000000017</v>
      </c>
      <c r="AQ53">
        <f>(J53-$Q$1)/$Q$2</f>
        <v>-9.8905748868557125E-7</v>
      </c>
      <c r="AS53">
        <f>M53+SUM(AI53:AQ53)+$T$1+R53/$AB$1</f>
        <v>14.704371430727315</v>
      </c>
      <c r="AT53">
        <f>M53+SUM(AI53:AQ53)+$T$1+R53/$AB$1-AL53-AO53</f>
        <v>13.372585716441602</v>
      </c>
      <c r="AV53" t="str">
        <f>A53&amp;B53</f>
        <v>45548B</v>
      </c>
    </row>
    <row r="54" spans="1:48" x14ac:dyDescent="0.3">
      <c r="A54" s="16">
        <v>45548</v>
      </c>
      <c r="B54" s="17" t="s">
        <v>20</v>
      </c>
      <c r="C54" s="14">
        <v>7.73</v>
      </c>
      <c r="D54" s="14">
        <v>38.285714285714278</v>
      </c>
      <c r="E54" s="14">
        <v>26.411428571428569</v>
      </c>
      <c r="F54" s="14">
        <v>57.13</v>
      </c>
      <c r="G54" s="14">
        <v>3.6</v>
      </c>
      <c r="H54" s="14">
        <v>3.274285714285714</v>
      </c>
      <c r="I54" s="14">
        <v>145.14285714285711</v>
      </c>
      <c r="J54" s="14">
        <v>10.68901960977283</v>
      </c>
      <c r="K54" s="14">
        <v>4.6751487963683676E-3</v>
      </c>
      <c r="L54" s="14">
        <v>4.9972757162987318E-2</v>
      </c>
      <c r="M54" s="14">
        <v>26.182084366224721</v>
      </c>
      <c r="N54" s="14">
        <v>2.5958988927961089E-3</v>
      </c>
      <c r="O54" s="14">
        <v>5225</v>
      </c>
      <c r="P54" s="14">
        <v>81.380215311286733</v>
      </c>
      <c r="Q54" s="14">
        <v>33513.480000000003</v>
      </c>
      <c r="R54" s="14">
        <v>22409.882000000001</v>
      </c>
      <c r="S54" s="14">
        <v>26.180705300068439</v>
      </c>
      <c r="T54" s="14">
        <f>AVERAGE(AS54:AT54)</f>
        <v>28.112153707785481</v>
      </c>
      <c r="U54" s="14">
        <v>21.617235790310183</v>
      </c>
      <c r="V54" s="26">
        <f t="shared" si="1"/>
        <v>24.864694749047832</v>
      </c>
      <c r="W54" s="14">
        <f>VLOOKUP($AV54,ggg,W$4,0)</f>
        <v>14.34</v>
      </c>
      <c r="X54" s="14">
        <f>M54+SUM(AI54:AQ54)+$T$1+R54/$AB$1</f>
        <v>28.725586247468019</v>
      </c>
      <c r="Y54" s="14">
        <f>M54+SUM(AI54:AQ54)+$T$1+R54/$AB$1-AL54-AO54</f>
        <v>27.498721168102939</v>
      </c>
      <c r="Z54" s="14" t="e">
        <f>VLOOKUP($AV54,fff,3,)</f>
        <v>#N/A</v>
      </c>
      <c r="AA54" s="14" t="e">
        <f>VLOOKUP($AV54,fff,2,)</f>
        <v>#N/A</v>
      </c>
      <c r="AB54" s="14">
        <f>VLOOKUP($AV54,ggg,AB$4,0)</f>
        <v>8.08</v>
      </c>
      <c r="AC54" s="14">
        <f>VLOOKUP($AV54,ggg,AC$4,0)</f>
        <v>25.8</v>
      </c>
      <c r="AD54" s="14">
        <f>VLOOKUP($AV54,ggg,AD$4,0)</f>
        <v>3.33</v>
      </c>
      <c r="AE54" s="14">
        <f>VLOOKUP($AV54,ggg,AE$4,0)</f>
        <v>3.6</v>
      </c>
      <c r="AI54">
        <f>C$3*(C$1-C54)/C$2</f>
        <v>0.83999999999999986</v>
      </c>
      <c r="AJ54">
        <f>D$3*(D$1-D54)/D$2</f>
        <v>0</v>
      </c>
      <c r="AK54">
        <f>E$3*(E$1-E54)/E$2</f>
        <v>-0.30214285714285261</v>
      </c>
      <c r="AL54">
        <f>F$3*(F$1-F54)/F$2</f>
        <v>1.0300000000000011</v>
      </c>
      <c r="AM54">
        <f>G$3*(G$1-G54)/G$2</f>
        <v>0.29999999999999993</v>
      </c>
      <c r="AN54">
        <f>H$3*(H$1-H54)/H$2</f>
        <v>0</v>
      </c>
      <c r="AO54">
        <f>I$3*(I$1-I54)/I$2</f>
        <v>0.19686507936507999</v>
      </c>
      <c r="AP54">
        <f>(Q54-$M$1)/$M$2</f>
        <v>1.2377900000000002</v>
      </c>
      <c r="AQ54">
        <f>(J54-$Q$1)/$Q$2</f>
        <v>1.459021068793898E-6</v>
      </c>
      <c r="AS54">
        <f>M54+SUM(AI54:AQ54)+$T$1+R54/$AB$1</f>
        <v>28.725586247468019</v>
      </c>
      <c r="AT54">
        <f>M54+SUM(AI54:AQ54)+$T$1+R54/$AB$1-AL54-AO54</f>
        <v>27.498721168102939</v>
      </c>
      <c r="AV54" t="str">
        <f>A54&amp;B54</f>
        <v>45548C</v>
      </c>
    </row>
    <row r="55" spans="1:48" x14ac:dyDescent="0.3">
      <c r="A55" s="16">
        <v>45549</v>
      </c>
      <c r="B55" s="17" t="s">
        <v>21</v>
      </c>
      <c r="C55" s="14">
        <v>8.08</v>
      </c>
      <c r="D55" s="14">
        <v>38.444444444444443</v>
      </c>
      <c r="E55" s="14">
        <v>25.80222222222222</v>
      </c>
      <c r="F55" s="14">
        <v>57.13</v>
      </c>
      <c r="G55" s="14">
        <v>3.6</v>
      </c>
      <c r="H55" s="14">
        <v>3.3311111111111109</v>
      </c>
      <c r="I55" s="14">
        <v>149.7777777777778</v>
      </c>
      <c r="J55" s="14">
        <v>9.4389567110404435</v>
      </c>
      <c r="K55" s="14">
        <v>1.962153148723764E-2</v>
      </c>
      <c r="L55" s="14">
        <v>0.1852067863123531</v>
      </c>
      <c r="M55" s="14">
        <v>24.664864225818171</v>
      </c>
      <c r="N55" s="14">
        <v>2.5951399908714849E-3</v>
      </c>
      <c r="O55" s="14">
        <v>5225</v>
      </c>
      <c r="P55" s="14">
        <v>81.356702183646888</v>
      </c>
      <c r="Q55" s="14">
        <v>54746.2</v>
      </c>
      <c r="R55" s="14">
        <v>6362.5590000000002</v>
      </c>
      <c r="S55" s="14">
        <v>21.15987818306477</v>
      </c>
      <c r="T55" s="14">
        <f>AVERAGE(AS55:AT55)</f>
        <v>26.909028976750406</v>
      </c>
      <c r="U55" s="14">
        <v>22.908100323503909</v>
      </c>
      <c r="V55" s="26">
        <f t="shared" si="1"/>
        <v>24.908564650127158</v>
      </c>
      <c r="W55" s="14">
        <f>VLOOKUP($AV55,ggg,W$4,0)</f>
        <v>22.96</v>
      </c>
      <c r="X55" s="14">
        <f>M55+SUM(AI55:AQ55)+$T$1+R55/$AB$1</f>
        <v>27.458087618725713</v>
      </c>
      <c r="Y55" s="14">
        <f>M55+SUM(AI55:AQ55)+$T$1+R55/$AB$1-AL55-AO55</f>
        <v>26.359970334775095</v>
      </c>
      <c r="Z55" s="14">
        <f>VLOOKUP($AV55,fff,3,)</f>
        <v>23.31</v>
      </c>
      <c r="AA55" s="14">
        <f>VLOOKUP($AV55,fff,2,)</f>
        <v>22.73</v>
      </c>
      <c r="AB55" s="14">
        <f>VLOOKUP($AV55,ggg,AB$4,0)</f>
        <v>7.7</v>
      </c>
      <c r="AC55" s="14">
        <f>VLOOKUP($AV55,ggg,AC$4,0)</f>
        <v>26.77</v>
      </c>
      <c r="AD55" s="14">
        <f>VLOOKUP($AV55,ggg,AD$4,0)</f>
        <v>3.23</v>
      </c>
      <c r="AE55" s="14">
        <f>VLOOKUP($AV55,ggg,AE$4,0)</f>
        <v>3.51</v>
      </c>
      <c r="AI55">
        <f>C$3*(C$1-C55)/C$2</f>
        <v>0.14000000000000057</v>
      </c>
      <c r="AJ55">
        <f>D$3*(D$1-D55)/D$2</f>
        <v>0</v>
      </c>
      <c r="AK55">
        <f>E$3*(E$1-E55)/E$2</f>
        <v>0.61166666666667169</v>
      </c>
      <c r="AL55">
        <f>F$3*(F$1-F55)/F$2</f>
        <v>1.0300000000000011</v>
      </c>
      <c r="AM55">
        <f>G$3*(G$1-G55)/G$2</f>
        <v>0.29999999999999993</v>
      </c>
      <c r="AN55">
        <f>H$3*(H$1-H55)/H$2</f>
        <v>0</v>
      </c>
      <c r="AO55">
        <f>I$3*(I$1-I55)/I$2</f>
        <v>6.8117283950616392E-2</v>
      </c>
      <c r="AP55">
        <f>(Q55-$M$1)/$M$2</f>
        <v>3.0071833333333329</v>
      </c>
      <c r="AQ55">
        <f>(J55-$Q$1)/$Q$2</f>
        <v>2.0895691999736312E-7</v>
      </c>
      <c r="AS55">
        <f>M55+SUM(AI55:AQ55)+$T$1+R55/$AB$1</f>
        <v>27.458087618725713</v>
      </c>
      <c r="AT55">
        <f>M55+SUM(AI55:AQ55)+$T$1+R55/$AB$1-AL55-AO55</f>
        <v>26.359970334775095</v>
      </c>
      <c r="AV55" t="str">
        <f>A55&amp;B55</f>
        <v>45549A</v>
      </c>
    </row>
    <row r="56" spans="1:48" x14ac:dyDescent="0.3">
      <c r="A56" s="16">
        <v>45549</v>
      </c>
      <c r="B56" s="17" t="s">
        <v>19</v>
      </c>
      <c r="C56" s="14">
        <v>7.7833333333333341</v>
      </c>
      <c r="D56" s="14">
        <v>37.6</v>
      </c>
      <c r="E56" s="14">
        <v>27</v>
      </c>
      <c r="F56" s="14">
        <v>54.95</v>
      </c>
      <c r="G56" s="14">
        <v>3.51</v>
      </c>
      <c r="H56" s="14">
        <v>3.2480000000000002</v>
      </c>
      <c r="I56" s="14">
        <v>142.19999999999999</v>
      </c>
      <c r="J56" s="14">
        <v>9.0420942244681335</v>
      </c>
      <c r="K56" s="14">
        <v>3.442143584594908E-3</v>
      </c>
      <c r="L56" s="14">
        <v>3.112418662605566E-2</v>
      </c>
      <c r="M56" s="14">
        <v>22.740611327109921</v>
      </c>
      <c r="N56" s="14">
        <v>2.5957294264600229E-3</v>
      </c>
      <c r="O56" s="14">
        <v>5225</v>
      </c>
      <c r="P56" s="14">
        <v>84.240039708218703</v>
      </c>
      <c r="Q56" s="14">
        <v>10790.88</v>
      </c>
      <c r="R56" s="14">
        <v>9656.5859999999993</v>
      </c>
      <c r="S56" s="14">
        <v>26.182043910845191</v>
      </c>
      <c r="T56" s="14">
        <f>AVERAGE(AS56:AT56)</f>
        <v>20.136720056664281</v>
      </c>
      <c r="U56" s="14">
        <v>17.773341234481563</v>
      </c>
      <c r="V56" s="26">
        <f t="shared" si="1"/>
        <v>18.955030645572922</v>
      </c>
      <c r="W56" s="14">
        <f>VLOOKUP($AV56,ggg,W$4,0)</f>
        <v>23.18</v>
      </c>
      <c r="X56" s="14">
        <f>M56+SUM(AI56:AQ56)+$T$1+R56/$AB$1</f>
        <v>20.246025612219835</v>
      </c>
      <c r="Y56" s="14">
        <f>M56+SUM(AI56:AQ56)+$T$1+R56/$AB$1-AL56-AO56</f>
        <v>20.027414501108723</v>
      </c>
      <c r="Z56" s="14">
        <f>VLOOKUP($AV56,fff,3,)</f>
        <v>22.16</v>
      </c>
      <c r="AA56" s="14">
        <f>VLOOKUP($AV56,fff,2,)</f>
        <v>21.21</v>
      </c>
      <c r="AB56" s="14">
        <f>VLOOKUP($AV56,ggg,AB$4,0)</f>
        <v>8.1</v>
      </c>
      <c r="AC56" s="14">
        <f>VLOOKUP($AV56,ggg,AC$4,0)</f>
        <v>26.9</v>
      </c>
      <c r="AD56" s="14">
        <f>VLOOKUP($AV56,ggg,AD$4,0)</f>
        <v>3.38</v>
      </c>
      <c r="AE56" s="14">
        <f>VLOOKUP($AV56,ggg,AE$4,0)</f>
        <v>3.82</v>
      </c>
      <c r="AI56">
        <f>C$3*(C$1-C56)/C$2</f>
        <v>0.7333333333333325</v>
      </c>
      <c r="AJ56">
        <f>D$3*(D$1-D56)/D$2</f>
        <v>0</v>
      </c>
      <c r="AK56">
        <f>E$3*(E$1-E56)/E$2</f>
        <v>-1.1849999999999987</v>
      </c>
      <c r="AL56">
        <f>F$3*(F$1-F56)/F$2</f>
        <v>-5.9999999999998721E-2</v>
      </c>
      <c r="AM56">
        <f>G$3*(G$1-G56)/G$2</f>
        <v>0.42857142857142894</v>
      </c>
      <c r="AN56">
        <f>H$3*(H$1-H56)/H$2</f>
        <v>0</v>
      </c>
      <c r="AO56">
        <f>I$3*(I$1-I56)/I$2</f>
        <v>0.27861111111111114</v>
      </c>
      <c r="AP56">
        <f>(Q56-$M$1)/$M$2</f>
        <v>-0.65576000000000012</v>
      </c>
      <c r="AQ56">
        <f>(J56-$Q$1)/$Q$2</f>
        <v>-1.8790596343783036E-7</v>
      </c>
      <c r="AS56">
        <f>M56+SUM(AI56:AQ56)+$T$1+R56/$AB$1</f>
        <v>20.246025612219835</v>
      </c>
      <c r="AT56">
        <f>M56+SUM(AI56:AQ56)+$T$1+R56/$AB$1-AL56-AO56</f>
        <v>20.027414501108723</v>
      </c>
      <c r="AV56" t="str">
        <f>A56&amp;B56</f>
        <v>45549B</v>
      </c>
    </row>
    <row r="57" spans="1:48" x14ac:dyDescent="0.3">
      <c r="A57" s="16">
        <v>45549</v>
      </c>
      <c r="B57" s="17" t="s">
        <v>20</v>
      </c>
      <c r="C57" s="14">
        <v>8.1666666666666661</v>
      </c>
      <c r="D57" s="14">
        <v>38</v>
      </c>
      <c r="E57" s="14">
        <v>27.083333333333329</v>
      </c>
      <c r="F57" s="14">
        <v>54.95</v>
      </c>
      <c r="G57" s="14">
        <v>3.82</v>
      </c>
      <c r="H57" s="14">
        <v>3.333333333333333</v>
      </c>
      <c r="I57" s="14">
        <v>146.16666666666671</v>
      </c>
      <c r="J57" s="14">
        <v>9.3827572935548424</v>
      </c>
      <c r="K57" s="14">
        <v>1.1204000632306921E-2</v>
      </c>
      <c r="L57" s="14">
        <v>0.1051244186497708</v>
      </c>
      <c r="M57" s="14">
        <v>17.580828231320439</v>
      </c>
      <c r="N57" s="14">
        <v>2.6003851043427569E-3</v>
      </c>
      <c r="O57" s="14">
        <v>5225</v>
      </c>
      <c r="P57" s="14">
        <v>95.215989633110908</v>
      </c>
      <c r="Q57" s="14">
        <v>37928.68</v>
      </c>
      <c r="R57" s="14">
        <v>9854.6939999999995</v>
      </c>
      <c r="S57" s="14">
        <v>20.928961050593589</v>
      </c>
      <c r="T57" s="14">
        <f>AVERAGE(AS57:AT57)</f>
        <v>15.868615032755143</v>
      </c>
      <c r="U57" s="14">
        <v>17.691936652974036</v>
      </c>
      <c r="V57" s="26">
        <f t="shared" si="1"/>
        <v>16.78027584286459</v>
      </c>
      <c r="W57" s="14">
        <f>VLOOKUP($AV57,ggg,W$4,0)</f>
        <v>22.04</v>
      </c>
      <c r="X57" s="14">
        <f>M57+SUM(AI57:AQ57)+$T$1+R57/$AB$1</f>
        <v>15.922827995718105</v>
      </c>
      <c r="Y57" s="14">
        <f>M57+SUM(AI57:AQ57)+$T$1+R57/$AB$1-AL57-AO57</f>
        <v>15.81440206979218</v>
      </c>
      <c r="Z57" s="14" t="e">
        <f>VLOOKUP($AV57,fff,3,)</f>
        <v>#N/A</v>
      </c>
      <c r="AA57" s="14" t="e">
        <f>VLOOKUP($AV57,fff,2,)</f>
        <v>#N/A</v>
      </c>
      <c r="AB57" s="14">
        <f>VLOOKUP($AV57,ggg,AB$4,0)</f>
        <v>8.3000000000000007</v>
      </c>
      <c r="AC57" s="14">
        <f>VLOOKUP($AV57,ggg,AC$4,0)</f>
        <v>27.23</v>
      </c>
      <c r="AD57" s="14">
        <f>VLOOKUP($AV57,ggg,AD$4,0)</f>
        <v>3.44</v>
      </c>
      <c r="AE57" s="14">
        <f>VLOOKUP($AV57,ggg,AE$4,0)</f>
        <v>3.82</v>
      </c>
      <c r="AI57">
        <f>C$3*(C$1-C57)/C$2</f>
        <v>-3.3333333333331439E-2</v>
      </c>
      <c r="AJ57">
        <f>D$3*(D$1-D57)/D$2</f>
        <v>0</v>
      </c>
      <c r="AK57">
        <f>E$3*(E$1-E57)/E$2</f>
        <v>-1.3099999999999914</v>
      </c>
      <c r="AL57">
        <f>F$3*(F$1-F57)/F$2</f>
        <v>-5.9999999999998721E-2</v>
      </c>
      <c r="AM57">
        <f>G$3*(G$1-G57)/G$2</f>
        <v>-1.4285714285713982E-2</v>
      </c>
      <c r="AN57">
        <f>H$3*(H$1-H57)/H$2</f>
        <v>0</v>
      </c>
      <c r="AO57">
        <f>I$3*(I$1-I57)/I$2</f>
        <v>0.16842592592592434</v>
      </c>
      <c r="AP57">
        <f>(Q57-$M$1)/$M$2</f>
        <v>1.6057233333333334</v>
      </c>
      <c r="AQ57">
        <f>(J57-$Q$1)/$Q$2</f>
        <v>1.5275744631228834E-7</v>
      </c>
      <c r="AS57">
        <f>M57+SUM(AI57:AQ57)+$T$1+R57/$AB$1</f>
        <v>15.922827995718105</v>
      </c>
      <c r="AT57">
        <f>M57+SUM(AI57:AQ57)+$T$1+R57/$AB$1-AL57-AO57</f>
        <v>15.81440206979218</v>
      </c>
      <c r="AV57" t="str">
        <f>A57&amp;B57</f>
        <v>45549C</v>
      </c>
    </row>
    <row r="58" spans="1:48" x14ac:dyDescent="0.3">
      <c r="A58" s="16">
        <v>45551</v>
      </c>
      <c r="B58" s="17" t="s">
        <v>21</v>
      </c>
      <c r="C58" s="14">
        <v>8.3000000000000007</v>
      </c>
      <c r="D58" s="14">
        <v>39.5</v>
      </c>
      <c r="E58" s="14">
        <v>27.725000000000001</v>
      </c>
      <c r="F58" s="14">
        <v>54.95</v>
      </c>
      <c r="G58" s="14">
        <v>3.82</v>
      </c>
      <c r="H58" s="14">
        <v>3.4624999999999999</v>
      </c>
      <c r="I58" s="14">
        <v>143.875</v>
      </c>
      <c r="J58" s="14">
        <v>6.7068139918443217</v>
      </c>
      <c r="K58" s="14">
        <v>3.6116987547953E-3</v>
      </c>
      <c r="L58" s="14">
        <v>2.422299174298783E-2</v>
      </c>
      <c r="M58" s="14">
        <v>13.025968289447681</v>
      </c>
      <c r="N58" s="14">
        <v>2.594604610329634E-3</v>
      </c>
      <c r="O58" s="14">
        <v>5225</v>
      </c>
      <c r="P58" s="14">
        <v>91.698054864930896</v>
      </c>
      <c r="Q58" s="14">
        <v>13864.32</v>
      </c>
      <c r="R58" s="14">
        <v>6516.7759999999998</v>
      </c>
      <c r="S58" s="14">
        <v>16.029386552684091</v>
      </c>
      <c r="T58" s="14">
        <f>AVERAGE(AS58:AT58)</f>
        <v>7.7772593186401018</v>
      </c>
      <c r="U58" s="14">
        <v>14.928763691151403</v>
      </c>
      <c r="V58" s="26">
        <f t="shared" si="1"/>
        <v>11.353011504895752</v>
      </c>
      <c r="W58" s="14">
        <f>VLOOKUP($AV58,ggg,W$4,0)</f>
        <v>16.39</v>
      </c>
      <c r="X58" s="14">
        <f>M58+SUM(AI58:AQ58)+$T$1+R58/$AB$1</f>
        <v>7.8633009853067692</v>
      </c>
      <c r="Y58" s="14">
        <f>M58+SUM(AI58:AQ58)+$T$1+R58/$AB$1-AL58-AO58</f>
        <v>7.6912176519734352</v>
      </c>
      <c r="Z58" s="14">
        <f>VLOOKUP($AV58,fff,3,)</f>
        <v>15.88</v>
      </c>
      <c r="AA58" s="14">
        <f>VLOOKUP($AV58,fff,2,)</f>
        <v>16.239999999999998</v>
      </c>
      <c r="AB58" s="14">
        <f>VLOOKUP($AV58,ggg,AB$4,0)</f>
        <v>8.31</v>
      </c>
      <c r="AC58" s="14">
        <f>VLOOKUP($AV58,ggg,AC$4,0)</f>
        <v>27.63</v>
      </c>
      <c r="AD58" s="14">
        <f>VLOOKUP($AV58,ggg,AD$4,0)</f>
        <v>3.64</v>
      </c>
      <c r="AE58" s="14">
        <f>VLOOKUP($AV58,ggg,AE$4,0)</f>
        <v>3.82</v>
      </c>
      <c r="AI58">
        <f>C$3*(C$1-C58)/C$2</f>
        <v>-0.30000000000000071</v>
      </c>
      <c r="AJ58">
        <f>D$3*(D$1-D58)/D$2</f>
        <v>0</v>
      </c>
      <c r="AK58">
        <f>E$3*(E$1-E58)/E$2</f>
        <v>-2.2725000000000004</v>
      </c>
      <c r="AL58">
        <f>F$3*(F$1-F58)/F$2</f>
        <v>-5.9999999999998721E-2</v>
      </c>
      <c r="AM58">
        <f>G$3*(G$1-G58)/G$2</f>
        <v>-1.4285714285713982E-2</v>
      </c>
      <c r="AN58">
        <f>H$3*(H$1-H58)/H$2</f>
        <v>0</v>
      </c>
      <c r="AO58">
        <f>I$3*(I$1-I58)/I$2</f>
        <v>0.23208333333333306</v>
      </c>
      <c r="AP58">
        <f>(Q58-$M$1)/$M$2</f>
        <v>-0.39964000000000005</v>
      </c>
      <c r="AQ58">
        <f>(J58-$Q$1)/$Q$2</f>
        <v>-2.5231885313442099E-6</v>
      </c>
      <c r="AS58">
        <f>M58+SUM(AI58:AQ58)+$T$1+R58/$AB$1</f>
        <v>7.8633009853067692</v>
      </c>
      <c r="AT58">
        <f>M58+SUM(AI58:AQ58)+$T$1+R58/$AB$1-AL58-AO58</f>
        <v>7.6912176519734352</v>
      </c>
      <c r="AV58" t="str">
        <f>A58&amp;B58</f>
        <v>45551A</v>
      </c>
    </row>
    <row r="59" spans="1:48" x14ac:dyDescent="0.3">
      <c r="A59" s="16">
        <v>45551</v>
      </c>
      <c r="B59" s="17" t="s">
        <v>19</v>
      </c>
      <c r="C59" s="14">
        <v>8.254999999999999</v>
      </c>
      <c r="D59" s="14">
        <v>37.5</v>
      </c>
      <c r="E59" s="14">
        <v>27.38333333333334</v>
      </c>
      <c r="F59" s="14">
        <v>55.87</v>
      </c>
      <c r="G59" s="14">
        <v>3.82</v>
      </c>
      <c r="H59" s="14">
        <v>3.62</v>
      </c>
      <c r="I59" s="14">
        <v>139</v>
      </c>
      <c r="J59" s="14">
        <v>9.4729578844485438</v>
      </c>
      <c r="K59" s="14">
        <v>2.29678231879934E-3</v>
      </c>
      <c r="L59" s="14">
        <v>2.175732217573222E-2</v>
      </c>
      <c r="M59" s="14">
        <v>13.00216231381531</v>
      </c>
      <c r="N59" s="14">
        <v>2.5903582839659901E-3</v>
      </c>
      <c r="O59" s="14">
        <v>5225</v>
      </c>
      <c r="P59" s="14">
        <v>81.986277398687349</v>
      </c>
      <c r="Q59" s="14">
        <v>5943.6</v>
      </c>
      <c r="R59" s="14">
        <v>6022.5619999999999</v>
      </c>
      <c r="S59" s="14">
        <v>13.491271378496251</v>
      </c>
      <c r="T59" s="14">
        <f>AVERAGE(AS59:AT59)</f>
        <v>7.9441830424877153</v>
      </c>
      <c r="U59" s="14">
        <v>13.465689829415251</v>
      </c>
      <c r="V59" s="26">
        <f t="shared" si="1"/>
        <v>10.704936435951483</v>
      </c>
      <c r="W59" s="14">
        <f>VLOOKUP($AV59,ggg,W$4,0)</f>
        <v>12.2</v>
      </c>
      <c r="X59" s="14">
        <f>M59+SUM(AI59:AQ59)+$T$1+R59/$AB$1</f>
        <v>8.3279330424877145</v>
      </c>
      <c r="Y59" s="14">
        <f>M59+SUM(AI59:AQ59)+$T$1+R59/$AB$1-AL59-AO59</f>
        <v>7.5604330424877162</v>
      </c>
      <c r="Z59" s="14">
        <f>VLOOKUP($AV59,fff,3,)</f>
        <v>7.98</v>
      </c>
      <c r="AA59" s="14">
        <f>VLOOKUP($AV59,fff,2,)</f>
        <v>7.35</v>
      </c>
      <c r="AB59" s="14">
        <f>VLOOKUP($AV59,ggg,AB$4,0)</f>
        <v>8.5</v>
      </c>
      <c r="AC59" s="14">
        <f>VLOOKUP($AV59,ggg,AC$4,0)</f>
        <v>27.78</v>
      </c>
      <c r="AD59" s="14">
        <f>VLOOKUP($AV59,ggg,AD$4,0)</f>
        <v>3.74</v>
      </c>
      <c r="AE59" s="14">
        <f>VLOOKUP($AV59,ggg,AE$4,0)</f>
        <v>4.28</v>
      </c>
      <c r="AI59">
        <f>C$3*(C$1-C59)/C$2</f>
        <v>-0.2099999999999973</v>
      </c>
      <c r="AJ59">
        <f>D$3*(D$1-D59)/D$2</f>
        <v>0</v>
      </c>
      <c r="AK59">
        <f>E$3*(E$1-E59)/E$2</f>
        <v>-1.7600000000000084</v>
      </c>
      <c r="AL59">
        <f>F$3*(F$1-F59)/F$2</f>
        <v>0.39999999999999858</v>
      </c>
      <c r="AM59">
        <f>G$3*(G$1-G59)/G$2</f>
        <v>-1.4285714285713982E-2</v>
      </c>
      <c r="AN59">
        <f>H$3*(H$1-H59)/H$2</f>
        <v>0</v>
      </c>
      <c r="AO59">
        <f>I$3*(I$1-I59)/I$2</f>
        <v>0.36749999999999972</v>
      </c>
      <c r="AP59">
        <f>(Q59-$M$1)/$M$2</f>
        <v>-1.0596999999999999</v>
      </c>
      <c r="AQ59">
        <f>(J59-$Q$1)/$Q$2</f>
        <v>2.4295812740667077E-7</v>
      </c>
      <c r="AS59">
        <f>M59+SUM(AI59:AQ59)+$T$1+R59/$AB$1</f>
        <v>8.3279330424877145</v>
      </c>
      <c r="AT59">
        <f>M59+SUM(AI59:AQ59)+$T$1+R59/$AB$1-AL59-AO59</f>
        <v>7.5604330424877162</v>
      </c>
      <c r="AV59" t="str">
        <f>A59&amp;B59</f>
        <v>45551B</v>
      </c>
    </row>
    <row r="60" spans="1:48" x14ac:dyDescent="0.3">
      <c r="A60" s="16">
        <v>45551</v>
      </c>
      <c r="B60" s="17" t="s">
        <v>20</v>
      </c>
      <c r="C60" s="14">
        <v>8.4949999999999992</v>
      </c>
      <c r="D60" s="14">
        <v>38.857142857142847</v>
      </c>
      <c r="E60" s="14">
        <v>27.6</v>
      </c>
      <c r="F60" s="14">
        <v>57.41</v>
      </c>
      <c r="G60" s="14">
        <v>4.1400000000000006</v>
      </c>
      <c r="H60" s="14">
        <v>3.71</v>
      </c>
      <c r="I60" s="14">
        <v>149.66666666666671</v>
      </c>
      <c r="J60" s="14">
        <v>9.5860363809545941</v>
      </c>
      <c r="K60" s="14">
        <v>7.1287775869305504E-3</v>
      </c>
      <c r="L60" s="14">
        <v>6.833672130004996E-2</v>
      </c>
      <c r="M60" s="14">
        <v>13.8000889152342</v>
      </c>
      <c r="N60" s="14">
        <v>2.5901877199440539E-3</v>
      </c>
      <c r="O60" s="14">
        <v>5225</v>
      </c>
      <c r="P60" s="14">
        <v>81.188341047078993</v>
      </c>
      <c r="Q60" s="14">
        <v>23532.16</v>
      </c>
      <c r="R60" s="14">
        <v>6815.7120000000004</v>
      </c>
      <c r="S60" s="14">
        <v>13.00216340714023</v>
      </c>
      <c r="T60" s="14">
        <f>AVERAGE(AS60:AT60)</f>
        <v>9.2618470850275507</v>
      </c>
      <c r="U60" s="14">
        <v>13.34841249312022</v>
      </c>
      <c r="V60" s="26">
        <f t="shared" si="1"/>
        <v>11.305129789073884</v>
      </c>
      <c r="W60" s="14">
        <f>VLOOKUP($AV60,ggg,W$4,0)</f>
        <v>7.61</v>
      </c>
      <c r="X60" s="14">
        <f>M60+SUM(AI60:AQ60)+$T$1+R60/$AB$1</f>
        <v>9.8824489368794008</v>
      </c>
      <c r="Y60" s="14">
        <f>M60+SUM(AI60:AQ60)+$T$1+R60/$AB$1-AL60-AO60</f>
        <v>8.6412452331757006</v>
      </c>
      <c r="Z60" s="14" t="e">
        <f>VLOOKUP($AV60,fff,3,)</f>
        <v>#N/A</v>
      </c>
      <c r="AA60" s="14" t="e">
        <f>VLOOKUP($AV60,fff,2,)</f>
        <v>#N/A</v>
      </c>
      <c r="AB60" s="14">
        <f>VLOOKUP($AV60,ggg,AB$4,0)</f>
        <v>8.1999999999999993</v>
      </c>
      <c r="AC60" s="14">
        <f>VLOOKUP($AV60,ggg,AC$4,0)</f>
        <v>25.9</v>
      </c>
      <c r="AD60" s="14">
        <f>VLOOKUP($AV60,ggg,AD$4,0)</f>
        <v>3.46</v>
      </c>
      <c r="AE60" s="14">
        <f>VLOOKUP($AV60,ggg,AE$4,0)</f>
        <v>4.1399999999999997</v>
      </c>
      <c r="AI60">
        <f>C$3*(C$1-C60)/C$2</f>
        <v>-0.68999999999999762</v>
      </c>
      <c r="AJ60">
        <f>D$3*(D$1-D60)/D$2</f>
        <v>0</v>
      </c>
      <c r="AK60">
        <f>E$3*(E$1-E60)/E$2</f>
        <v>-2.0850000000000004</v>
      </c>
      <c r="AL60">
        <f>F$3*(F$1-F60)/F$2</f>
        <v>1.1699999999999982</v>
      </c>
      <c r="AM60">
        <f>G$3*(G$1-G60)/G$2</f>
        <v>-0.47142857142857209</v>
      </c>
      <c r="AN60">
        <f>H$3*(H$1-H60)/H$2</f>
        <v>0</v>
      </c>
      <c r="AO60">
        <f>I$3*(I$1-I60)/I$2</f>
        <v>7.1203703703702104E-2</v>
      </c>
      <c r="AP60">
        <f>(Q60-$M$1)/$M$2</f>
        <v>0.40601333333333334</v>
      </c>
      <c r="AQ60">
        <f>(J60-$Q$1)/$Q$2</f>
        <v>3.5603673699133064E-7</v>
      </c>
      <c r="AS60">
        <f>M60+SUM(AI60:AQ60)+$T$1+R60/$AB$1</f>
        <v>9.8824489368794008</v>
      </c>
      <c r="AT60">
        <f>M60+SUM(AI60:AQ60)+$T$1+R60/$AB$1-AL60-AO60</f>
        <v>8.6412452331757006</v>
      </c>
      <c r="AV60" t="str">
        <f>A60&amp;B60</f>
        <v>45551C</v>
      </c>
    </row>
    <row r="61" spans="1:48" x14ac:dyDescent="0.3">
      <c r="A61" s="16">
        <v>45552</v>
      </c>
      <c r="B61" s="17" t="s">
        <v>21</v>
      </c>
      <c r="C61" s="14">
        <v>8.1999999999999993</v>
      </c>
      <c r="D61" s="14">
        <v>38.166666666666657</v>
      </c>
      <c r="E61" s="14">
        <v>25.903333333333329</v>
      </c>
      <c r="F61" s="14">
        <v>57.4</v>
      </c>
      <c r="G61" s="14">
        <v>4.1399999999999997</v>
      </c>
      <c r="H61" s="14">
        <v>3.46</v>
      </c>
      <c r="I61" s="14">
        <v>146.5</v>
      </c>
      <c r="J61" s="14">
        <v>7.7160800070314526</v>
      </c>
      <c r="K61" s="14">
        <v>4.5530853825004403E-3</v>
      </c>
      <c r="L61" s="14">
        <v>3.5131971090218803E-2</v>
      </c>
      <c r="M61" s="14">
        <v>18.850180648259851</v>
      </c>
      <c r="N61" s="14">
        <v>2.5922587584825511E-3</v>
      </c>
      <c r="O61" s="14">
        <v>5225</v>
      </c>
      <c r="P61" s="14">
        <v>81.266589059268355</v>
      </c>
      <c r="Q61" s="14">
        <v>17387.48</v>
      </c>
      <c r="R61" s="14">
        <v>5077.9549999999999</v>
      </c>
      <c r="S61" s="14">
        <v>16.02489970453275</v>
      </c>
      <c r="T61" s="14">
        <f>AVERAGE(AS61:AT61)</f>
        <v>16.802586062909782</v>
      </c>
      <c r="U61" s="14">
        <v>18.774546423883812</v>
      </c>
      <c r="V61" s="26">
        <f t="shared" si="1"/>
        <v>17.788566243396797</v>
      </c>
      <c r="W61" s="14">
        <f>VLOOKUP($AV61,ggg,W$4,0)</f>
        <v>14.21</v>
      </c>
      <c r="X61" s="14">
        <f>M61+SUM(AI61:AQ61)+$T$1+R61/$AB$1</f>
        <v>17.464669396243117</v>
      </c>
      <c r="Y61" s="14">
        <f>M61+SUM(AI61:AQ61)+$T$1+R61/$AB$1-AL61-AO61</f>
        <v>16.14050272957645</v>
      </c>
      <c r="Z61" s="14">
        <f>VLOOKUP($AV61,fff,3,)</f>
        <v>14.55</v>
      </c>
      <c r="AA61" s="14">
        <f>VLOOKUP($AV61,fff,2,)</f>
        <v>13.39</v>
      </c>
      <c r="AB61" s="14">
        <f>VLOOKUP($AV61,ggg,AB$4,0)</f>
        <v>8.02</v>
      </c>
      <c r="AC61" s="14">
        <f>VLOOKUP($AV61,ggg,AC$4,0)</f>
        <v>27.38</v>
      </c>
      <c r="AD61" s="14">
        <f>VLOOKUP($AV61,ggg,AD$4,0)</f>
        <v>3.23</v>
      </c>
      <c r="AE61" s="14">
        <f>VLOOKUP($AV61,ggg,AE$4,0)</f>
        <v>4.1399999999999997</v>
      </c>
      <c r="AI61">
        <f>C$3*(C$1-C61)/C$2</f>
        <v>-9.9999999999997868E-2</v>
      </c>
      <c r="AJ61">
        <f>D$3*(D$1-D61)/D$2</f>
        <v>0</v>
      </c>
      <c r="AK61">
        <f>E$3*(E$1-E61)/E$2</f>
        <v>0.46000000000000796</v>
      </c>
      <c r="AL61">
        <f>F$3*(F$1-F61)/F$2</f>
        <v>1.1649999999999991</v>
      </c>
      <c r="AM61">
        <f>G$3*(G$1-G61)/G$2</f>
        <v>-0.47142857142857092</v>
      </c>
      <c r="AN61">
        <f>H$3*(H$1-H61)/H$2</f>
        <v>0</v>
      </c>
      <c r="AO61">
        <f>I$3*(I$1-I61)/I$2</f>
        <v>0.15916666666666637</v>
      </c>
      <c r="AP61">
        <f>(Q61-$M$1)/$M$2</f>
        <v>-0.10604333333333336</v>
      </c>
      <c r="AQ61">
        <f>(J61-$Q$1)/$Q$2</f>
        <v>-1.5139215068900547E-6</v>
      </c>
      <c r="AS61">
        <f>M61+SUM(AI61:AQ61)+$T$1+R61/$AB$1</f>
        <v>17.464669396243117</v>
      </c>
      <c r="AT61">
        <f>M61+SUM(AI61:AQ61)+$T$1+R61/$AB$1-AL61-AO61</f>
        <v>16.14050272957645</v>
      </c>
      <c r="AV61" t="str">
        <f>A61&amp;B61</f>
        <v>45552A</v>
      </c>
    </row>
    <row r="62" spans="1:48" x14ac:dyDescent="0.3">
      <c r="A62" s="16">
        <v>45552</v>
      </c>
      <c r="B62" s="17" t="s">
        <v>19</v>
      </c>
      <c r="C62" s="14">
        <v>8.0120000000000005</v>
      </c>
      <c r="D62" s="14">
        <v>37.142857142857153</v>
      </c>
      <c r="E62" s="14">
        <v>26.918571428571429</v>
      </c>
      <c r="F62" s="14">
        <v>56.15</v>
      </c>
      <c r="G62" s="14">
        <v>4.1399999999999997</v>
      </c>
      <c r="H62" s="14">
        <v>3.245714285714286</v>
      </c>
      <c r="I62" s="14">
        <v>140.14285714285711</v>
      </c>
      <c r="J62" s="14">
        <v>8.8139489439486844</v>
      </c>
      <c r="K62" s="14">
        <v>2.722111898740328E-3</v>
      </c>
      <c r="L62" s="14">
        <v>2.3992555295212461E-2</v>
      </c>
      <c r="M62" s="14">
        <v>22.256701743580511</v>
      </c>
      <c r="N62" s="14">
        <v>2.5939475174519369E-3</v>
      </c>
      <c r="O62" s="14">
        <v>5225</v>
      </c>
      <c r="P62" s="14">
        <v>81.319382041948501</v>
      </c>
      <c r="Q62" s="14">
        <v>7219</v>
      </c>
      <c r="R62" s="14">
        <v>8013.326</v>
      </c>
      <c r="S62" s="14">
        <v>24.559854053548289</v>
      </c>
      <c r="T62" s="14">
        <f t="shared" ref="T62:T67" si="2">AVERAGE(AS62:AT62)</f>
        <v>18.284208530703641</v>
      </c>
      <c r="U62" s="14">
        <v>15.906794659589767</v>
      </c>
      <c r="V62" s="26">
        <f t="shared" si="1"/>
        <v>17.095501595146704</v>
      </c>
      <c r="W62" s="14">
        <f>VLOOKUP($AV62,ggg,W$4,0)</f>
        <v>16.16</v>
      </c>
      <c r="X62" s="14">
        <f>M62+SUM(AI62:AQ62)+$T$1+R62/$AB$1</f>
        <v>18.722085514830624</v>
      </c>
      <c r="Y62" s="14">
        <f>M62+SUM(AI62:AQ62)+$T$1+R62/$AB$1-AL62-AO62</f>
        <v>17.846331546576657</v>
      </c>
      <c r="Z62" s="14">
        <f t="shared" ref="Z62:Z67" si="3">VLOOKUP($AV62,fff,3,)</f>
        <v>18.72</v>
      </c>
      <c r="AA62" s="14">
        <f t="shared" ref="AA62:AA67" si="4">VLOOKUP($AV62,fff,2,)</f>
        <v>18</v>
      </c>
      <c r="AB62" s="14">
        <f>VLOOKUP($AV62,ggg,AB$4,0)</f>
        <v>7.75</v>
      </c>
      <c r="AC62" s="14">
        <f>VLOOKUP($AV62,ggg,AC$4,0)</f>
        <v>25.94</v>
      </c>
      <c r="AD62" s="14">
        <f>VLOOKUP($AV62,ggg,AD$4,0)</f>
        <v>3.19</v>
      </c>
      <c r="AE62" s="14">
        <f>VLOOKUP($AV62,ggg,AE$4,0)</f>
        <v>3.81</v>
      </c>
      <c r="AI62">
        <f>C$3*(C$1-C62)/C$2</f>
        <v>0.2759999999999998</v>
      </c>
      <c r="AJ62">
        <f>D$3*(D$1-D62)/D$2</f>
        <v>0</v>
      </c>
      <c r="AK62">
        <f>E$3*(E$1-E62)/E$2</f>
        <v>-1.0628571428571421</v>
      </c>
      <c r="AL62">
        <f>F$3*(F$1-F62)/F$2</f>
        <v>0.53999999999999915</v>
      </c>
      <c r="AM62">
        <f>G$3*(G$1-G62)/G$2</f>
        <v>-0.47142857142857092</v>
      </c>
      <c r="AN62">
        <f>H$3*(H$1-H62)/H$2</f>
        <v>0</v>
      </c>
      <c r="AO62">
        <f>I$3*(I$1-I62)/I$2</f>
        <v>0.33575396825396892</v>
      </c>
      <c r="AP62">
        <f t="shared" ref="AP62:AP67" si="5">(Q62-$M$1)/$M$2</f>
        <v>-0.95341666666666669</v>
      </c>
      <c r="AQ62">
        <f t="shared" ref="AQ62:AQ67" si="6">(J62-$Q$1)/$Q$2</f>
        <v>-4.160514721027881E-7</v>
      </c>
      <c r="AS62">
        <f>M62+SUM(AI62:AQ62)+$T$1+R62/$AB$1</f>
        <v>18.722085514830624</v>
      </c>
      <c r="AT62">
        <f>M62+SUM(AI62:AQ62)+$T$1+R62/$AB$1-AL62-AO62</f>
        <v>17.846331546576657</v>
      </c>
      <c r="AV62" t="str">
        <f t="shared" ref="AV62:AV67" si="7">A62&amp;B62</f>
        <v>45552B</v>
      </c>
    </row>
    <row r="63" spans="1:48" x14ac:dyDescent="0.3">
      <c r="A63" s="16">
        <v>45552</v>
      </c>
      <c r="B63" s="17" t="s">
        <v>20</v>
      </c>
      <c r="C63" s="14">
        <v>7.7549999999999999</v>
      </c>
      <c r="D63" s="14">
        <v>38.714285714285722</v>
      </c>
      <c r="E63" s="14">
        <v>25.94285714285714</v>
      </c>
      <c r="F63" s="14">
        <v>56.01</v>
      </c>
      <c r="G63" s="14">
        <v>3.81</v>
      </c>
      <c r="H63" s="14">
        <v>3.1914285714285708</v>
      </c>
      <c r="I63" s="14">
        <v>148.14285714285711</v>
      </c>
      <c r="J63" s="14">
        <v>7.7636085039903424</v>
      </c>
      <c r="K63" s="14">
        <v>6.5575067475259477E-3</v>
      </c>
      <c r="L63" s="14">
        <v>5.0909915150066501E-2</v>
      </c>
      <c r="M63" s="14">
        <v>26.182081044269491</v>
      </c>
      <c r="N63" s="14">
        <v>2.596026479110205E-3</v>
      </c>
      <c r="O63" s="14">
        <v>5225</v>
      </c>
      <c r="P63" s="14">
        <v>81.380215274857065</v>
      </c>
      <c r="Q63" s="14">
        <v>27180.552</v>
      </c>
      <c r="R63" s="14">
        <v>13173.975</v>
      </c>
      <c r="S63" s="14">
        <v>26.18207644215984</v>
      </c>
      <c r="T63" s="14">
        <f t="shared" si="2"/>
        <v>26.692003236606691</v>
      </c>
      <c r="U63" s="14">
        <v>22.508966117974701</v>
      </c>
      <c r="V63" s="26">
        <f t="shared" si="1"/>
        <v>24.600484677290694</v>
      </c>
      <c r="W63" s="14">
        <f>VLOOKUP($AV63,ggg,W$4,0)</f>
        <v>20.32</v>
      </c>
      <c r="X63" s="14">
        <f>M63+SUM(AI63:AQ63)+$T$1+R63/$AB$1</f>
        <v>26.983769109622564</v>
      </c>
      <c r="Y63" s="14">
        <f>M63+SUM(AI63:AQ63)+$T$1+R63/$AB$1-AL63-AO63</f>
        <v>26.400237363590819</v>
      </c>
      <c r="Z63" s="14" t="e">
        <f t="shared" si="3"/>
        <v>#N/A</v>
      </c>
      <c r="AA63" s="14" t="e">
        <f t="shared" si="4"/>
        <v>#N/A</v>
      </c>
      <c r="AB63" s="14">
        <f>VLOOKUP($AV63,ggg,AB$4,0)</f>
        <v>7.8</v>
      </c>
      <c r="AC63" s="14">
        <f>VLOOKUP($AV63,ggg,AC$4,0)</f>
        <v>26.5</v>
      </c>
      <c r="AD63" s="14">
        <f>VLOOKUP($AV63,ggg,AD$4,0)</f>
        <v>3.2</v>
      </c>
      <c r="AE63" s="14">
        <f>VLOOKUP($AV63,ggg,AE$4,0)</f>
        <v>3.81</v>
      </c>
      <c r="AI63">
        <f>C$3*(C$1-C63)/C$2</f>
        <v>0.79000000000000092</v>
      </c>
      <c r="AJ63">
        <f>D$3*(D$1-D63)/D$2</f>
        <v>0</v>
      </c>
      <c r="AK63">
        <f>E$3*(E$1-E63)/E$2</f>
        <v>0.40071428571429202</v>
      </c>
      <c r="AL63">
        <f>F$3*(F$1-F63)/F$2</f>
        <v>0.46999999999999886</v>
      </c>
      <c r="AM63">
        <f>G$3*(G$1-G63)/G$2</f>
        <v>0</v>
      </c>
      <c r="AN63">
        <f>H$3*(H$1-H63)/H$2</f>
        <v>0</v>
      </c>
      <c r="AO63">
        <f>I$3*(I$1-I63)/I$2</f>
        <v>0.11353174603174665</v>
      </c>
      <c r="AP63">
        <f t="shared" si="5"/>
        <v>0.71004599999999995</v>
      </c>
      <c r="AQ63">
        <f t="shared" si="6"/>
        <v>-1.4663929624026203E-6</v>
      </c>
      <c r="AS63">
        <f>M63+SUM(AI63:AQ63)+$T$1+R63/$AB$1</f>
        <v>26.983769109622564</v>
      </c>
      <c r="AT63">
        <f>M63+SUM(AI63:AQ63)+$T$1+R63/$AB$1-AL63-AO63</f>
        <v>26.400237363590819</v>
      </c>
      <c r="AV63" t="str">
        <f t="shared" si="7"/>
        <v>45552C</v>
      </c>
    </row>
    <row r="64" spans="1:48" x14ac:dyDescent="0.3">
      <c r="A64" s="16">
        <v>45553</v>
      </c>
      <c r="B64" s="17" t="s">
        <v>21</v>
      </c>
      <c r="C64" s="14">
        <v>7.8</v>
      </c>
      <c r="D64" s="14">
        <v>38.666666666666657</v>
      </c>
      <c r="E64" s="14">
        <v>25.986666666666672</v>
      </c>
      <c r="F64" s="14">
        <v>56.01</v>
      </c>
      <c r="G64" s="14">
        <v>3.81</v>
      </c>
      <c r="H64" s="14">
        <v>3.253333333333333</v>
      </c>
      <c r="I64" s="14">
        <v>153</v>
      </c>
      <c r="J64" s="14">
        <v>9.6643713333227979</v>
      </c>
      <c r="K64" s="14">
        <v>1.1395946205532441E-2</v>
      </c>
      <c r="L64" s="14">
        <v>0.1101346558248365</v>
      </c>
      <c r="M64" s="14">
        <v>26.182084029397021</v>
      </c>
      <c r="N64" s="14">
        <v>2.596024486476689E-3</v>
      </c>
      <c r="O64" s="14">
        <v>5225</v>
      </c>
      <c r="P64" s="14">
        <v>81.380215319216873</v>
      </c>
      <c r="Q64" s="14">
        <v>19369.144799999998</v>
      </c>
      <c r="R64" s="14">
        <v>5076.0329999999994</v>
      </c>
      <c r="S64" s="14">
        <v>25.978883306854868</v>
      </c>
      <c r="T64" s="14">
        <f t="shared" si="2"/>
        <v>25.008088719324341</v>
      </c>
      <c r="U64" s="14">
        <v>19.54070801334035</v>
      </c>
      <c r="V64" s="26">
        <f t="shared" si="1"/>
        <v>22.274398366332345</v>
      </c>
      <c r="W64" s="14">
        <f>VLOOKUP($AV64,ggg,W$4,0)</f>
        <v>26.84</v>
      </c>
      <c r="X64" s="14">
        <f>M64+SUM(AI64:AQ64)+$T$1+R64/$AB$1</f>
        <v>25.232394274879894</v>
      </c>
      <c r="Y64" s="14">
        <f>M64+SUM(AI64:AQ64)+$T$1+R64/$AB$1-AL64-AO64</f>
        <v>24.783783163768785</v>
      </c>
      <c r="Z64" s="14">
        <f t="shared" si="3"/>
        <v>25.85</v>
      </c>
      <c r="AA64" s="14">
        <f t="shared" si="4"/>
        <v>25</v>
      </c>
      <c r="AB64" s="14">
        <f>VLOOKUP($AV64,ggg,AB$4,0)</f>
        <v>8.07</v>
      </c>
      <c r="AC64" s="14">
        <f>VLOOKUP($AV64,ggg,AC$4,0)</f>
        <v>27.33</v>
      </c>
      <c r="AD64" s="14">
        <f>VLOOKUP($AV64,ggg,AD$4,0)</f>
        <v>3.48</v>
      </c>
      <c r="AE64" s="14">
        <f>VLOOKUP($AV64,ggg,AE$4,0)</f>
        <v>3.81</v>
      </c>
      <c r="AI64">
        <f>C$3*(C$1-C64)/C$2</f>
        <v>0.70000000000000095</v>
      </c>
      <c r="AJ64">
        <f>D$3*(D$1-D64)/D$2</f>
        <v>0</v>
      </c>
      <c r="AK64">
        <f>E$3*(E$1-E64)/E$2</f>
        <v>0.33499999999999369</v>
      </c>
      <c r="AL64">
        <f>F$3*(F$1-F64)/F$2</f>
        <v>0.46999999999999886</v>
      </c>
      <c r="AM64">
        <f>G$3*(G$1-G64)/G$2</f>
        <v>0</v>
      </c>
      <c r="AN64">
        <f>H$3*(H$1-H64)/H$2</f>
        <v>0</v>
      </c>
      <c r="AO64">
        <f>I$3*(I$1-I64)/I$2</f>
        <v>-2.1388888888889172E-2</v>
      </c>
      <c r="AP64">
        <f t="shared" si="5"/>
        <v>5.9095399999999854E-2</v>
      </c>
      <c r="AQ64">
        <f t="shared" si="6"/>
        <v>4.3437176769456511E-7</v>
      </c>
      <c r="AS64">
        <f>M64+SUM(AI64:AQ64)+$T$1+R64/$AB$1</f>
        <v>25.232394274879894</v>
      </c>
      <c r="AT64">
        <f>M64+SUM(AI64:AQ64)+$T$1+R64/$AB$1-AL64-AO64</f>
        <v>24.783783163768785</v>
      </c>
      <c r="AV64" t="str">
        <f t="shared" si="7"/>
        <v>45553A</v>
      </c>
    </row>
    <row r="65" spans="1:48" x14ac:dyDescent="0.3">
      <c r="A65" s="16">
        <v>45553</v>
      </c>
      <c r="B65" s="17" t="s">
        <v>19</v>
      </c>
      <c r="C65" s="14">
        <v>7.95</v>
      </c>
      <c r="D65" s="14">
        <v>37.666666666666657</v>
      </c>
      <c r="E65" s="14">
        <v>27.311666666666671</v>
      </c>
      <c r="F65" s="14">
        <v>54.87</v>
      </c>
      <c r="G65" s="14">
        <v>3.81</v>
      </c>
      <c r="H65" s="14">
        <v>3.4033333333333342</v>
      </c>
      <c r="I65" s="14">
        <v>149.33333333333329</v>
      </c>
      <c r="J65" s="14">
        <v>12.537418585008369</v>
      </c>
      <c r="K65" s="14">
        <v>6.2529045514638721E-3</v>
      </c>
      <c r="L65" s="14">
        <v>7.8395281733806596E-2</v>
      </c>
      <c r="M65" s="14">
        <v>19.59439269951455</v>
      </c>
      <c r="N65" s="14">
        <v>2.6021285124755229E-3</v>
      </c>
      <c r="O65" s="14">
        <v>5225</v>
      </c>
      <c r="P65" s="14">
        <v>95.595851304790344</v>
      </c>
      <c r="Q65" s="14">
        <v>16057</v>
      </c>
      <c r="R65" s="14">
        <v>7669.6620000000003</v>
      </c>
      <c r="S65" s="14">
        <v>21.700964307889581</v>
      </c>
      <c r="T65" s="14">
        <f t="shared" si="2"/>
        <v>15.882177021751254</v>
      </c>
      <c r="U65" s="14">
        <v>13.83296322480923</v>
      </c>
      <c r="V65" s="26">
        <f t="shared" si="1"/>
        <v>14.857570123280242</v>
      </c>
      <c r="W65" s="14">
        <f>VLOOKUP($AV65,ggg,W$4,0)</f>
        <v>22.15</v>
      </c>
      <c r="X65" s="14">
        <f>M65+SUM(AI65:AQ65)+$T$1+R65/$AB$1</f>
        <v>15.872408503232736</v>
      </c>
      <c r="Y65" s="14">
        <f>M65+SUM(AI65:AQ65)+$T$1+R65/$AB$1-AL65-AO65</f>
        <v>15.891945540269774</v>
      </c>
      <c r="Z65" s="14">
        <f t="shared" si="3"/>
        <v>7.56</v>
      </c>
      <c r="AA65" s="14">
        <f t="shared" si="4"/>
        <v>7.48</v>
      </c>
      <c r="AB65" s="14">
        <f>VLOOKUP($AV65,ggg,AB$4,0)</f>
        <v>8</v>
      </c>
      <c r="AC65" s="14">
        <f>VLOOKUP($AV65,ggg,AC$4,0)</f>
        <v>28.05</v>
      </c>
      <c r="AD65" s="14">
        <f>VLOOKUP($AV65,ggg,AD$4,0)</f>
        <v>3.57</v>
      </c>
      <c r="AE65" s="14">
        <f>VLOOKUP($AV65,ggg,AE$4,0)</f>
        <v>3.95</v>
      </c>
      <c r="AI65">
        <f>C$3*(C$1-C65)/C$2</f>
        <v>0.40000000000000036</v>
      </c>
      <c r="AJ65">
        <f>D$3*(D$1-D65)/D$2</f>
        <v>0</v>
      </c>
      <c r="AK65">
        <f>E$3*(E$1-E65)/E$2</f>
        <v>-1.652500000000005</v>
      </c>
      <c r="AL65">
        <f>F$3*(F$1-F65)/F$2</f>
        <v>-0.10000000000000142</v>
      </c>
      <c r="AM65">
        <f>G$3*(G$1-G65)/G$2</f>
        <v>0</v>
      </c>
      <c r="AN65">
        <f>H$3*(H$1-H65)/H$2</f>
        <v>0</v>
      </c>
      <c r="AO65">
        <f>I$3*(I$1-I65)/I$2</f>
        <v>8.0462962962963999E-2</v>
      </c>
      <c r="AP65">
        <f t="shared" si="5"/>
        <v>-0.21691666666666667</v>
      </c>
      <c r="AQ65">
        <f t="shared" si="6"/>
        <v>3.3074218924302615E-6</v>
      </c>
      <c r="AS65">
        <f>M65+SUM(AI65:AQ65)+$T$1+R65/$AB$1</f>
        <v>15.872408503232736</v>
      </c>
      <c r="AT65">
        <f>M65+SUM(AI65:AQ65)+$T$1+R65/$AB$1-AL65-AO65</f>
        <v>15.891945540269774</v>
      </c>
      <c r="AV65" t="str">
        <f t="shared" si="7"/>
        <v>45553B</v>
      </c>
    </row>
    <row r="66" spans="1:48" x14ac:dyDescent="0.3">
      <c r="A66" s="16">
        <v>45553</v>
      </c>
      <c r="B66" s="17" t="s">
        <v>20</v>
      </c>
      <c r="C66" s="14">
        <v>8.4120000000000008</v>
      </c>
      <c r="D66" s="14">
        <v>38</v>
      </c>
      <c r="E66" s="14">
        <v>28.028571428571428</v>
      </c>
      <c r="F66" s="14">
        <v>56.21</v>
      </c>
      <c r="G66" s="14">
        <v>3.78</v>
      </c>
      <c r="H66" s="14">
        <v>3.5685714285714289</v>
      </c>
      <c r="I66" s="14">
        <v>147.14285714285711</v>
      </c>
      <c r="J66" s="14">
        <v>10.66458431891275</v>
      </c>
      <c r="K66" s="14">
        <v>5.6008703502968436E-3</v>
      </c>
      <c r="L66" s="14">
        <v>5.9730954110039092E-2</v>
      </c>
      <c r="M66" s="14">
        <v>13.64079914691372</v>
      </c>
      <c r="N66" s="14">
        <v>2.590186946444516E-3</v>
      </c>
      <c r="O66" s="14">
        <v>5225</v>
      </c>
      <c r="P66" s="14">
        <v>81.347778550610215</v>
      </c>
      <c r="Q66" s="14">
        <v>20726.88</v>
      </c>
      <c r="R66" s="14">
        <v>10250.065000000001</v>
      </c>
      <c r="S66" s="14">
        <v>13.03944284203962</v>
      </c>
      <c r="T66" s="14">
        <f t="shared" si="2"/>
        <v>8.9847018434042365</v>
      </c>
      <c r="U66" s="14">
        <v>12.385005168343881</v>
      </c>
      <c r="V66" s="26">
        <f t="shared" si="1"/>
        <v>10.684853505874059</v>
      </c>
      <c r="W66" s="14">
        <f>VLOOKUP($AV66,ggg,W$4,0)</f>
        <v>7.5</v>
      </c>
      <c r="X66" s="14">
        <f>M66+SUM(AI66:AQ66)+$T$1+R66/$AB$1</f>
        <v>9.3403566053089992</v>
      </c>
      <c r="Y66" s="14">
        <f>M66+SUM(AI66:AQ66)+$T$1+R66/$AB$1-AL66-AO66</f>
        <v>8.6290470814994737</v>
      </c>
      <c r="Z66" s="14" t="e">
        <f t="shared" si="3"/>
        <v>#N/A</v>
      </c>
      <c r="AA66" s="14" t="e">
        <f t="shared" si="4"/>
        <v>#N/A</v>
      </c>
      <c r="AB66" s="14">
        <f>VLOOKUP($AV66,ggg,AB$4,0)</f>
        <v>8.6</v>
      </c>
      <c r="AC66" s="14">
        <f>VLOOKUP($AV66,ggg,AC$4,0)</f>
        <v>27.38</v>
      </c>
      <c r="AD66" s="14">
        <f>VLOOKUP($AV66,ggg,AD$4,0)</f>
        <v>3.65</v>
      </c>
      <c r="AE66" s="14">
        <f>VLOOKUP($AV66,ggg,AE$4,0)</f>
        <v>3.78</v>
      </c>
      <c r="AI66">
        <f>C$3*(C$1-C66)/C$2</f>
        <v>-0.52400000000000091</v>
      </c>
      <c r="AJ66">
        <f>D$3*(D$1-D66)/D$2</f>
        <v>0</v>
      </c>
      <c r="AK66">
        <f>E$3*(E$1-E66)/E$2</f>
        <v>-2.727857142857141</v>
      </c>
      <c r="AL66">
        <f>F$3*(F$1-F66)/F$2</f>
        <v>0.57000000000000028</v>
      </c>
      <c r="AM66">
        <f>G$3*(G$1-G66)/G$2</f>
        <v>4.2857142857143211E-2</v>
      </c>
      <c r="AN66">
        <f>H$3*(H$1-H66)/H$2</f>
        <v>0</v>
      </c>
      <c r="AO66">
        <f>I$3*(I$1-I66)/I$2</f>
        <v>0.14130952380952444</v>
      </c>
      <c r="AP66">
        <f t="shared" si="5"/>
        <v>0.17224000000000009</v>
      </c>
      <c r="AQ66">
        <f t="shared" si="6"/>
        <v>1.4345857534985031E-6</v>
      </c>
      <c r="AS66">
        <f>M66+SUM(AI66:AQ66)+$T$1+R66/$AB$1</f>
        <v>9.3403566053089992</v>
      </c>
      <c r="AT66">
        <f>M66+SUM(AI66:AQ66)+$T$1+R66/$AB$1-AL66-AO66</f>
        <v>8.6290470814994737</v>
      </c>
      <c r="AV66" t="str">
        <f t="shared" si="7"/>
        <v>45553C</v>
      </c>
    </row>
    <row r="67" spans="1:48" x14ac:dyDescent="0.3">
      <c r="A67" s="16">
        <v>45554</v>
      </c>
      <c r="B67" s="17" t="s">
        <v>21</v>
      </c>
      <c r="C67" s="14">
        <v>8.6</v>
      </c>
      <c r="D67" s="14">
        <v>39.428571428571431</v>
      </c>
      <c r="E67" s="14">
        <v>27.375714285714281</v>
      </c>
      <c r="F67" s="14">
        <v>56.21</v>
      </c>
      <c r="G67" s="14">
        <v>3.78</v>
      </c>
      <c r="H67" s="14">
        <v>3.6514285714285721</v>
      </c>
      <c r="I67" s="14">
        <v>152.85714285714289</v>
      </c>
      <c r="J67" s="14">
        <v>8.9164606163130191</v>
      </c>
      <c r="K67" s="14">
        <v>1.3435123440689881E-2</v>
      </c>
      <c r="L67" s="14">
        <v>0.11979374903421521</v>
      </c>
      <c r="M67" s="14">
        <v>13.00216144675205</v>
      </c>
      <c r="N67" s="14">
        <v>2.5897768594644729E-3</v>
      </c>
      <c r="O67" s="14">
        <v>5225</v>
      </c>
      <c r="P67" s="14">
        <v>81.986261732458217</v>
      </c>
      <c r="Q67" s="14">
        <v>44188.44</v>
      </c>
      <c r="R67" s="14">
        <v>5490.8860000000004</v>
      </c>
      <c r="S67" s="14">
        <v>13.002159755574841</v>
      </c>
      <c r="T67" s="14">
        <f t="shared" si="2"/>
        <v>10.349195130037758</v>
      </c>
      <c r="U67" s="14">
        <v>15.865647576426253</v>
      </c>
      <c r="V67" s="26">
        <f t="shared" si="1"/>
        <v>13.107421353232006</v>
      </c>
      <c r="W67" s="14" t="e">
        <f>VLOOKUP($AV67,ggg,W$4,0)</f>
        <v>#N/A</v>
      </c>
      <c r="X67" s="14">
        <f>M67+SUM(AI67:AQ67)+$T$1+R67/$AB$1</f>
        <v>10.62548481257744</v>
      </c>
      <c r="Y67" s="14">
        <f>M67+SUM(AI67:AQ67)+$T$1+R67/$AB$1-AL67-AO67</f>
        <v>10.072905447498076</v>
      </c>
      <c r="Z67" s="14">
        <f t="shared" si="3"/>
        <v>12.1</v>
      </c>
      <c r="AA67" s="14">
        <f t="shared" si="4"/>
        <v>11.03</v>
      </c>
      <c r="AB67" s="14"/>
      <c r="AC67" s="14"/>
      <c r="AD67" s="14"/>
      <c r="AE67" s="14"/>
      <c r="AI67">
        <f>C$3*(C$1-C67)/C$2</f>
        <v>-0.89999999999999858</v>
      </c>
      <c r="AJ67">
        <f>D$3*(D$1-D67)/D$2</f>
        <v>0</v>
      </c>
      <c r="AK67">
        <f>E$3*(E$1-E67)/E$2</f>
        <v>-1.74857142857142</v>
      </c>
      <c r="AL67">
        <f>F$3*(F$1-F67)/F$2</f>
        <v>0.57000000000000028</v>
      </c>
      <c r="AM67">
        <f>G$3*(G$1-G67)/G$2</f>
        <v>4.2857142857143211E-2</v>
      </c>
      <c r="AN67">
        <f>H$3*(H$1-H67)/H$2</f>
        <v>0</v>
      </c>
      <c r="AO67">
        <f>I$3*(I$1-I67)/I$2</f>
        <v>-1.7420634920636106E-2</v>
      </c>
      <c r="AP67">
        <f t="shared" si="5"/>
        <v>2.12737</v>
      </c>
      <c r="AQ67">
        <f t="shared" si="6"/>
        <v>-3.1353969722667851E-7</v>
      </c>
      <c r="AS67">
        <f>M67+SUM(AI67:AQ67)+$T$1+R67/$AB$1</f>
        <v>10.62548481257744</v>
      </c>
      <c r="AT67">
        <f>M67+SUM(AI67:AQ67)+$T$1+R67/$AB$1-AL67-AO67</f>
        <v>10.072905447498076</v>
      </c>
      <c r="AV67" t="str">
        <f t="shared" si="7"/>
        <v>45554A</v>
      </c>
    </row>
    <row r="70" spans="1:48" x14ac:dyDescent="0.3">
      <c r="F70">
        <f>CORREL(F36:F67,I36:I67)</f>
        <v>3.6965302435456551E-2</v>
      </c>
      <c r="AH70" t="s">
        <v>528</v>
      </c>
      <c r="AI70">
        <f>MIN(AI7:AI67)</f>
        <v>-1.7666666666666657</v>
      </c>
      <c r="AJ70">
        <f t="shared" ref="AJ70:AQ70" si="8">MIN(AJ7:AJ67)</f>
        <v>0</v>
      </c>
      <c r="AK70">
        <f t="shared" si="8"/>
        <v>-4.051666666666665</v>
      </c>
      <c r="AL70">
        <f t="shared" si="8"/>
        <v>-0.93499999999999872</v>
      </c>
      <c r="AM70">
        <f t="shared" si="8"/>
        <v>-0.68571428571428561</v>
      </c>
      <c r="AN70">
        <f t="shared" si="8"/>
        <v>0</v>
      </c>
      <c r="AO70">
        <f t="shared" si="8"/>
        <v>-2.1388888888889172E-2</v>
      </c>
      <c r="AP70">
        <f t="shared" si="8"/>
        <v>-1.5525200000000001</v>
      </c>
      <c r="AQ70">
        <f t="shared" si="8"/>
        <v>-2.757389391103392E-6</v>
      </c>
    </row>
    <row r="71" spans="1:48" x14ac:dyDescent="0.3">
      <c r="AH71" t="s">
        <v>529</v>
      </c>
      <c r="AI71">
        <f>MAX(AI7:AI67)</f>
        <v>0.83999999999999986</v>
      </c>
      <c r="AJ71">
        <f t="shared" ref="AJ71:AQ71" si="9">MAX(AJ7:AJ67)</f>
        <v>0</v>
      </c>
      <c r="AK71">
        <f t="shared" si="9"/>
        <v>1.8150000000000013</v>
      </c>
      <c r="AL71">
        <f t="shared" si="9"/>
        <v>1.3550000000000002</v>
      </c>
      <c r="AM71">
        <f t="shared" si="9"/>
        <v>0.42857142857142894</v>
      </c>
      <c r="AN71">
        <f t="shared" si="9"/>
        <v>0</v>
      </c>
      <c r="AO71">
        <f t="shared" si="9"/>
        <v>0.50638888888888867</v>
      </c>
      <c r="AP71">
        <f t="shared" si="9"/>
        <v>3.9560999999999997</v>
      </c>
      <c r="AQ71">
        <f t="shared" si="9"/>
        <v>3.5562149647870948E-6</v>
      </c>
    </row>
  </sheetData>
  <autoFilter ref="A6:AV67" xr:uid="{00000000-0001-0000-0000-000000000000}">
    <filterColumn colId="0">
      <filters>
        <dateGroupItem year="2024" month="9" dateTimeGrouping="month"/>
      </filters>
    </filterColumn>
  </autoFilter>
  <mergeCells count="1">
    <mergeCell ref="Z5:A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CB23-B685-4C82-965B-A677A9FC4A51}">
  <sheetPr filterMode="1"/>
  <dimension ref="A1:AT71"/>
  <sheetViews>
    <sheetView tabSelected="1" workbookViewId="0">
      <selection activeCell="K45" sqref="K45"/>
    </sheetView>
  </sheetViews>
  <sheetFormatPr defaultRowHeight="14.4" x14ac:dyDescent="0.3"/>
  <cols>
    <col min="1" max="1" width="10.33203125" style="2" bestFit="1" customWidth="1"/>
    <col min="2" max="2" width="12" bestFit="1" customWidth="1"/>
    <col min="3" max="3" width="12.6640625" bestFit="1" customWidth="1"/>
    <col min="4" max="4" width="12.88671875" bestFit="1" customWidth="1"/>
    <col min="5" max="5" width="11.6640625" bestFit="1" customWidth="1"/>
    <col min="6" max="6" width="12" bestFit="1" customWidth="1"/>
    <col min="7" max="8" width="12.6640625" bestFit="1" customWidth="1"/>
    <col min="9" max="9" width="12" bestFit="1" customWidth="1"/>
    <col min="10" max="10" width="15.77734375" bestFit="1" customWidth="1"/>
    <col min="11" max="11" width="14.6640625" bestFit="1" customWidth="1"/>
    <col min="12" max="12" width="15.44140625" bestFit="1" customWidth="1"/>
    <col min="13" max="13" width="21.5546875" bestFit="1" customWidth="1"/>
    <col min="14" max="14" width="26.5546875" hidden="1" customWidth="1"/>
    <col min="15" max="15" width="10.5546875" customWidth="1"/>
    <col min="16" max="16" width="6.77734375" customWidth="1"/>
    <col min="17" max="17" width="11.5546875" customWidth="1"/>
    <col min="18" max="18" width="8.5546875" bestFit="1" customWidth="1"/>
    <col min="19" max="19" width="22.5546875" bestFit="1" customWidth="1"/>
    <col min="20" max="20" width="14" bestFit="1" customWidth="1"/>
    <col min="21" max="21" width="15.109375" bestFit="1" customWidth="1"/>
    <col min="22" max="22" width="8.77734375" customWidth="1"/>
    <col min="24" max="24" width="14.44140625" customWidth="1"/>
    <col min="25" max="25" width="16.109375" customWidth="1"/>
    <col min="26" max="26" width="8.5546875" bestFit="1" customWidth="1"/>
    <col min="27" max="27" width="5.5546875" bestFit="1" customWidth="1"/>
    <col min="28" max="28" width="8.5546875" bestFit="1" customWidth="1"/>
    <col min="29" max="29" width="4.5546875" bestFit="1" customWidth="1"/>
    <col min="33" max="33" width="12.6640625" bestFit="1" customWidth="1"/>
    <col min="34" max="34" width="12.88671875" bestFit="1" customWidth="1"/>
    <col min="35" max="35" width="12.6640625" bestFit="1" customWidth="1"/>
    <col min="36" max="36" width="12" bestFit="1" customWidth="1"/>
    <col min="37" max="37" width="12.6640625" bestFit="1" customWidth="1"/>
    <col min="38" max="38" width="8.44140625" bestFit="1" customWidth="1"/>
    <col min="39" max="39" width="11.5546875" bestFit="1" customWidth="1"/>
    <col min="40" max="40" width="10.6640625" bestFit="1" customWidth="1"/>
    <col min="41" max="41" width="15.77734375" bestFit="1" customWidth="1"/>
    <col min="43" max="44" width="12" bestFit="1" customWidth="1"/>
    <col min="46" max="46" width="8.5546875" bestFit="1" customWidth="1"/>
  </cols>
  <sheetData>
    <row r="1" spans="1:46" x14ac:dyDescent="0.3">
      <c r="B1" s="3" t="s">
        <v>28</v>
      </c>
      <c r="C1" s="3">
        <v>8.15</v>
      </c>
      <c r="D1" s="3">
        <v>38.78</v>
      </c>
      <c r="E1" s="3">
        <v>26.21</v>
      </c>
      <c r="F1" s="3">
        <v>55.07</v>
      </c>
      <c r="G1" s="3">
        <v>3.81</v>
      </c>
      <c r="H1" s="3">
        <v>3.4</v>
      </c>
      <c r="I1" s="3">
        <v>152.22999999999999</v>
      </c>
      <c r="K1" t="s">
        <v>29</v>
      </c>
      <c r="L1" t="s">
        <v>30</v>
      </c>
      <c r="M1">
        <v>30000</v>
      </c>
      <c r="O1" t="s">
        <v>31</v>
      </c>
      <c r="P1" t="s">
        <v>30</v>
      </c>
      <c r="Q1">
        <v>9.6</v>
      </c>
      <c r="S1" t="s">
        <v>32</v>
      </c>
      <c r="T1">
        <v>-1</v>
      </c>
      <c r="Y1" t="s">
        <v>33</v>
      </c>
      <c r="Z1">
        <v>15000</v>
      </c>
      <c r="AB1" t="s">
        <v>30</v>
      </c>
      <c r="AC1">
        <v>20</v>
      </c>
    </row>
    <row r="2" spans="1:46" x14ac:dyDescent="0.3">
      <c r="B2" s="3" t="s">
        <v>34</v>
      </c>
      <c r="C2">
        <v>0.08</v>
      </c>
      <c r="D2">
        <v>9999</v>
      </c>
      <c r="E2">
        <v>0.15</v>
      </c>
      <c r="F2">
        <v>-0.2</v>
      </c>
      <c r="G2">
        <v>7.0000000000000007E-2</v>
      </c>
      <c r="H2">
        <v>0.02</v>
      </c>
      <c r="I2">
        <v>3.6</v>
      </c>
      <c r="L2" t="s">
        <v>35</v>
      </c>
      <c r="M2">
        <v>10000</v>
      </c>
      <c r="P2" t="s">
        <v>36</v>
      </c>
      <c r="Q2">
        <v>-0.5</v>
      </c>
    </row>
    <row r="3" spans="1:46" x14ac:dyDescent="0.3">
      <c r="B3" s="3" t="s">
        <v>37</v>
      </c>
      <c r="C3">
        <v>0.4</v>
      </c>
      <c r="D3">
        <v>0</v>
      </c>
      <c r="E3">
        <v>0.3</v>
      </c>
      <c r="F3">
        <v>0.1</v>
      </c>
      <c r="G3">
        <v>0.1</v>
      </c>
      <c r="H3">
        <v>0</v>
      </c>
      <c r="I3">
        <v>0.1</v>
      </c>
      <c r="T3">
        <v>20</v>
      </c>
    </row>
    <row r="4" spans="1:46" x14ac:dyDescent="0.3">
      <c r="B4" s="3" t="s">
        <v>524</v>
      </c>
      <c r="C4">
        <f>CORREL(C7:C67,$T7:$T67)</f>
        <v>-0.41493365494793305</v>
      </c>
      <c r="D4">
        <f t="shared" ref="D4:I4" si="0">CORREL(D7:D67,$T7:$T67)</f>
        <v>0.16671109632475423</v>
      </c>
      <c r="E4">
        <f t="shared" si="0"/>
        <v>-0.57575834872498211</v>
      </c>
      <c r="F4">
        <f t="shared" si="0"/>
        <v>0.16445872977277254</v>
      </c>
      <c r="G4">
        <f t="shared" si="0"/>
        <v>-0.22246180120528511</v>
      </c>
      <c r="H4">
        <f t="shared" si="0"/>
        <v>-0.45166930298512814</v>
      </c>
      <c r="I4">
        <f t="shared" si="0"/>
        <v>0.35420311999635934</v>
      </c>
      <c r="K4">
        <f>CORREL(Q7:Q67,$T7:$T67)</f>
        <v>0.35769536781365097</v>
      </c>
      <c r="O4">
        <f>CORREL(N7:N67,$T7:$T67)</f>
        <v>-0.11964960027862877</v>
      </c>
      <c r="U4">
        <v>3</v>
      </c>
      <c r="Z4">
        <v>12</v>
      </c>
      <c r="AA4">
        <v>20</v>
      </c>
      <c r="AB4">
        <v>32</v>
      </c>
      <c r="AC4">
        <v>28</v>
      </c>
    </row>
    <row r="5" spans="1:46" x14ac:dyDescent="0.3">
      <c r="X5" s="20" t="s">
        <v>525</v>
      </c>
      <c r="Y5" s="20"/>
    </row>
    <row r="6" spans="1:46" x14ac:dyDescent="0.3">
      <c r="A6" s="15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22</v>
      </c>
      <c r="U6" s="1" t="s">
        <v>23</v>
      </c>
      <c r="V6" s="1" t="s">
        <v>38</v>
      </c>
      <c r="W6" s="1" t="s">
        <v>39</v>
      </c>
      <c r="X6" s="1" t="s">
        <v>526</v>
      </c>
      <c r="Y6" s="1" t="s">
        <v>527</v>
      </c>
      <c r="Z6" s="1" t="s">
        <v>24</v>
      </c>
      <c r="AA6" s="1" t="s">
        <v>25</v>
      </c>
      <c r="AB6" s="1" t="s">
        <v>26</v>
      </c>
      <c r="AC6" s="1" t="s">
        <v>27</v>
      </c>
      <c r="AG6" s="1" t="s">
        <v>2</v>
      </c>
      <c r="AH6" s="1" t="s">
        <v>3</v>
      </c>
      <c r="AI6" s="1" t="s">
        <v>4</v>
      </c>
      <c r="AJ6" s="1" t="s">
        <v>5</v>
      </c>
      <c r="AK6" s="1" t="s">
        <v>6</v>
      </c>
      <c r="AL6" s="1" t="s">
        <v>7</v>
      </c>
      <c r="AM6" s="1" t="s">
        <v>8</v>
      </c>
      <c r="AN6" s="1" t="s">
        <v>16</v>
      </c>
      <c r="AO6" s="1" t="s">
        <v>9</v>
      </c>
      <c r="AQ6" s="4" t="s">
        <v>38</v>
      </c>
      <c r="AR6" s="4" t="s">
        <v>39</v>
      </c>
      <c r="AT6" s="5" t="s">
        <v>40</v>
      </c>
    </row>
    <row r="7" spans="1:46" hidden="1" x14ac:dyDescent="0.3">
      <c r="A7" s="16">
        <v>45519</v>
      </c>
      <c r="B7" s="17" t="s">
        <v>19</v>
      </c>
      <c r="C7" s="14">
        <v>8.0860000000000003</v>
      </c>
      <c r="D7" s="14">
        <v>37.166666666666657</v>
      </c>
      <c r="E7" s="14">
        <v>28.086666666666659</v>
      </c>
      <c r="F7" s="14">
        <v>55.72</v>
      </c>
      <c r="G7" s="14">
        <v>3.63</v>
      </c>
      <c r="H7" s="14">
        <v>3.22</v>
      </c>
      <c r="I7" s="14">
        <v>138.83333333333329</v>
      </c>
      <c r="J7" s="14">
        <v>10.507669250412389</v>
      </c>
      <c r="K7" s="14">
        <v>4.2344856454677596E-3</v>
      </c>
      <c r="L7" s="14">
        <v>4.4494574608194247E-2</v>
      </c>
      <c r="M7" s="14">
        <f>$T$3</f>
        <v>20</v>
      </c>
      <c r="N7" s="14">
        <v>2.6058757321389681E-3</v>
      </c>
      <c r="O7" s="14">
        <v>5225</v>
      </c>
      <c r="P7" s="14">
        <v>106.7710862631112</v>
      </c>
      <c r="Q7" s="14">
        <v>10865.212799999999</v>
      </c>
      <c r="R7" s="14">
        <v>1.2999999999999999E-2</v>
      </c>
      <c r="S7" s="14">
        <f>$T$3</f>
        <v>20</v>
      </c>
      <c r="T7" s="14">
        <f>AVERAGE(AQ7:AR7)</f>
        <v>12.443557984466246</v>
      </c>
      <c r="U7" s="14">
        <f t="shared" ref="U7:U67" si="1">VLOOKUP($AT7,ggg,U$4,0)</f>
        <v>15.31</v>
      </c>
      <c r="V7" s="14">
        <f>M7+SUM(AG7:AO7)+$T$1+R7/$Z$1</f>
        <v>12.79212279928106</v>
      </c>
      <c r="W7" s="14">
        <f>M7+SUM(AG7:AO7)+$T$1+R7/$Z$1-AJ7-AM7</f>
        <v>12.094993169651429</v>
      </c>
      <c r="X7" s="14">
        <f t="shared" ref="X7:X67" si="2">VLOOKUP($AT7,fff,3,)</f>
        <v>15.81</v>
      </c>
      <c r="Y7" s="14">
        <f t="shared" ref="Y7:Y67" si="3">VLOOKUP($AT7,fff,2,)</f>
        <v>16.97</v>
      </c>
      <c r="Z7" s="14">
        <f t="shared" ref="Z7:AC26" si="4">VLOOKUP($AT7,ggg,Z$4,0)</f>
        <v>7.89</v>
      </c>
      <c r="AA7" s="14">
        <f t="shared" si="4"/>
        <v>26.62</v>
      </c>
      <c r="AB7" s="14">
        <f t="shared" si="4"/>
        <v>3.24</v>
      </c>
      <c r="AC7" s="14">
        <f t="shared" si="4"/>
        <v>3.58</v>
      </c>
      <c r="AG7">
        <f>C$3*(C$1-C7)/C$2</f>
        <v>0.32000000000000034</v>
      </c>
      <c r="AH7">
        <f>D$3*(D$1-D7)/D$2</f>
        <v>0</v>
      </c>
      <c r="AI7">
        <f>E$3*(E$1-E7)/E$2</f>
        <v>-3.7533333333333161</v>
      </c>
      <c r="AJ7">
        <f>F$3*(F$1-F7)/F$2</f>
        <v>0.32499999999999929</v>
      </c>
      <c r="AK7">
        <f>G$3*(G$1-G7)/G$2</f>
        <v>0.25714285714285734</v>
      </c>
      <c r="AL7">
        <f>H$3*(H$1-H7)/H$2</f>
        <v>0</v>
      </c>
      <c r="AM7">
        <f>I$3*(I$1-I7)/I$2</f>
        <v>0.3721296296296307</v>
      </c>
      <c r="AN7">
        <f>(Q7-$M$1)/$M$2</f>
        <v>-1.9134787199999999</v>
      </c>
      <c r="AO7">
        <f>(J7-$Q$1)/$Q$2</f>
        <v>-1.8153385008247795</v>
      </c>
      <c r="AQ7">
        <f>M7+SUM(AG7:AO7)+$T$1+R7/$Z$1</f>
        <v>12.79212279928106</v>
      </c>
      <c r="AR7">
        <f>M7+SUM(AG7:AO7)+$T$1+R7/$Z$1-AJ7-AM7</f>
        <v>12.094993169651429</v>
      </c>
      <c r="AT7" t="str">
        <f>A7&amp;B7</f>
        <v>45519B</v>
      </c>
    </row>
    <row r="8" spans="1:46" hidden="1" x14ac:dyDescent="0.3">
      <c r="A8" s="16">
        <v>45519</v>
      </c>
      <c r="B8" s="17" t="s">
        <v>20</v>
      </c>
      <c r="C8" s="14">
        <v>7.89</v>
      </c>
      <c r="D8" s="14">
        <v>39.25</v>
      </c>
      <c r="E8" s="14">
        <v>26.625</v>
      </c>
      <c r="F8" s="14">
        <v>55.74</v>
      </c>
      <c r="G8" s="14">
        <v>3.58</v>
      </c>
      <c r="H8" s="14">
        <v>3.2349999999999999</v>
      </c>
      <c r="I8" s="14">
        <v>146.25</v>
      </c>
      <c r="J8" s="14">
        <v>7.2239089590873906</v>
      </c>
      <c r="K8" s="14">
        <v>1.4484465577777319E-3</v>
      </c>
      <c r="L8" s="14">
        <v>1.0463446065489849E-2</v>
      </c>
      <c r="M8" s="14">
        <f t="shared" ref="M8:M67" si="5">$T$3</f>
        <v>20</v>
      </c>
      <c r="N8" s="14">
        <v>2.5948792763064981E-3</v>
      </c>
      <c r="O8" s="14">
        <v>5225.0000000000009</v>
      </c>
      <c r="P8" s="14">
        <v>81.345487516676016</v>
      </c>
      <c r="Q8" s="14">
        <v>3806.8319999999999</v>
      </c>
      <c r="R8" s="14">
        <v>1.7999999999999999E-2</v>
      </c>
      <c r="S8" s="14">
        <f t="shared" ref="S8:S67" si="6">$T$3</f>
        <v>20</v>
      </c>
      <c r="T8" s="14">
        <f t="shared" ref="T8:T67" si="7">AVERAGE(AQ8:AR8)</f>
        <v>22.18199346595221</v>
      </c>
      <c r="U8" s="14">
        <f t="shared" si="1"/>
        <v>15.86</v>
      </c>
      <c r="V8" s="14">
        <f t="shared" ref="V8:V67" si="8">M8+SUM(AG8:AO8)+$T$1+R8/$Z$1</f>
        <v>22.432549021507764</v>
      </c>
      <c r="W8" s="14">
        <f t="shared" ref="W8:W67" si="9">M8+SUM(AG8:AO8)+$T$1+R8/$Z$1-AJ8-AM8</f>
        <v>21.931437910396653</v>
      </c>
      <c r="X8" s="14" t="e">
        <f t="shared" si="2"/>
        <v>#N/A</v>
      </c>
      <c r="Y8" s="14" t="e">
        <f t="shared" si="3"/>
        <v>#N/A</v>
      </c>
      <c r="Z8" s="14">
        <f t="shared" si="4"/>
        <v>8.1999999999999993</v>
      </c>
      <c r="AA8" s="14">
        <f t="shared" si="4"/>
        <v>25.44</v>
      </c>
      <c r="AB8" s="14">
        <f t="shared" si="4"/>
        <v>3.37</v>
      </c>
      <c r="AC8" s="14">
        <f t="shared" si="4"/>
        <v>3.58</v>
      </c>
      <c r="AG8">
        <f>C$3*(C$1-C8)/C$2</f>
        <v>1.3000000000000034</v>
      </c>
      <c r="AH8">
        <f>D$3*(D$1-D8)/D$2</f>
        <v>0</v>
      </c>
      <c r="AI8">
        <f>E$3*(E$1-E8)/E$2</f>
        <v>-0.82999999999999829</v>
      </c>
      <c r="AJ8">
        <f>F$3*(F$1-F8)/F$2</f>
        <v>0.33500000000000085</v>
      </c>
      <c r="AK8">
        <f>G$3*(G$1-G8)/G$2</f>
        <v>0.32857142857142851</v>
      </c>
      <c r="AL8">
        <f>H$3*(H$1-H8)/H$2</f>
        <v>0</v>
      </c>
      <c r="AM8">
        <f>I$3*(I$1-I8)/I$2</f>
        <v>0.16611111111111082</v>
      </c>
      <c r="AN8">
        <f t="shared" ref="AN8:AN67" si="10">(Q8-$M$1)/$M$2</f>
        <v>-2.6193168</v>
      </c>
      <c r="AO8">
        <f t="shared" ref="AO8:AO67" si="11">(J8-$Q$1)/$Q$2</f>
        <v>4.7521820818252181</v>
      </c>
      <c r="AQ8">
        <f t="shared" ref="AQ8:AQ67" si="12">M8+SUM(AG8:AO8)+$T$1+R8/$Z$1</f>
        <v>22.432549021507764</v>
      </c>
      <c r="AR8">
        <f t="shared" ref="AR8:AR67" si="13">M8+SUM(AG8:AO8)+$T$1+R8/$Z$1-AJ8-AM8</f>
        <v>21.931437910396653</v>
      </c>
      <c r="AT8" t="str">
        <f t="shared" ref="AT8:AT67" si="14">A8&amp;B8</f>
        <v>45519C</v>
      </c>
    </row>
    <row r="9" spans="1:46" hidden="1" x14ac:dyDescent="0.3">
      <c r="A9" s="16">
        <v>45520</v>
      </c>
      <c r="B9" s="17" t="s">
        <v>21</v>
      </c>
      <c r="C9" s="14">
        <v>8.1999999999999993</v>
      </c>
      <c r="D9" s="14">
        <v>39</v>
      </c>
      <c r="E9" s="14">
        <v>25.445</v>
      </c>
      <c r="F9" s="14">
        <v>55.74</v>
      </c>
      <c r="G9" s="14">
        <v>3.58</v>
      </c>
      <c r="H9" s="14">
        <v>3.37</v>
      </c>
      <c r="I9" s="14">
        <v>149</v>
      </c>
      <c r="J9" s="14">
        <v>7.4219118608778283</v>
      </c>
      <c r="K9" s="14">
        <v>8.3531419070328374E-3</v>
      </c>
      <c r="L9" s="14">
        <v>6.1996282995402663E-2</v>
      </c>
      <c r="M9" s="14">
        <f t="shared" si="5"/>
        <v>20</v>
      </c>
      <c r="N9" s="14">
        <v>2.5915627511012129E-3</v>
      </c>
      <c r="O9" s="14">
        <v>5225</v>
      </c>
      <c r="P9" s="14">
        <v>81.242412002087235</v>
      </c>
      <c r="Q9" s="14">
        <v>8873.2800000000007</v>
      </c>
      <c r="R9" s="14">
        <v>5.0000000000000001E-3</v>
      </c>
      <c r="S9" s="14">
        <f t="shared" si="6"/>
        <v>20</v>
      </c>
      <c r="T9" s="14">
        <f t="shared" si="7"/>
        <v>23.064437151260222</v>
      </c>
      <c r="U9" s="14">
        <f t="shared" si="1"/>
        <v>20.079999999999998</v>
      </c>
      <c r="V9" s="14">
        <f t="shared" si="8"/>
        <v>23.276798262371333</v>
      </c>
      <c r="W9" s="14">
        <f t="shared" si="9"/>
        <v>22.852076040149111</v>
      </c>
      <c r="X9" s="14">
        <f t="shared" si="2"/>
        <v>20.83</v>
      </c>
      <c r="Y9" s="14">
        <f t="shared" si="3"/>
        <v>22.77</v>
      </c>
      <c r="Z9" s="14">
        <f t="shared" si="4"/>
        <v>8.08</v>
      </c>
      <c r="AA9" s="14">
        <f t="shared" si="4"/>
        <v>25.77</v>
      </c>
      <c r="AB9" s="14">
        <f t="shared" si="4"/>
        <v>3.34</v>
      </c>
      <c r="AC9" s="14">
        <f t="shared" si="4"/>
        <v>3.58</v>
      </c>
      <c r="AG9">
        <f>C$3*(C$1-C9)/C$2</f>
        <v>-0.24999999999999467</v>
      </c>
      <c r="AH9">
        <f>D$3*(D$1-D9)/D$2</f>
        <v>0</v>
      </c>
      <c r="AI9">
        <f>E$3*(E$1-E9)/E$2</f>
        <v>1.5300000000000011</v>
      </c>
      <c r="AJ9">
        <f>F$3*(F$1-F9)/F$2</f>
        <v>0.33500000000000085</v>
      </c>
      <c r="AK9">
        <f>G$3*(G$1-G9)/G$2</f>
        <v>0.32857142857142851</v>
      </c>
      <c r="AL9">
        <f>H$3*(H$1-H9)/H$2</f>
        <v>0</v>
      </c>
      <c r="AM9">
        <f>I$3*(I$1-I9)/I$2</f>
        <v>8.972222222222194E-2</v>
      </c>
      <c r="AN9">
        <f t="shared" si="10"/>
        <v>-2.1126720000000003</v>
      </c>
      <c r="AO9">
        <f t="shared" si="11"/>
        <v>4.3561762782443427</v>
      </c>
      <c r="AQ9">
        <f t="shared" si="12"/>
        <v>23.276798262371333</v>
      </c>
      <c r="AR9">
        <f t="shared" si="13"/>
        <v>22.852076040149111</v>
      </c>
      <c r="AT9" t="str">
        <f t="shared" si="14"/>
        <v>45520A</v>
      </c>
    </row>
    <row r="10" spans="1:46" hidden="1" x14ac:dyDescent="0.3">
      <c r="A10" s="16">
        <v>45520</v>
      </c>
      <c r="B10" s="17" t="s">
        <v>19</v>
      </c>
      <c r="C10" s="14">
        <v>7.9680000000000009</v>
      </c>
      <c r="D10" s="14">
        <v>37.75</v>
      </c>
      <c r="E10" s="14">
        <v>25.438749999999999</v>
      </c>
      <c r="F10" s="14">
        <v>55</v>
      </c>
      <c r="G10" s="14">
        <v>3.58</v>
      </c>
      <c r="H10" s="14">
        <v>3.3574999999999999</v>
      </c>
      <c r="I10" s="14">
        <v>147.5</v>
      </c>
      <c r="J10" s="14">
        <v>9.5067343615167541</v>
      </c>
      <c r="K10" s="14">
        <v>2.0434710134890001E-3</v>
      </c>
      <c r="L10" s="14">
        <v>1.9426736100699341E-2</v>
      </c>
      <c r="M10" s="14">
        <f t="shared" si="5"/>
        <v>20</v>
      </c>
      <c r="N10" s="14">
        <v>2.5921595610562949E-3</v>
      </c>
      <c r="O10" s="14">
        <v>5225</v>
      </c>
      <c r="P10" s="14">
        <v>81.256480687235168</v>
      </c>
      <c r="Q10" s="14">
        <v>5830.76</v>
      </c>
      <c r="R10" s="14">
        <v>1.4E-2</v>
      </c>
      <c r="S10" s="14">
        <f t="shared" si="6"/>
        <v>20</v>
      </c>
      <c r="T10" s="14">
        <f t="shared" si="7"/>
        <v>19.598874083315696</v>
      </c>
      <c r="U10" s="14">
        <f t="shared" si="1"/>
        <v>18.809999999999999</v>
      </c>
      <c r="V10" s="14">
        <f t="shared" si="8"/>
        <v>19.64706852776014</v>
      </c>
      <c r="W10" s="14">
        <f t="shared" si="9"/>
        <v>19.550679638871252</v>
      </c>
      <c r="X10" s="14">
        <f t="shared" si="2"/>
        <v>16.93</v>
      </c>
      <c r="Y10" s="14">
        <f t="shared" si="3"/>
        <v>15.72</v>
      </c>
      <c r="Z10" s="14">
        <f t="shared" si="4"/>
        <v>8.1</v>
      </c>
      <c r="AA10" s="14">
        <f t="shared" si="4"/>
        <v>27.27</v>
      </c>
      <c r="AB10" s="14">
        <f t="shared" si="4"/>
        <v>3.34</v>
      </c>
      <c r="AC10" s="14">
        <f t="shared" si="4"/>
        <v>3.7</v>
      </c>
      <c r="AG10">
        <f>C$3*(C$1-C10)/C$2</f>
        <v>0.90999999999999748</v>
      </c>
      <c r="AH10">
        <f>D$3*(D$1-D10)/D$2</f>
        <v>0</v>
      </c>
      <c r="AI10">
        <f>E$3*(E$1-E10)/E$2</f>
        <v>1.542500000000004</v>
      </c>
      <c r="AJ10">
        <f>F$3*(F$1-F10)/F$2</f>
        <v>-3.5000000000000142E-2</v>
      </c>
      <c r="AK10">
        <f>G$3*(G$1-G10)/G$2</f>
        <v>0.32857142857142851</v>
      </c>
      <c r="AL10">
        <f>H$3*(H$1-H10)/H$2</f>
        <v>0</v>
      </c>
      <c r="AM10">
        <f>I$3*(I$1-I10)/I$2</f>
        <v>0.13138888888888861</v>
      </c>
      <c r="AN10">
        <f t="shared" si="10"/>
        <v>-2.4169239999999999</v>
      </c>
      <c r="AO10">
        <f t="shared" si="11"/>
        <v>0.18653127696649108</v>
      </c>
      <c r="AQ10">
        <f t="shared" si="12"/>
        <v>19.64706852776014</v>
      </c>
      <c r="AR10">
        <f t="shared" si="13"/>
        <v>19.550679638871252</v>
      </c>
      <c r="AT10" t="str">
        <f t="shared" si="14"/>
        <v>45520B</v>
      </c>
    </row>
    <row r="11" spans="1:46" hidden="1" x14ac:dyDescent="0.3">
      <c r="A11" s="16">
        <v>45520</v>
      </c>
      <c r="B11" s="17" t="s">
        <v>20</v>
      </c>
      <c r="C11" s="14">
        <v>8.1399999999999988</v>
      </c>
      <c r="D11" s="14">
        <v>38</v>
      </c>
      <c r="E11" s="14">
        <v>27.228571428571431</v>
      </c>
      <c r="F11" s="14">
        <v>55</v>
      </c>
      <c r="G11" s="14">
        <v>3.7</v>
      </c>
      <c r="H11" s="14">
        <v>3.2971428571428572</v>
      </c>
      <c r="I11" s="14">
        <v>143.57142857142861</v>
      </c>
      <c r="J11" s="14">
        <v>11.00852800952725</v>
      </c>
      <c r="K11" s="14">
        <v>5.1477463974876382E-3</v>
      </c>
      <c r="L11" s="14">
        <v>5.6669110402685692E-2</v>
      </c>
      <c r="M11" s="14">
        <f t="shared" si="5"/>
        <v>20</v>
      </c>
      <c r="N11" s="14">
        <v>2.6038945401729839E-3</v>
      </c>
      <c r="O11" s="14">
        <v>5225</v>
      </c>
      <c r="P11" s="14">
        <v>103.2974578802652</v>
      </c>
      <c r="Q11" s="14">
        <v>17082.96</v>
      </c>
      <c r="R11" s="14">
        <v>1.4999999999999999E-2</v>
      </c>
      <c r="S11" s="14">
        <f t="shared" si="6"/>
        <v>20</v>
      </c>
      <c r="T11" s="14">
        <f t="shared" si="7"/>
        <v>13.163998917453437</v>
      </c>
      <c r="U11" s="14">
        <f t="shared" si="1"/>
        <v>16.03</v>
      </c>
      <c r="V11" s="14">
        <f t="shared" si="8"/>
        <v>13.266756853961374</v>
      </c>
      <c r="W11" s="14">
        <f t="shared" si="9"/>
        <v>13.061240980945502</v>
      </c>
      <c r="X11" s="14" t="e">
        <f t="shared" si="2"/>
        <v>#N/A</v>
      </c>
      <c r="Y11" s="14" t="e">
        <f t="shared" si="3"/>
        <v>#N/A</v>
      </c>
      <c r="Z11" s="14">
        <f t="shared" si="4"/>
        <v>8.4499999999999993</v>
      </c>
      <c r="AA11" s="14">
        <f t="shared" si="4"/>
        <v>26.6</v>
      </c>
      <c r="AB11" s="14">
        <f t="shared" si="4"/>
        <v>3.44</v>
      </c>
      <c r="AC11" s="14">
        <f t="shared" si="4"/>
        <v>3.7</v>
      </c>
      <c r="AG11">
        <f>C$3*(C$1-C11)/C$2</f>
        <v>5.0000000000007816E-2</v>
      </c>
      <c r="AH11">
        <f>D$3*(D$1-D11)/D$2</f>
        <v>0</v>
      </c>
      <c r="AI11">
        <f>E$3*(E$1-E11)/E$2</f>
        <v>-2.0371428571428609</v>
      </c>
      <c r="AJ11">
        <f>F$3*(F$1-F11)/F$2</f>
        <v>-3.5000000000000142E-2</v>
      </c>
      <c r="AK11">
        <f>G$3*(G$1-G11)/G$2</f>
        <v>0.15714285714285697</v>
      </c>
      <c r="AL11">
        <f>H$3*(H$1-H11)/H$2</f>
        <v>0</v>
      </c>
      <c r="AM11">
        <f>I$3*(I$1-I11)/I$2</f>
        <v>0.2405158730158716</v>
      </c>
      <c r="AN11">
        <f t="shared" si="10"/>
        <v>-1.2917040000000002</v>
      </c>
      <c r="AO11">
        <f t="shared" si="11"/>
        <v>-2.8170560190545011</v>
      </c>
      <c r="AQ11">
        <f t="shared" si="12"/>
        <v>13.266756853961374</v>
      </c>
      <c r="AR11">
        <f t="shared" si="13"/>
        <v>13.061240980945502</v>
      </c>
      <c r="AT11" t="str">
        <f t="shared" si="14"/>
        <v>45520C</v>
      </c>
    </row>
    <row r="12" spans="1:46" hidden="1" x14ac:dyDescent="0.3">
      <c r="A12" s="16">
        <v>45523</v>
      </c>
      <c r="B12" s="17" t="s">
        <v>21</v>
      </c>
      <c r="C12" s="14">
        <v>8.4500000000000011</v>
      </c>
      <c r="D12" s="14">
        <v>39</v>
      </c>
      <c r="E12" s="14">
        <v>26.533333333333331</v>
      </c>
      <c r="F12" s="14">
        <v>55</v>
      </c>
      <c r="G12" s="14">
        <v>3.7</v>
      </c>
      <c r="H12" s="14">
        <v>3.4266666666666659</v>
      </c>
      <c r="I12" s="14">
        <v>150.66666666666671</v>
      </c>
      <c r="J12" s="14">
        <v>8.9054512705763091</v>
      </c>
      <c r="K12" s="14">
        <v>8.3200540638979862E-3</v>
      </c>
      <c r="L12" s="14">
        <v>7.4093836034603913E-2</v>
      </c>
      <c r="M12" s="14">
        <f t="shared" si="5"/>
        <v>20</v>
      </c>
      <c r="N12" s="14">
        <v>2.5905366626417601E-3</v>
      </c>
      <c r="O12" s="14">
        <v>5225</v>
      </c>
      <c r="P12" s="14">
        <v>81.777989542969479</v>
      </c>
      <c r="Q12" s="14">
        <v>25728.639999999999</v>
      </c>
      <c r="R12" s="14">
        <v>1.4999999999999999E-2</v>
      </c>
      <c r="S12" s="14">
        <f t="shared" si="6"/>
        <v>20</v>
      </c>
      <c r="T12" s="14">
        <f t="shared" si="7"/>
        <v>17.976651612286538</v>
      </c>
      <c r="U12" s="14">
        <f t="shared" si="1"/>
        <v>15.37</v>
      </c>
      <c r="V12" s="14">
        <f t="shared" si="8"/>
        <v>17.980864575249498</v>
      </c>
      <c r="W12" s="14">
        <f t="shared" si="9"/>
        <v>17.972438649323575</v>
      </c>
      <c r="X12" s="14">
        <f t="shared" si="2"/>
        <v>15.1</v>
      </c>
      <c r="Y12" s="14">
        <f t="shared" si="3"/>
        <v>14.66</v>
      </c>
      <c r="Z12" s="14">
        <f t="shared" si="4"/>
        <v>8.43</v>
      </c>
      <c r="AA12" s="14">
        <f t="shared" si="4"/>
        <v>28.38</v>
      </c>
      <c r="AB12" s="14">
        <f t="shared" si="4"/>
        <v>3.51</v>
      </c>
      <c r="AC12" s="14">
        <f t="shared" si="4"/>
        <v>3.96</v>
      </c>
      <c r="AG12">
        <f>C$3*(C$1-C12)/C$2</f>
        <v>-1.5000000000000036</v>
      </c>
      <c r="AH12">
        <f>D$3*(D$1-D12)/D$2</f>
        <v>0</v>
      </c>
      <c r="AI12">
        <f>E$3*(E$1-E12)/E$2</f>
        <v>-0.64666666666666117</v>
      </c>
      <c r="AJ12">
        <f>F$3*(F$1-F12)/F$2</f>
        <v>-3.5000000000000142E-2</v>
      </c>
      <c r="AK12">
        <f>G$3*(G$1-G12)/G$2</f>
        <v>0.15714285714285697</v>
      </c>
      <c r="AL12">
        <f>H$3*(H$1-H12)/H$2</f>
        <v>0</v>
      </c>
      <c r="AM12">
        <f>I$3*(I$1-I12)/I$2</f>
        <v>4.3425925925924327E-2</v>
      </c>
      <c r="AN12">
        <f t="shared" si="10"/>
        <v>-0.42713600000000007</v>
      </c>
      <c r="AO12">
        <f t="shared" si="11"/>
        <v>1.389097458847381</v>
      </c>
      <c r="AQ12">
        <f t="shared" si="12"/>
        <v>17.980864575249498</v>
      </c>
      <c r="AR12">
        <f t="shared" si="13"/>
        <v>17.972438649323575</v>
      </c>
      <c r="AT12" t="str">
        <f t="shared" si="14"/>
        <v>45523A</v>
      </c>
    </row>
    <row r="13" spans="1:46" hidden="1" x14ac:dyDescent="0.3">
      <c r="A13" s="16">
        <v>45523</v>
      </c>
      <c r="B13" s="17" t="s">
        <v>19</v>
      </c>
      <c r="C13" s="14">
        <v>8.418000000000001</v>
      </c>
      <c r="D13" s="14">
        <v>37.714285714285722</v>
      </c>
      <c r="E13" s="14">
        <v>27.76857142857143</v>
      </c>
      <c r="F13" s="14">
        <v>55.77</v>
      </c>
      <c r="G13" s="14">
        <v>3.96</v>
      </c>
      <c r="H13" s="14">
        <v>3.5371428571428569</v>
      </c>
      <c r="I13" s="14">
        <v>142.42857142857139</v>
      </c>
      <c r="J13" s="14">
        <v>8.7198338177585395</v>
      </c>
      <c r="K13" s="14">
        <v>1.189423875032708E-5</v>
      </c>
      <c r="L13" s="14">
        <v>1.0371578529159611E-4</v>
      </c>
      <c r="M13" s="14">
        <f t="shared" si="5"/>
        <v>20</v>
      </c>
      <c r="N13" s="14">
        <v>2.590922141741725E-3</v>
      </c>
      <c r="O13" s="14">
        <v>5225</v>
      </c>
      <c r="P13" s="14">
        <v>84.364928013832596</v>
      </c>
      <c r="Q13" s="14">
        <v>29.760000000000009</v>
      </c>
      <c r="R13" s="14">
        <v>1.2E-2</v>
      </c>
      <c r="S13" s="14">
        <f t="shared" si="6"/>
        <v>20</v>
      </c>
      <c r="T13" s="14">
        <f t="shared" si="7"/>
        <v>13.403011545435298</v>
      </c>
      <c r="U13" s="14">
        <f t="shared" si="1"/>
        <v>13.68</v>
      </c>
      <c r="V13" s="14">
        <f t="shared" si="8"/>
        <v>13.714142497816251</v>
      </c>
      <c r="W13" s="14">
        <f t="shared" si="9"/>
        <v>13.091880593054345</v>
      </c>
      <c r="X13" s="14">
        <f t="shared" si="2"/>
        <v>10.97</v>
      </c>
      <c r="Y13" s="14">
        <f t="shared" si="3"/>
        <v>10.5</v>
      </c>
      <c r="Z13" s="14">
        <f t="shared" si="4"/>
        <v>8.5</v>
      </c>
      <c r="AA13" s="14">
        <f t="shared" si="4"/>
        <v>27</v>
      </c>
      <c r="AB13" s="14">
        <f t="shared" si="4"/>
        <v>3.65</v>
      </c>
      <c r="AC13" s="14">
        <f t="shared" si="4"/>
        <v>4.04</v>
      </c>
      <c r="AG13">
        <f>C$3*(C$1-C13)/C$2</f>
        <v>-1.3400000000000034</v>
      </c>
      <c r="AH13">
        <f>D$3*(D$1-D13)/D$2</f>
        <v>0</v>
      </c>
      <c r="AI13">
        <f>E$3*(E$1-E13)/E$2</f>
        <v>-3.1171428571428592</v>
      </c>
      <c r="AJ13">
        <f>F$3*(F$1-F13)/F$2</f>
        <v>0.35000000000000142</v>
      </c>
      <c r="AK13">
        <f>G$3*(G$1-G13)/G$2</f>
        <v>-0.21428571428571416</v>
      </c>
      <c r="AL13">
        <f>H$3*(H$1-H13)/H$2</f>
        <v>0</v>
      </c>
      <c r="AM13">
        <f>I$3*(I$1-I13)/I$2</f>
        <v>0.27226190476190559</v>
      </c>
      <c r="AN13">
        <f t="shared" si="10"/>
        <v>-2.9970240000000001</v>
      </c>
      <c r="AO13">
        <f t="shared" si="11"/>
        <v>1.7603323644829203</v>
      </c>
      <c r="AQ13">
        <f t="shared" si="12"/>
        <v>13.714142497816251</v>
      </c>
      <c r="AR13">
        <f t="shared" si="13"/>
        <v>13.091880593054345</v>
      </c>
      <c r="AT13" t="str">
        <f t="shared" si="14"/>
        <v>45523B</v>
      </c>
    </row>
    <row r="14" spans="1:46" hidden="1" x14ac:dyDescent="0.3">
      <c r="A14" s="16">
        <v>45523</v>
      </c>
      <c r="B14" s="17" t="s">
        <v>20</v>
      </c>
      <c r="C14" s="14">
        <v>8.5766666666666662</v>
      </c>
      <c r="D14" s="14">
        <v>38.166666666666657</v>
      </c>
      <c r="E14" s="14">
        <v>27.7</v>
      </c>
      <c r="F14" s="14">
        <v>54.98</v>
      </c>
      <c r="G14" s="14">
        <v>4.04</v>
      </c>
      <c r="H14" s="14">
        <v>3.583333333333333</v>
      </c>
      <c r="I14" s="14">
        <v>144.66666666666671</v>
      </c>
      <c r="J14" s="14">
        <v>10.06349066299633</v>
      </c>
      <c r="K14" s="14">
        <v>5.1473356507806094E-3</v>
      </c>
      <c r="L14" s="14">
        <v>5.1800164260938801E-2</v>
      </c>
      <c r="M14" s="14">
        <f t="shared" si="5"/>
        <v>20</v>
      </c>
      <c r="N14" s="14">
        <v>2.5996326113407E-3</v>
      </c>
      <c r="O14" s="14">
        <v>5225</v>
      </c>
      <c r="P14" s="14">
        <v>102.1592233758239</v>
      </c>
      <c r="Q14" s="14">
        <v>20624.080000000002</v>
      </c>
      <c r="R14" s="14">
        <v>1.7000000000000001E-2</v>
      </c>
      <c r="S14" s="14">
        <f t="shared" si="6"/>
        <v>20</v>
      </c>
      <c r="T14" s="14">
        <f t="shared" si="7"/>
        <v>11.776069341732214</v>
      </c>
      <c r="U14" s="14">
        <f t="shared" si="1"/>
        <v>11.08</v>
      </c>
      <c r="V14" s="14">
        <f t="shared" si="8"/>
        <v>11.858615638028509</v>
      </c>
      <c r="W14" s="14">
        <f t="shared" si="9"/>
        <v>11.693523045435919</v>
      </c>
      <c r="X14" s="14" t="e">
        <f t="shared" si="2"/>
        <v>#N/A</v>
      </c>
      <c r="Y14" s="14" t="e">
        <f t="shared" si="3"/>
        <v>#N/A</v>
      </c>
      <c r="Z14" s="14">
        <f t="shared" si="4"/>
        <v>8.57</v>
      </c>
      <c r="AA14" s="14">
        <f t="shared" si="4"/>
        <v>26.92</v>
      </c>
      <c r="AB14" s="14">
        <f t="shared" si="4"/>
        <v>3.44</v>
      </c>
      <c r="AC14" s="14">
        <f t="shared" si="4"/>
        <v>4.04</v>
      </c>
      <c r="AG14">
        <f>C$3*(C$1-C14)/C$2</f>
        <v>-2.1333333333333293</v>
      </c>
      <c r="AH14">
        <f>D$3*(D$1-D14)/D$2</f>
        <v>0</v>
      </c>
      <c r="AI14">
        <f>E$3*(E$1-E14)/E$2</f>
        <v>-2.9799999999999969</v>
      </c>
      <c r="AJ14">
        <f>F$3*(F$1-F14)/F$2</f>
        <v>-4.5000000000001705E-2</v>
      </c>
      <c r="AK14">
        <f>G$3*(G$1-G14)/G$2</f>
        <v>-0.32857142857142851</v>
      </c>
      <c r="AL14">
        <f>H$3*(H$1-H14)/H$2</f>
        <v>0</v>
      </c>
      <c r="AM14">
        <f>I$3*(I$1-I14)/I$2</f>
        <v>0.210092592592591</v>
      </c>
      <c r="AN14">
        <f t="shared" si="10"/>
        <v>-0.93759199999999987</v>
      </c>
      <c r="AO14">
        <f t="shared" si="11"/>
        <v>-0.92698132599266003</v>
      </c>
      <c r="AQ14">
        <f t="shared" si="12"/>
        <v>11.858615638028509</v>
      </c>
      <c r="AR14">
        <f t="shared" si="13"/>
        <v>11.693523045435919</v>
      </c>
      <c r="AT14" t="str">
        <f t="shared" si="14"/>
        <v>45523C</v>
      </c>
    </row>
    <row r="15" spans="1:46" hidden="1" x14ac:dyDescent="0.3">
      <c r="A15" s="16">
        <v>45524</v>
      </c>
      <c r="B15" s="17" t="s">
        <v>21</v>
      </c>
      <c r="C15" s="14">
        <v>8.5749999999999993</v>
      </c>
      <c r="D15" s="14">
        <v>38.714285714285722</v>
      </c>
      <c r="E15" s="14">
        <v>26.92285714285714</v>
      </c>
      <c r="F15" s="14">
        <v>54.98</v>
      </c>
      <c r="G15" s="14">
        <v>4.04</v>
      </c>
      <c r="H15" s="14">
        <v>3.44</v>
      </c>
      <c r="I15" s="14">
        <v>149.28571428571431</v>
      </c>
      <c r="J15" s="14">
        <v>6.4726133662859997</v>
      </c>
      <c r="K15" s="14">
        <v>4.1169729522164099E-3</v>
      </c>
      <c r="L15" s="14">
        <v>2.6647574159153871E-2</v>
      </c>
      <c r="M15" s="14">
        <f t="shared" si="5"/>
        <v>20</v>
      </c>
      <c r="N15" s="14">
        <v>2.5898461791210091E-3</v>
      </c>
      <c r="O15" s="14">
        <v>5225</v>
      </c>
      <c r="P15" s="14">
        <v>81.986286749257118</v>
      </c>
      <c r="Q15" s="14">
        <v>12766.08</v>
      </c>
      <c r="R15" s="14">
        <v>8.0000000000000002E-3</v>
      </c>
      <c r="S15" s="14">
        <f t="shared" si="6"/>
        <v>20</v>
      </c>
      <c r="T15" s="14">
        <f t="shared" si="7"/>
        <v>19.670488943618487</v>
      </c>
      <c r="U15" s="14">
        <f t="shared" si="1"/>
        <v>12.64</v>
      </c>
      <c r="V15" s="14">
        <f t="shared" si="8"/>
        <v>19.688881800761344</v>
      </c>
      <c r="W15" s="14">
        <f t="shared" si="9"/>
        <v>19.65209608647563</v>
      </c>
      <c r="X15" s="14">
        <f t="shared" si="2"/>
        <v>13.73</v>
      </c>
      <c r="Y15" s="14">
        <f t="shared" si="3"/>
        <v>13.72</v>
      </c>
      <c r="Z15" s="14">
        <f t="shared" si="4"/>
        <v>8.15</v>
      </c>
      <c r="AA15" s="14">
        <f t="shared" si="4"/>
        <v>26.4</v>
      </c>
      <c r="AB15" s="14">
        <f t="shared" si="4"/>
        <v>3.34</v>
      </c>
      <c r="AC15" s="14">
        <f t="shared" si="4"/>
        <v>4.0599999999999996</v>
      </c>
      <c r="AG15">
        <f>C$3*(C$1-C15)/C$2</f>
        <v>-2.1249999999999951</v>
      </c>
      <c r="AH15">
        <f>D$3*(D$1-D15)/D$2</f>
        <v>0</v>
      </c>
      <c r="AI15">
        <f>E$3*(E$1-E15)/E$2</f>
        <v>-1.4257142857142782</v>
      </c>
      <c r="AJ15">
        <f>F$3*(F$1-F15)/F$2</f>
        <v>-4.5000000000001705E-2</v>
      </c>
      <c r="AK15">
        <f>G$3*(G$1-G15)/G$2</f>
        <v>-0.32857142857142851</v>
      </c>
      <c r="AL15">
        <f>H$3*(H$1-H15)/H$2</f>
        <v>0</v>
      </c>
      <c r="AM15">
        <f>I$3*(I$1-I15)/I$2</f>
        <v>8.1785714285713434E-2</v>
      </c>
      <c r="AN15">
        <f t="shared" si="10"/>
        <v>-1.7233919999999998</v>
      </c>
      <c r="AO15">
        <f t="shared" si="11"/>
        <v>6.2547732674279999</v>
      </c>
      <c r="AQ15">
        <f t="shared" si="12"/>
        <v>19.688881800761344</v>
      </c>
      <c r="AR15">
        <f t="shared" si="13"/>
        <v>19.65209608647563</v>
      </c>
      <c r="AT15" t="str">
        <f t="shared" si="14"/>
        <v>45524A</v>
      </c>
    </row>
    <row r="16" spans="1:46" hidden="1" x14ac:dyDescent="0.3">
      <c r="A16" s="16">
        <v>45524</v>
      </c>
      <c r="B16" s="17" t="s">
        <v>19</v>
      </c>
      <c r="C16" s="14">
        <v>8.1980000000000004</v>
      </c>
      <c r="D16" s="14">
        <v>38.714285714285722</v>
      </c>
      <c r="E16" s="14">
        <v>26.12285714285715</v>
      </c>
      <c r="F16" s="14">
        <v>54.44</v>
      </c>
      <c r="G16" s="14">
        <v>4.0599999999999996</v>
      </c>
      <c r="H16" s="14">
        <v>3.4</v>
      </c>
      <c r="I16" s="14">
        <v>142.57142857142861</v>
      </c>
      <c r="J16" s="14">
        <v>8.9531132200430488</v>
      </c>
      <c r="K16" s="14">
        <v>3.8049791107273899E-3</v>
      </c>
      <c r="L16" s="14">
        <v>3.406640877824104E-2</v>
      </c>
      <c r="M16" s="14">
        <f t="shared" si="5"/>
        <v>20</v>
      </c>
      <c r="N16" s="14">
        <v>2.594184921971783E-3</v>
      </c>
      <c r="O16" s="14">
        <v>5225</v>
      </c>
      <c r="P16" s="14">
        <v>90.376785968282292</v>
      </c>
      <c r="Q16" s="14">
        <v>9053.08</v>
      </c>
      <c r="R16" s="14">
        <v>1.6E-2</v>
      </c>
      <c r="S16" s="14">
        <f t="shared" si="6"/>
        <v>20</v>
      </c>
      <c r="T16" s="14">
        <f t="shared" si="7"/>
        <v>17.752872309120239</v>
      </c>
      <c r="U16" s="14">
        <f t="shared" si="1"/>
        <v>14.23</v>
      </c>
      <c r="V16" s="14">
        <f t="shared" si="8"/>
        <v>17.729519134517062</v>
      </c>
      <c r="W16" s="14">
        <f t="shared" si="9"/>
        <v>17.776225483723415</v>
      </c>
      <c r="X16" s="14">
        <f t="shared" si="2"/>
        <v>13.91</v>
      </c>
      <c r="Y16" s="14">
        <f t="shared" si="3"/>
        <v>13.94</v>
      </c>
      <c r="Z16" s="14">
        <f t="shared" si="4"/>
        <v>8.07</v>
      </c>
      <c r="AA16" s="14">
        <f t="shared" si="4"/>
        <v>26.9</v>
      </c>
      <c r="AB16" s="14">
        <f t="shared" si="4"/>
        <v>3.28</v>
      </c>
      <c r="AC16" s="14">
        <f t="shared" si="4"/>
        <v>4.0599999999999996</v>
      </c>
      <c r="AG16">
        <f>C$3*(C$1-C16)/C$2</f>
        <v>-0.24000000000000024</v>
      </c>
      <c r="AH16">
        <f>D$3*(D$1-D16)/D$2</f>
        <v>0</v>
      </c>
      <c r="AI16">
        <f>E$3*(E$1-E16)/E$2</f>
        <v>0.17428571428570194</v>
      </c>
      <c r="AJ16">
        <f>F$3*(F$1-F16)/F$2</f>
        <v>-0.31500000000000128</v>
      </c>
      <c r="AK16">
        <f>G$3*(G$1-G16)/G$2</f>
        <v>-0.35714285714285648</v>
      </c>
      <c r="AL16">
        <f>H$3*(H$1-H16)/H$2</f>
        <v>0</v>
      </c>
      <c r="AM16">
        <f>I$3*(I$1-I16)/I$2</f>
        <v>0.26829365079364942</v>
      </c>
      <c r="AN16">
        <f t="shared" si="10"/>
        <v>-2.0946919999999998</v>
      </c>
      <c r="AO16">
        <f t="shared" si="11"/>
        <v>1.2937735599139017</v>
      </c>
      <c r="AQ16">
        <f t="shared" si="12"/>
        <v>17.729519134517062</v>
      </c>
      <c r="AR16">
        <f t="shared" si="13"/>
        <v>17.776225483723415</v>
      </c>
      <c r="AT16" t="str">
        <f t="shared" si="14"/>
        <v>45524B</v>
      </c>
    </row>
    <row r="17" spans="1:46" hidden="1" x14ac:dyDescent="0.3">
      <c r="A17" s="16">
        <v>45524</v>
      </c>
      <c r="B17" s="17" t="s">
        <v>20</v>
      </c>
      <c r="C17" s="14">
        <v>8.0749999999999993</v>
      </c>
      <c r="D17" s="14">
        <v>38.4</v>
      </c>
      <c r="E17" s="14">
        <v>26.82</v>
      </c>
      <c r="F17" s="14">
        <v>56.44</v>
      </c>
      <c r="G17" s="14">
        <v>4.0599999999999996</v>
      </c>
      <c r="H17" s="14">
        <v>3.2440000000000002</v>
      </c>
      <c r="I17" s="14">
        <v>149</v>
      </c>
      <c r="J17" s="14">
        <v>10.150971185143639</v>
      </c>
      <c r="K17" s="14">
        <v>6.0152016047697009E-3</v>
      </c>
      <c r="L17" s="14">
        <v>6.1060138162847E-2</v>
      </c>
      <c r="M17" s="14">
        <f t="shared" si="5"/>
        <v>20</v>
      </c>
      <c r="N17" s="14">
        <v>2.5953341638572172E-3</v>
      </c>
      <c r="O17" s="14">
        <v>5225</v>
      </c>
      <c r="P17" s="14">
        <v>81.362001561541234</v>
      </c>
      <c r="Q17" s="14">
        <v>29283.16</v>
      </c>
      <c r="R17" s="14">
        <v>2.1999999999999999E-2</v>
      </c>
      <c r="S17" s="14">
        <f t="shared" si="6"/>
        <v>20</v>
      </c>
      <c r="T17" s="14">
        <f t="shared" si="7"/>
        <v>17.011593350347646</v>
      </c>
      <c r="U17" s="14">
        <f t="shared" si="1"/>
        <v>13.98</v>
      </c>
      <c r="V17" s="14">
        <f t="shared" si="8"/>
        <v>17.398954461458757</v>
      </c>
      <c r="W17" s="14">
        <f t="shared" si="9"/>
        <v>16.624232239236537</v>
      </c>
      <c r="X17" s="14" t="e">
        <f t="shared" si="2"/>
        <v>#N/A</v>
      </c>
      <c r="Y17" s="14" t="e">
        <f t="shared" si="3"/>
        <v>#N/A</v>
      </c>
      <c r="Z17" s="14">
        <f t="shared" si="4"/>
        <v>8.11</v>
      </c>
      <c r="AA17" s="14">
        <f t="shared" si="4"/>
        <v>26.22</v>
      </c>
      <c r="AB17" s="14">
        <f t="shared" si="4"/>
        <v>3.25</v>
      </c>
      <c r="AC17" s="14">
        <f t="shared" si="4"/>
        <v>3.65</v>
      </c>
      <c r="AG17">
        <f>C$3*(C$1-C17)/C$2</f>
        <v>0.37500000000000533</v>
      </c>
      <c r="AH17">
        <f>D$3*(D$1-D17)/D$2</f>
        <v>0</v>
      </c>
      <c r="AI17">
        <f>E$3*(E$1-E17)/E$2</f>
        <v>-1.2199999999999989</v>
      </c>
      <c r="AJ17">
        <f>F$3*(F$1-F17)/F$2</f>
        <v>0.68499999999999872</v>
      </c>
      <c r="AK17">
        <f>G$3*(G$1-G17)/G$2</f>
        <v>-0.35714285714285648</v>
      </c>
      <c r="AL17">
        <f>H$3*(H$1-H17)/H$2</f>
        <v>0</v>
      </c>
      <c r="AM17">
        <f>I$3*(I$1-I17)/I$2</f>
        <v>8.972222222222194E-2</v>
      </c>
      <c r="AN17">
        <f t="shared" si="10"/>
        <v>-7.1684000000000012E-2</v>
      </c>
      <c r="AO17">
        <f t="shared" si="11"/>
        <v>-1.1019423702872793</v>
      </c>
      <c r="AQ17">
        <f t="shared" si="12"/>
        <v>17.398954461458757</v>
      </c>
      <c r="AR17">
        <f t="shared" si="13"/>
        <v>16.624232239236537</v>
      </c>
      <c r="AT17" t="str">
        <f t="shared" si="14"/>
        <v>45524C</v>
      </c>
    </row>
    <row r="18" spans="1:46" hidden="1" x14ac:dyDescent="0.3">
      <c r="A18" s="16">
        <v>45525</v>
      </c>
      <c r="B18" s="17" t="s">
        <v>21</v>
      </c>
      <c r="C18" s="14">
        <v>8.1125000000000007</v>
      </c>
      <c r="D18" s="14">
        <v>37.714285714285722</v>
      </c>
      <c r="E18" s="14">
        <v>26.221428571428572</v>
      </c>
      <c r="F18" s="14">
        <v>56.43</v>
      </c>
      <c r="G18" s="14">
        <v>3.65</v>
      </c>
      <c r="H18" s="14">
        <v>3.245714285714286</v>
      </c>
      <c r="I18" s="14">
        <v>147.57142857142861</v>
      </c>
      <c r="J18" s="14">
        <v>6.620025326916533</v>
      </c>
      <c r="K18" s="14">
        <v>1.4588945088583609E-3</v>
      </c>
      <c r="L18" s="14">
        <v>9.6579185979418052E-3</v>
      </c>
      <c r="M18" s="14">
        <f t="shared" si="5"/>
        <v>20</v>
      </c>
      <c r="N18" s="14">
        <v>2.5948877863195829E-3</v>
      </c>
      <c r="O18" s="14">
        <v>5225</v>
      </c>
      <c r="P18" s="14">
        <v>81.331999668133221</v>
      </c>
      <c r="Q18" s="14">
        <v>4569.4799999999996</v>
      </c>
      <c r="R18" s="14">
        <v>1.4999999999999999E-2</v>
      </c>
      <c r="S18" s="14">
        <f t="shared" si="6"/>
        <v>20</v>
      </c>
      <c r="T18" s="14">
        <f t="shared" si="7"/>
        <v>23.214815012833601</v>
      </c>
      <c r="U18" s="14">
        <f t="shared" si="1"/>
        <v>21.47</v>
      </c>
      <c r="V18" s="14">
        <f t="shared" si="8"/>
        <v>23.61951739378598</v>
      </c>
      <c r="W18" s="14">
        <f t="shared" si="9"/>
        <v>22.810112631881221</v>
      </c>
      <c r="X18" s="14">
        <f t="shared" si="2"/>
        <v>23.05</v>
      </c>
      <c r="Y18" s="14">
        <f t="shared" si="3"/>
        <v>22.68</v>
      </c>
      <c r="Z18" s="14">
        <f t="shared" si="4"/>
        <v>7.9</v>
      </c>
      <c r="AA18" s="14">
        <f t="shared" si="4"/>
        <v>25.9</v>
      </c>
      <c r="AB18" s="14">
        <f t="shared" si="4"/>
        <v>3.32</v>
      </c>
      <c r="AC18" s="14">
        <f t="shared" si="4"/>
        <v>3.65</v>
      </c>
      <c r="AG18">
        <f>C$3*(C$1-C18)/C$2</f>
        <v>0.18749999999999822</v>
      </c>
      <c r="AH18">
        <f>D$3*(D$1-D18)/D$2</f>
        <v>0</v>
      </c>
      <c r="AI18">
        <f>E$3*(E$1-E18)/E$2</f>
        <v>-2.2857142857141355E-2</v>
      </c>
      <c r="AJ18">
        <f>F$3*(F$1-F18)/F$2</f>
        <v>0.67999999999999972</v>
      </c>
      <c r="AK18">
        <f>G$3*(G$1-G18)/G$2</f>
        <v>0.22857142857142876</v>
      </c>
      <c r="AL18">
        <f>H$3*(H$1-H18)/H$2</f>
        <v>0</v>
      </c>
      <c r="AM18">
        <f>I$3*(I$1-I18)/I$2</f>
        <v>0.1294047619047605</v>
      </c>
      <c r="AN18">
        <f t="shared" si="10"/>
        <v>-2.5430519999999999</v>
      </c>
      <c r="AO18">
        <f t="shared" si="11"/>
        <v>5.9599493461669333</v>
      </c>
      <c r="AQ18">
        <f t="shared" si="12"/>
        <v>23.61951739378598</v>
      </c>
      <c r="AR18">
        <f t="shared" si="13"/>
        <v>22.810112631881221</v>
      </c>
      <c r="AT18" t="str">
        <f t="shared" si="14"/>
        <v>45525A</v>
      </c>
    </row>
    <row r="19" spans="1:46" hidden="1" x14ac:dyDescent="0.3">
      <c r="A19" s="16">
        <v>45525</v>
      </c>
      <c r="B19" s="17" t="s">
        <v>19</v>
      </c>
      <c r="C19" s="14">
        <v>7.9249999999999998</v>
      </c>
      <c r="D19" s="14">
        <v>38.200000000000003</v>
      </c>
      <c r="E19" s="14">
        <v>25.582000000000001</v>
      </c>
      <c r="F19" s="14">
        <v>55.79</v>
      </c>
      <c r="G19" s="14">
        <v>3.65</v>
      </c>
      <c r="H19" s="14">
        <v>3.351999999999999</v>
      </c>
      <c r="I19" s="14">
        <v>145</v>
      </c>
      <c r="J19" s="14">
        <v>12.786211408572131</v>
      </c>
      <c r="K19" s="14">
        <v>3.048726928732399E-3</v>
      </c>
      <c r="L19" s="14">
        <v>3.8981667037779263E-2</v>
      </c>
      <c r="M19" s="14">
        <f t="shared" si="5"/>
        <v>20</v>
      </c>
      <c r="N19" s="14">
        <v>2.592609503822865E-3</v>
      </c>
      <c r="O19" s="14">
        <v>5225</v>
      </c>
      <c r="P19" s="14">
        <v>81.276256417102559</v>
      </c>
      <c r="Q19" s="14">
        <v>6827.6</v>
      </c>
      <c r="R19" s="14">
        <v>0.01</v>
      </c>
      <c r="S19" s="14">
        <f t="shared" si="6"/>
        <v>20</v>
      </c>
      <c r="T19" s="14">
        <f t="shared" si="7"/>
        <v>13.200325944760504</v>
      </c>
      <c r="U19" s="14">
        <f t="shared" si="1"/>
        <v>20.350000000000001</v>
      </c>
      <c r="V19" s="14">
        <f t="shared" si="8"/>
        <v>13.48074261142717</v>
      </c>
      <c r="W19" s="14">
        <f t="shared" si="9"/>
        <v>12.919909278093836</v>
      </c>
      <c r="X19" s="14">
        <f t="shared" si="2"/>
        <v>16.170000000000002</v>
      </c>
      <c r="Y19" s="14">
        <f t="shared" si="3"/>
        <v>14.13</v>
      </c>
      <c r="Z19" s="14">
        <f t="shared" si="4"/>
        <v>7.96</v>
      </c>
      <c r="AA19" s="14">
        <f t="shared" si="4"/>
        <v>26.9</v>
      </c>
      <c r="AB19" s="14">
        <f t="shared" si="4"/>
        <v>3.41</v>
      </c>
      <c r="AC19" s="14">
        <f t="shared" si="4"/>
        <v>3.65</v>
      </c>
      <c r="AG19">
        <f>C$3*(C$1-C19)/C$2</f>
        <v>1.1250000000000027</v>
      </c>
      <c r="AH19">
        <f>D$3*(D$1-D19)/D$2</f>
        <v>0</v>
      </c>
      <c r="AI19">
        <f>E$3*(E$1-E19)/E$2</f>
        <v>1.2560000000000002</v>
      </c>
      <c r="AJ19">
        <f>F$3*(F$1-F19)/F$2</f>
        <v>0.35999999999999938</v>
      </c>
      <c r="AK19">
        <f>G$3*(G$1-G19)/G$2</f>
        <v>0.22857142857142876</v>
      </c>
      <c r="AL19">
        <f>H$3*(H$1-H19)/H$2</f>
        <v>0</v>
      </c>
      <c r="AM19">
        <f>I$3*(I$1-I19)/I$2</f>
        <v>0.20083333333333303</v>
      </c>
      <c r="AN19">
        <f t="shared" si="10"/>
        <v>-2.31724</v>
      </c>
      <c r="AO19">
        <f t="shared" si="11"/>
        <v>-6.3724228171442618</v>
      </c>
      <c r="AQ19">
        <f t="shared" si="12"/>
        <v>13.48074261142717</v>
      </c>
      <c r="AR19">
        <f t="shared" si="13"/>
        <v>12.919909278093836</v>
      </c>
      <c r="AT19" t="str">
        <f t="shared" si="14"/>
        <v>45525B</v>
      </c>
    </row>
    <row r="20" spans="1:46" hidden="1" x14ac:dyDescent="0.3">
      <c r="A20" s="16">
        <v>45525</v>
      </c>
      <c r="B20" s="17" t="s">
        <v>20</v>
      </c>
      <c r="C20" s="14">
        <v>8.0299999999999994</v>
      </c>
      <c r="D20" s="14">
        <v>38.5</v>
      </c>
      <c r="E20" s="14">
        <v>26.033333333333331</v>
      </c>
      <c r="F20" s="14">
        <v>55.09</v>
      </c>
      <c r="G20" s="14">
        <v>3.65</v>
      </c>
      <c r="H20" s="14">
        <v>3.395</v>
      </c>
      <c r="I20" s="14">
        <v>142.25</v>
      </c>
      <c r="J20" s="14">
        <v>9.9397398536296055</v>
      </c>
      <c r="K20" s="14">
        <v>7.2732766463186596E-3</v>
      </c>
      <c r="L20" s="14">
        <v>7.2294477747887068E-2</v>
      </c>
      <c r="M20" s="14">
        <f t="shared" si="5"/>
        <v>20</v>
      </c>
      <c r="N20" s="14">
        <v>2.5917474211813638E-3</v>
      </c>
      <c r="O20" s="14">
        <v>5225</v>
      </c>
      <c r="P20" s="14">
        <v>81.217345490340321</v>
      </c>
      <c r="Q20" s="14">
        <v>27303.599999999999</v>
      </c>
      <c r="R20" s="14">
        <v>1.6E-2</v>
      </c>
      <c r="S20" s="14">
        <f t="shared" si="6"/>
        <v>20</v>
      </c>
      <c r="T20" s="14">
        <f t="shared" si="7"/>
        <v>19.376397232423336</v>
      </c>
      <c r="U20" s="14">
        <f t="shared" si="1"/>
        <v>16.21</v>
      </c>
      <c r="V20" s="14">
        <f t="shared" si="8"/>
        <v>19.52000834353445</v>
      </c>
      <c r="W20" s="14">
        <f t="shared" si="9"/>
        <v>19.232786121312227</v>
      </c>
      <c r="X20" s="14" t="e">
        <f t="shared" si="2"/>
        <v>#N/A</v>
      </c>
      <c r="Y20" s="14" t="e">
        <f t="shared" si="3"/>
        <v>#N/A</v>
      </c>
      <c r="Z20" s="14">
        <f t="shared" si="4"/>
        <v>8.3000000000000007</v>
      </c>
      <c r="AA20" s="14">
        <f t="shared" si="4"/>
        <v>26.5</v>
      </c>
      <c r="AB20" s="14">
        <f t="shared" si="4"/>
        <v>3.43</v>
      </c>
      <c r="AC20" s="14">
        <f t="shared" si="4"/>
        <v>3.65</v>
      </c>
      <c r="AG20">
        <f>C$3*(C$1-C20)/C$2</f>
        <v>0.60000000000000508</v>
      </c>
      <c r="AH20">
        <f>D$3*(D$1-D20)/D$2</f>
        <v>0</v>
      </c>
      <c r="AI20">
        <f>E$3*(E$1-E20)/E$2</f>
        <v>0.35333333333333883</v>
      </c>
      <c r="AJ20">
        <f>F$3*(F$1-F20)/F$2</f>
        <v>1.0000000000001563E-2</v>
      </c>
      <c r="AK20">
        <f>G$3*(G$1-G20)/G$2</f>
        <v>0.22857142857142876</v>
      </c>
      <c r="AL20">
        <f>H$3*(H$1-H20)/H$2</f>
        <v>0</v>
      </c>
      <c r="AM20">
        <f>I$3*(I$1-I20)/I$2</f>
        <v>0.27722222222222193</v>
      </c>
      <c r="AN20">
        <f t="shared" si="10"/>
        <v>-0.26964000000000016</v>
      </c>
      <c r="AO20">
        <f t="shared" si="11"/>
        <v>-0.67947970725921181</v>
      </c>
      <c r="AQ20">
        <f t="shared" si="12"/>
        <v>19.52000834353445</v>
      </c>
      <c r="AR20">
        <f t="shared" si="13"/>
        <v>19.232786121312227</v>
      </c>
      <c r="AT20" t="str">
        <f t="shared" si="14"/>
        <v>45525C</v>
      </c>
    </row>
    <row r="21" spans="1:46" hidden="1" x14ac:dyDescent="0.3">
      <c r="A21" s="16">
        <v>45526</v>
      </c>
      <c r="B21" s="17" t="s">
        <v>21</v>
      </c>
      <c r="C21" s="14">
        <v>8.3000000000000007</v>
      </c>
      <c r="D21" s="14">
        <v>38.5</v>
      </c>
      <c r="E21" s="14">
        <v>26.5</v>
      </c>
      <c r="F21" s="14">
        <v>55.08</v>
      </c>
      <c r="G21" s="14">
        <v>3.65</v>
      </c>
      <c r="H21" s="14">
        <v>3.43</v>
      </c>
      <c r="I21" s="14">
        <v>147.5</v>
      </c>
      <c r="J21" s="14">
        <v>8.547786287929739</v>
      </c>
      <c r="K21" s="14">
        <v>5.5408994496284258E-3</v>
      </c>
      <c r="L21" s="14">
        <v>4.7362424338331287E-2</v>
      </c>
      <c r="M21" s="14">
        <f t="shared" si="5"/>
        <v>20</v>
      </c>
      <c r="N21" s="14">
        <v>2.5897974648383692E-3</v>
      </c>
      <c r="O21" s="14">
        <v>5225</v>
      </c>
      <c r="P21" s="14">
        <v>81.1890809489677</v>
      </c>
      <c r="Q21" s="14">
        <v>9577.44</v>
      </c>
      <c r="R21" s="14">
        <v>0.01</v>
      </c>
      <c r="S21" s="14">
        <f t="shared" si="6"/>
        <v>20</v>
      </c>
      <c r="T21" s="14">
        <f t="shared" si="7"/>
        <v>18.028937963823058</v>
      </c>
      <c r="U21" s="14">
        <f t="shared" si="1"/>
        <v>21.21</v>
      </c>
      <c r="V21" s="14">
        <f t="shared" si="8"/>
        <v>18.097132408267502</v>
      </c>
      <c r="W21" s="14">
        <f t="shared" si="9"/>
        <v>17.960743519378614</v>
      </c>
      <c r="X21" s="14">
        <f t="shared" si="2"/>
        <v>20.72</v>
      </c>
      <c r="Y21" s="14">
        <f t="shared" si="3"/>
        <v>17.88</v>
      </c>
      <c r="Z21" s="14">
        <f t="shared" si="4"/>
        <v>7.85</v>
      </c>
      <c r="AA21" s="14">
        <f t="shared" si="4"/>
        <v>25</v>
      </c>
      <c r="AB21" s="14">
        <f t="shared" si="4"/>
        <v>3.37</v>
      </c>
      <c r="AC21" s="14">
        <f t="shared" si="4"/>
        <v>3.65</v>
      </c>
      <c r="AG21">
        <f>C$3*(C$1-C21)/C$2</f>
        <v>-0.75000000000000178</v>
      </c>
      <c r="AH21">
        <f>D$3*(D$1-D21)/D$2</f>
        <v>0</v>
      </c>
      <c r="AI21">
        <f>E$3*(E$1-E21)/E$2</f>
        <v>-0.57999999999999829</v>
      </c>
      <c r="AJ21">
        <f>F$3*(F$1-F21)/F$2</f>
        <v>4.9999999999990052E-3</v>
      </c>
      <c r="AK21">
        <f>G$3*(G$1-G21)/G$2</f>
        <v>0.22857142857142876</v>
      </c>
      <c r="AL21">
        <f>H$3*(H$1-H21)/H$2</f>
        <v>0</v>
      </c>
      <c r="AM21">
        <f>I$3*(I$1-I21)/I$2</f>
        <v>0.13138888888888861</v>
      </c>
      <c r="AN21">
        <f t="shared" si="10"/>
        <v>-2.0422559999999996</v>
      </c>
      <c r="AO21">
        <f t="shared" si="11"/>
        <v>2.1044274241405212</v>
      </c>
      <c r="AQ21">
        <f t="shared" si="12"/>
        <v>18.097132408267502</v>
      </c>
      <c r="AR21">
        <f t="shared" si="13"/>
        <v>17.960743519378614</v>
      </c>
      <c r="AT21" t="str">
        <f t="shared" si="14"/>
        <v>45526A</v>
      </c>
    </row>
    <row r="22" spans="1:46" hidden="1" x14ac:dyDescent="0.3">
      <c r="A22" s="16">
        <v>45526</v>
      </c>
      <c r="B22" s="17" t="s">
        <v>19</v>
      </c>
      <c r="C22" s="14">
        <v>7.9124999999999996</v>
      </c>
      <c r="D22" s="14">
        <v>38.75</v>
      </c>
      <c r="E22" s="14">
        <v>25</v>
      </c>
      <c r="F22" s="14">
        <v>55.08</v>
      </c>
      <c r="G22" s="14">
        <v>3.65</v>
      </c>
      <c r="H22" s="14">
        <v>3.38</v>
      </c>
      <c r="I22" s="14">
        <v>145.5</v>
      </c>
      <c r="J22" s="14">
        <v>8.6556062457569585</v>
      </c>
      <c r="K22" s="14">
        <v>2.8319428526868569E-3</v>
      </c>
      <c r="L22" s="14">
        <v>2.4512182243343141E-2</v>
      </c>
      <c r="M22" s="14">
        <f t="shared" si="5"/>
        <v>20</v>
      </c>
      <c r="N22" s="14">
        <v>2.59188693520419E-3</v>
      </c>
      <c r="O22" s="14">
        <v>5225</v>
      </c>
      <c r="P22" s="14">
        <v>81.239345433938183</v>
      </c>
      <c r="Q22" s="14">
        <v>6499.16</v>
      </c>
      <c r="R22" s="14">
        <v>1.2E-2</v>
      </c>
      <c r="S22" s="14">
        <f t="shared" si="6"/>
        <v>20</v>
      </c>
      <c r="T22" s="14">
        <f t="shared" si="7"/>
        <v>22.470747959279741</v>
      </c>
      <c r="U22" s="14">
        <f t="shared" si="1"/>
        <v>19.45</v>
      </c>
      <c r="V22" s="14">
        <f t="shared" si="8"/>
        <v>22.56672018150196</v>
      </c>
      <c r="W22" s="14">
        <f t="shared" si="9"/>
        <v>22.374775737057519</v>
      </c>
      <c r="X22" s="14">
        <f t="shared" si="2"/>
        <v>17.5</v>
      </c>
      <c r="Y22" s="14">
        <f t="shared" si="3"/>
        <v>17.32</v>
      </c>
      <c r="Z22" s="14">
        <f t="shared" si="4"/>
        <v>7.98</v>
      </c>
      <c r="AA22" s="14">
        <f t="shared" si="4"/>
        <v>27.9</v>
      </c>
      <c r="AB22" s="14">
        <f t="shared" si="4"/>
        <v>3.42</v>
      </c>
      <c r="AC22" s="14">
        <f t="shared" si="4"/>
        <v>3.84</v>
      </c>
      <c r="AG22">
        <f>C$3*(C$1-C22)/C$2</f>
        <v>1.1875000000000036</v>
      </c>
      <c r="AH22">
        <f>D$3*(D$1-D22)/D$2</f>
        <v>0</v>
      </c>
      <c r="AI22">
        <f>E$3*(E$1-E22)/E$2</f>
        <v>2.4200000000000017</v>
      </c>
      <c r="AJ22">
        <f>F$3*(F$1-F22)/F$2</f>
        <v>4.9999999999990052E-3</v>
      </c>
      <c r="AK22">
        <f>G$3*(G$1-G22)/G$2</f>
        <v>0.22857142857142876</v>
      </c>
      <c r="AL22">
        <f>H$3*(H$1-H22)/H$2</f>
        <v>0</v>
      </c>
      <c r="AM22">
        <f>I$3*(I$1-I22)/I$2</f>
        <v>0.18694444444444416</v>
      </c>
      <c r="AN22">
        <f t="shared" si="10"/>
        <v>-2.3500839999999998</v>
      </c>
      <c r="AO22">
        <f t="shared" si="11"/>
        <v>1.8887875084860823</v>
      </c>
      <c r="AQ22">
        <f t="shared" si="12"/>
        <v>22.56672018150196</v>
      </c>
      <c r="AR22">
        <f t="shared" si="13"/>
        <v>22.374775737057519</v>
      </c>
      <c r="AT22" t="str">
        <f t="shared" si="14"/>
        <v>45526B</v>
      </c>
    </row>
    <row r="23" spans="1:46" hidden="1" x14ac:dyDescent="0.3">
      <c r="A23" s="16">
        <v>45526</v>
      </c>
      <c r="B23" s="17" t="s">
        <v>20</v>
      </c>
      <c r="C23" s="14">
        <v>8.07</v>
      </c>
      <c r="D23" s="14">
        <v>37.666666666666657</v>
      </c>
      <c r="E23" s="14">
        <v>26.233333333333331</v>
      </c>
      <c r="F23" s="14">
        <v>55.45333333333334</v>
      </c>
      <c r="G23" s="14">
        <v>3.8450000000000002</v>
      </c>
      <c r="H23" s="14">
        <v>3.5066666666666659</v>
      </c>
      <c r="I23" s="14">
        <v>143</v>
      </c>
      <c r="J23" s="14">
        <v>10.333741320990759</v>
      </c>
      <c r="K23" s="14">
        <v>1.0130450957718969E-2</v>
      </c>
      <c r="L23" s="14">
        <v>0.10468545966205089</v>
      </c>
      <c r="M23" s="14">
        <f t="shared" si="5"/>
        <v>20</v>
      </c>
      <c r="N23" s="14">
        <v>2.5914895514617892E-3</v>
      </c>
      <c r="O23" s="14">
        <v>5225</v>
      </c>
      <c r="P23" s="14">
        <v>81.203207651831775</v>
      </c>
      <c r="Q23" s="14">
        <v>41254.76</v>
      </c>
      <c r="R23" s="14">
        <v>1.4999999999999999E-2</v>
      </c>
      <c r="S23" s="14">
        <f t="shared" si="6"/>
        <v>20</v>
      </c>
      <c r="T23" s="14">
        <f t="shared" si="7"/>
        <v>19.185355469129604</v>
      </c>
      <c r="U23" s="14">
        <f t="shared" si="1"/>
        <v>16.95</v>
      </c>
      <c r="V23" s="14">
        <f t="shared" si="8"/>
        <v>19.409383246907382</v>
      </c>
      <c r="W23" s="14">
        <f t="shared" si="9"/>
        <v>18.961327691351823</v>
      </c>
      <c r="X23" s="14" t="e">
        <f t="shared" si="2"/>
        <v>#N/A</v>
      </c>
      <c r="Y23" s="14" t="e">
        <f t="shared" si="3"/>
        <v>#N/A</v>
      </c>
      <c r="Z23" s="14">
        <f t="shared" si="4"/>
        <v>8.5500000000000007</v>
      </c>
      <c r="AA23" s="14">
        <f t="shared" si="4"/>
        <v>25.61</v>
      </c>
      <c r="AB23" s="14">
        <f t="shared" si="4"/>
        <v>3.59</v>
      </c>
      <c r="AC23" s="14">
        <f t="shared" si="4"/>
        <v>3.84</v>
      </c>
      <c r="AG23">
        <f>C$3*(C$1-C23)/C$2</f>
        <v>0.40000000000000036</v>
      </c>
      <c r="AH23">
        <f>D$3*(D$1-D23)/D$2</f>
        <v>0</v>
      </c>
      <c r="AI23">
        <f>E$3*(E$1-E23)/E$2</f>
        <v>-4.6666666666659751E-2</v>
      </c>
      <c r="AJ23">
        <f>F$3*(F$1-F23)/F$2</f>
        <v>0.19166666666666998</v>
      </c>
      <c r="AK23">
        <f>G$3*(G$1-G23)/G$2</f>
        <v>-5.0000000000000204E-2</v>
      </c>
      <c r="AL23">
        <f>H$3*(H$1-H23)/H$2</f>
        <v>0</v>
      </c>
      <c r="AM23">
        <f>I$3*(I$1-I23)/I$2</f>
        <v>0.25638888888888861</v>
      </c>
      <c r="AN23">
        <f t="shared" si="10"/>
        <v>1.1254760000000001</v>
      </c>
      <c r="AO23">
        <f t="shared" si="11"/>
        <v>-1.467482641981519</v>
      </c>
      <c r="AQ23">
        <f t="shared" si="12"/>
        <v>19.409383246907382</v>
      </c>
      <c r="AR23">
        <f t="shared" si="13"/>
        <v>18.961327691351823</v>
      </c>
      <c r="AT23" t="str">
        <f t="shared" si="14"/>
        <v>45526C</v>
      </c>
    </row>
    <row r="24" spans="1:46" hidden="1" x14ac:dyDescent="0.3">
      <c r="A24" s="16">
        <v>45530</v>
      </c>
      <c r="B24" s="17" t="s">
        <v>21</v>
      </c>
      <c r="C24" s="14">
        <v>8.5500000000000007</v>
      </c>
      <c r="D24" s="14">
        <v>38.666666666666657</v>
      </c>
      <c r="E24" s="14">
        <v>25.61</v>
      </c>
      <c r="F24" s="14">
        <v>55.24</v>
      </c>
      <c r="G24" s="14">
        <v>3.84</v>
      </c>
      <c r="H24" s="14">
        <v>3.586666666666666</v>
      </c>
      <c r="I24" s="14">
        <v>147.33333333333329</v>
      </c>
      <c r="J24" s="14">
        <v>6.9524741321938466</v>
      </c>
      <c r="K24" s="14">
        <v>5.5308729959501384E-3</v>
      </c>
      <c r="L24" s="14">
        <v>3.8453251432792823E-2</v>
      </c>
      <c r="M24" s="14">
        <f t="shared" si="5"/>
        <v>20</v>
      </c>
      <c r="N24" s="14">
        <v>2.601971992297582E-3</v>
      </c>
      <c r="O24" s="14">
        <v>5225</v>
      </c>
      <c r="P24" s="14">
        <v>81.986259349397869</v>
      </c>
      <c r="Q24" s="14">
        <v>17853.96</v>
      </c>
      <c r="R24" s="14">
        <v>9.0000000000000011E-3</v>
      </c>
      <c r="S24" s="14">
        <f t="shared" si="6"/>
        <v>20</v>
      </c>
      <c r="T24" s="14">
        <f t="shared" si="7"/>
        <v>22.348100452014425</v>
      </c>
      <c r="U24" s="14">
        <f t="shared" si="1"/>
        <v>16.440000000000001</v>
      </c>
      <c r="V24" s="14">
        <f t="shared" si="8"/>
        <v>22.458609711273684</v>
      </c>
      <c r="W24" s="14">
        <f t="shared" si="9"/>
        <v>22.237591192755165</v>
      </c>
      <c r="X24" s="14">
        <f t="shared" si="2"/>
        <v>17.43</v>
      </c>
      <c r="Y24" s="14">
        <f t="shared" si="3"/>
        <v>18.989999999999998</v>
      </c>
      <c r="Z24" s="14">
        <f t="shared" si="4"/>
        <v>8.41</v>
      </c>
      <c r="AA24" s="14">
        <f t="shared" si="4"/>
        <v>26.08</v>
      </c>
      <c r="AB24" s="14">
        <f t="shared" si="4"/>
        <v>3.55</v>
      </c>
      <c r="AC24" s="14">
        <f t="shared" si="4"/>
        <v>3.75</v>
      </c>
      <c r="AG24">
        <f>C$3*(C$1-C24)/C$2</f>
        <v>-2.0000000000000018</v>
      </c>
      <c r="AH24">
        <f>D$3*(D$1-D24)/D$2</f>
        <v>0</v>
      </c>
      <c r="AI24">
        <f>E$3*(E$1-E24)/E$2</f>
        <v>1.2000000000000028</v>
      </c>
      <c r="AJ24">
        <f>F$3*(F$1-F24)/F$2</f>
        <v>8.5000000000000853E-2</v>
      </c>
      <c r="AK24">
        <f>G$3*(G$1-G24)/G$2</f>
        <v>-4.2857142857142573E-2</v>
      </c>
      <c r="AL24">
        <f>H$3*(H$1-H24)/H$2</f>
        <v>0</v>
      </c>
      <c r="AM24">
        <f>I$3*(I$1-I24)/I$2</f>
        <v>0.13601851851851957</v>
      </c>
      <c r="AN24">
        <f t="shared" si="10"/>
        <v>-1.214604</v>
      </c>
      <c r="AO24">
        <f t="shared" si="11"/>
        <v>5.2950517356123061</v>
      </c>
      <c r="AQ24">
        <f t="shared" si="12"/>
        <v>22.458609711273684</v>
      </c>
      <c r="AR24">
        <f t="shared" si="13"/>
        <v>22.237591192755165</v>
      </c>
      <c r="AT24" t="str">
        <f t="shared" si="14"/>
        <v>45530A</v>
      </c>
    </row>
    <row r="25" spans="1:46" hidden="1" x14ac:dyDescent="0.3">
      <c r="A25" s="16">
        <v>45530</v>
      </c>
      <c r="B25" s="17" t="s">
        <v>19</v>
      </c>
      <c r="C25" s="14">
        <v>8.41</v>
      </c>
      <c r="D25" s="14">
        <v>38.4</v>
      </c>
      <c r="E25" s="14">
        <v>26.082000000000001</v>
      </c>
      <c r="F25" s="14">
        <v>56.12</v>
      </c>
      <c r="G25" s="14">
        <v>3.75</v>
      </c>
      <c r="H25" s="14">
        <v>3.5539999999999998</v>
      </c>
      <c r="I25" s="14">
        <v>134</v>
      </c>
      <c r="J25" s="14">
        <v>10.61038371700077</v>
      </c>
      <c r="K25" s="14">
        <v>2.9140024485204959E-4</v>
      </c>
      <c r="L25" s="14">
        <v>3.0918684131082241E-3</v>
      </c>
      <c r="M25" s="14">
        <f t="shared" si="5"/>
        <v>20</v>
      </c>
      <c r="N25" s="14">
        <v>2.590799597104061E-3</v>
      </c>
      <c r="O25" s="14">
        <v>5225</v>
      </c>
      <c r="P25" s="14">
        <v>81.986272966063922</v>
      </c>
      <c r="Q25" s="14">
        <v>686.2</v>
      </c>
      <c r="R25" s="14">
        <v>3030.1129999999998</v>
      </c>
      <c r="S25" s="14">
        <f t="shared" si="6"/>
        <v>20</v>
      </c>
      <c r="T25" s="14">
        <f t="shared" si="7"/>
        <v>13.807268829490523</v>
      </c>
      <c r="U25" s="14">
        <f t="shared" si="1"/>
        <v>11.12</v>
      </c>
      <c r="V25" s="14">
        <f t="shared" si="8"/>
        <v>14.322963273934967</v>
      </c>
      <c r="W25" s="14">
        <f t="shared" si="9"/>
        <v>13.291574385046079</v>
      </c>
      <c r="X25" s="14">
        <f t="shared" si="2"/>
        <v>9.3800000000000008</v>
      </c>
      <c r="Y25" s="14">
        <f t="shared" si="3"/>
        <v>8.6</v>
      </c>
      <c r="Z25" s="14">
        <f t="shared" si="4"/>
        <v>8.86</v>
      </c>
      <c r="AA25" s="14">
        <f t="shared" si="4"/>
        <v>27.15</v>
      </c>
      <c r="AB25" s="14">
        <f t="shared" si="4"/>
        <v>3.68</v>
      </c>
      <c r="AC25" s="14">
        <f t="shared" si="4"/>
        <v>4.29</v>
      </c>
      <c r="AG25">
        <f>C$3*(C$1-C25)/C$2</f>
        <v>-1.2999999999999992</v>
      </c>
      <c r="AH25">
        <f>D$3*(D$1-D25)/D$2</f>
        <v>0</v>
      </c>
      <c r="AI25">
        <f>E$3*(E$1-E25)/E$2</f>
        <v>0.25600000000000023</v>
      </c>
      <c r="AJ25">
        <f>F$3*(F$1-F25)/F$2</f>
        <v>0.52499999999999858</v>
      </c>
      <c r="AK25">
        <f>G$3*(G$1-G25)/G$2</f>
        <v>8.5714285714285784E-2</v>
      </c>
      <c r="AL25">
        <f>H$3*(H$1-H25)/H$2</f>
        <v>0</v>
      </c>
      <c r="AM25">
        <f>I$3*(I$1-I25)/I$2</f>
        <v>0.50638888888888867</v>
      </c>
      <c r="AN25">
        <f t="shared" si="10"/>
        <v>-2.9313799999999999</v>
      </c>
      <c r="AO25">
        <f t="shared" si="11"/>
        <v>-2.0207674340015416</v>
      </c>
      <c r="AQ25">
        <f t="shared" si="12"/>
        <v>14.322963273934967</v>
      </c>
      <c r="AR25">
        <f t="shared" si="13"/>
        <v>13.291574385046079</v>
      </c>
      <c r="AT25" t="str">
        <f t="shared" si="14"/>
        <v>45530B</v>
      </c>
    </row>
    <row r="26" spans="1:46" hidden="1" x14ac:dyDescent="0.3">
      <c r="A26" s="16">
        <v>45530</v>
      </c>
      <c r="B26" s="17" t="s">
        <v>20</v>
      </c>
      <c r="C26" s="14">
        <v>8.8524999999999991</v>
      </c>
      <c r="D26" s="14">
        <v>38.714285714285722</v>
      </c>
      <c r="E26" s="14">
        <v>27.542857142857141</v>
      </c>
      <c r="F26" s="14">
        <v>56.47</v>
      </c>
      <c r="G26" s="14">
        <v>4.29</v>
      </c>
      <c r="H26" s="14">
        <v>3.694285714285714</v>
      </c>
      <c r="I26" s="14">
        <v>141.42857142857139</v>
      </c>
      <c r="J26" s="14">
        <v>10.006905921436569</v>
      </c>
      <c r="K26" s="14">
        <v>5.2441708532127698E-3</v>
      </c>
      <c r="L26" s="14">
        <v>5.2477924364039918E-2</v>
      </c>
      <c r="M26" s="14">
        <f t="shared" si="5"/>
        <v>20</v>
      </c>
      <c r="N26" s="14">
        <v>2.590081594486197E-3</v>
      </c>
      <c r="O26" s="14">
        <v>5225</v>
      </c>
      <c r="P26" s="14">
        <v>81.986310011487745</v>
      </c>
      <c r="Q26" s="14">
        <v>21941.439999999999</v>
      </c>
      <c r="R26" s="14">
        <v>10668.941000000001</v>
      </c>
      <c r="S26" s="14">
        <f t="shared" si="6"/>
        <v>20</v>
      </c>
      <c r="T26" s="14">
        <f t="shared" si="7"/>
        <v>11.727686160301474</v>
      </c>
      <c r="U26" s="14">
        <f t="shared" si="1"/>
        <v>9.32</v>
      </c>
      <c r="V26" s="14">
        <f t="shared" si="8"/>
        <v>12.227706001571315</v>
      </c>
      <c r="W26" s="14">
        <f t="shared" si="9"/>
        <v>11.227666319031632</v>
      </c>
      <c r="X26" s="14" t="e">
        <f t="shared" si="2"/>
        <v>#N/A</v>
      </c>
      <c r="Y26" s="14" t="e">
        <f t="shared" si="3"/>
        <v>#N/A</v>
      </c>
      <c r="Z26" s="14">
        <f t="shared" si="4"/>
        <v>8.5</v>
      </c>
      <c r="AA26" s="14">
        <f t="shared" si="4"/>
        <v>25.75</v>
      </c>
      <c r="AB26" s="14">
        <f t="shared" si="4"/>
        <v>3.58</v>
      </c>
      <c r="AC26" s="14">
        <f t="shared" si="4"/>
        <v>4.29</v>
      </c>
      <c r="AG26">
        <f>C$3*(C$1-C26)/C$2</f>
        <v>-3.512499999999994</v>
      </c>
      <c r="AH26">
        <f>D$3*(D$1-D26)/D$2</f>
        <v>0</v>
      </c>
      <c r="AI26">
        <f>E$3*(E$1-E26)/E$2</f>
        <v>-2.6657142857142802</v>
      </c>
      <c r="AJ26">
        <f>F$3*(F$1-F26)/F$2</f>
        <v>0.69999999999999929</v>
      </c>
      <c r="AK26">
        <f>G$3*(G$1-G26)/G$2</f>
        <v>-0.68571428571428561</v>
      </c>
      <c r="AL26">
        <f>H$3*(H$1-H26)/H$2</f>
        <v>0</v>
      </c>
      <c r="AM26">
        <f>I$3*(I$1-I26)/I$2</f>
        <v>0.30003968253968338</v>
      </c>
      <c r="AN26">
        <f t="shared" si="10"/>
        <v>-0.80585600000000013</v>
      </c>
      <c r="AO26">
        <f t="shared" si="11"/>
        <v>-0.81381184287313957</v>
      </c>
      <c r="AQ26">
        <f t="shared" si="12"/>
        <v>12.227706001571315</v>
      </c>
      <c r="AR26">
        <f t="shared" si="13"/>
        <v>11.227666319031632</v>
      </c>
      <c r="AT26" t="str">
        <f t="shared" si="14"/>
        <v>45530C</v>
      </c>
    </row>
    <row r="27" spans="1:46" hidden="1" x14ac:dyDescent="0.3">
      <c r="A27" s="16">
        <v>45531</v>
      </c>
      <c r="B27" s="17" t="s">
        <v>21</v>
      </c>
      <c r="C27" s="14">
        <v>8.5</v>
      </c>
      <c r="D27" s="14">
        <v>38.333333333333343</v>
      </c>
      <c r="E27" s="14">
        <v>25.75333333333333</v>
      </c>
      <c r="F27" s="14">
        <v>56.46</v>
      </c>
      <c r="G27" s="14">
        <v>4.29</v>
      </c>
      <c r="H27" s="14">
        <v>3.583333333333333</v>
      </c>
      <c r="I27" s="14">
        <v>144.83333333333329</v>
      </c>
      <c r="J27" s="14">
        <v>8.6905054962166837</v>
      </c>
      <c r="K27" s="14">
        <v>8.3771888685040541E-3</v>
      </c>
      <c r="L27" s="14">
        <v>7.2802005904579706E-2</v>
      </c>
      <c r="M27" s="14">
        <f t="shared" si="5"/>
        <v>20</v>
      </c>
      <c r="N27" s="14">
        <v>2.5897719701491379E-3</v>
      </c>
      <c r="O27" s="14">
        <v>5225</v>
      </c>
      <c r="P27" s="14">
        <v>81.98626296169634</v>
      </c>
      <c r="Q27" s="14">
        <v>22908.68</v>
      </c>
      <c r="R27" s="14">
        <v>5844.6450000000004</v>
      </c>
      <c r="S27" s="14">
        <f t="shared" si="6"/>
        <v>20</v>
      </c>
      <c r="T27" s="14">
        <f t="shared" si="7"/>
        <v>19.42735053666717</v>
      </c>
      <c r="U27" s="14">
        <f t="shared" si="1"/>
        <v>15.69</v>
      </c>
      <c r="V27" s="14">
        <f t="shared" si="8"/>
        <v>19.877582018148651</v>
      </c>
      <c r="W27" s="14">
        <f t="shared" si="9"/>
        <v>18.977119055185685</v>
      </c>
      <c r="X27" s="14">
        <f t="shared" si="2"/>
        <v>16.5</v>
      </c>
      <c r="Y27" s="14">
        <f t="shared" si="3"/>
        <v>15.34</v>
      </c>
      <c r="Z27" s="14">
        <f t="shared" ref="Z27:AC46" si="15">VLOOKUP($AT27,ggg,Z$4,0)</f>
        <v>8.4</v>
      </c>
      <c r="AA27" s="14">
        <f t="shared" si="15"/>
        <v>25.46</v>
      </c>
      <c r="AB27" s="14">
        <f t="shared" si="15"/>
        <v>3.2</v>
      </c>
      <c r="AC27" s="14">
        <f t="shared" si="15"/>
        <v>4.29</v>
      </c>
      <c r="AG27">
        <f>C$3*(C$1-C27)/C$2</f>
        <v>-1.7499999999999984</v>
      </c>
      <c r="AH27">
        <f>D$3*(D$1-D27)/D$2</f>
        <v>0</v>
      </c>
      <c r="AI27">
        <f>E$3*(E$1-E27)/E$2</f>
        <v>0.91333333333334099</v>
      </c>
      <c r="AJ27">
        <f>F$3*(F$1-F27)/F$2</f>
        <v>0.69500000000000028</v>
      </c>
      <c r="AK27">
        <f>G$3*(G$1-G27)/G$2</f>
        <v>-0.68571428571428561</v>
      </c>
      <c r="AL27">
        <f>H$3*(H$1-H27)/H$2</f>
        <v>0</v>
      </c>
      <c r="AM27">
        <f>I$3*(I$1-I27)/I$2</f>
        <v>0.20546296296296401</v>
      </c>
      <c r="AN27">
        <f t="shared" si="10"/>
        <v>-0.70913199999999998</v>
      </c>
      <c r="AO27">
        <f t="shared" si="11"/>
        <v>1.818989007566632</v>
      </c>
      <c r="AQ27">
        <f t="shared" si="12"/>
        <v>19.877582018148651</v>
      </c>
      <c r="AR27">
        <f t="shared" si="13"/>
        <v>18.977119055185685</v>
      </c>
      <c r="AT27" t="str">
        <f t="shared" si="14"/>
        <v>45531A</v>
      </c>
    </row>
    <row r="28" spans="1:46" hidden="1" x14ac:dyDescent="0.3">
      <c r="A28" s="16">
        <v>45531</v>
      </c>
      <c r="B28" s="17" t="s">
        <v>19</v>
      </c>
      <c r="C28" s="14">
        <v>8.3949999999999996</v>
      </c>
      <c r="D28" s="14">
        <v>37</v>
      </c>
      <c r="E28" s="14">
        <v>25.132000000000001</v>
      </c>
      <c r="F28" s="14">
        <v>57.09</v>
      </c>
      <c r="G28" s="14">
        <v>4.29</v>
      </c>
      <c r="H28" s="14">
        <v>3.3639999999999999</v>
      </c>
      <c r="I28" s="14">
        <v>135.19999999999999</v>
      </c>
      <c r="J28" s="14">
        <v>10.203497823250141</v>
      </c>
      <c r="K28" s="14">
        <v>5.0649025563603567E-3</v>
      </c>
      <c r="L28" s="14">
        <v>5.1679722208796977E-2</v>
      </c>
      <c r="M28" s="14">
        <f t="shared" si="5"/>
        <v>20</v>
      </c>
      <c r="N28" s="14">
        <v>2.589916382880436E-3</v>
      </c>
      <c r="O28" s="14">
        <v>5225</v>
      </c>
      <c r="P28" s="14">
        <v>81.188328415892158</v>
      </c>
      <c r="Q28" s="14">
        <v>13900.76</v>
      </c>
      <c r="R28" s="14">
        <v>9216.9230000000007</v>
      </c>
      <c r="S28" s="14">
        <f t="shared" si="6"/>
        <v>20</v>
      </c>
      <c r="T28" s="14">
        <f t="shared" si="7"/>
        <v>17.784355378896549</v>
      </c>
      <c r="U28" s="14">
        <f t="shared" si="1"/>
        <v>14.72</v>
      </c>
      <c r="V28" s="14">
        <f t="shared" si="8"/>
        <v>18.525883156674325</v>
      </c>
      <c r="W28" s="14">
        <f t="shared" si="9"/>
        <v>17.04282760111877</v>
      </c>
      <c r="X28" s="14">
        <f t="shared" si="2"/>
        <v>13.37</v>
      </c>
      <c r="Y28" s="14">
        <f t="shared" si="3"/>
        <v>10.42</v>
      </c>
      <c r="Z28" s="14">
        <f t="shared" si="15"/>
        <v>8.4499999999999993</v>
      </c>
      <c r="AA28" s="14">
        <f t="shared" si="15"/>
        <v>27.46</v>
      </c>
      <c r="AB28" s="14">
        <f t="shared" si="15"/>
        <v>3.38</v>
      </c>
      <c r="AC28" s="14">
        <f t="shared" si="15"/>
        <v>4.29</v>
      </c>
      <c r="AG28">
        <f>C$3*(C$1-C28)/C$2</f>
        <v>-1.2249999999999963</v>
      </c>
      <c r="AH28">
        <f>D$3*(D$1-D28)/D$2</f>
        <v>0</v>
      </c>
      <c r="AI28">
        <f>E$3*(E$1-E28)/E$2</f>
        <v>2.1559999999999988</v>
      </c>
      <c r="AJ28">
        <f>F$3*(F$1-F28)/F$2</f>
        <v>1.0100000000000016</v>
      </c>
      <c r="AK28">
        <f>G$3*(G$1-G28)/G$2</f>
        <v>-0.68571428571428561</v>
      </c>
      <c r="AL28">
        <f>H$3*(H$1-H28)/H$2</f>
        <v>0</v>
      </c>
      <c r="AM28">
        <f>I$3*(I$1-I28)/I$2</f>
        <v>0.47305555555555562</v>
      </c>
      <c r="AN28">
        <f t="shared" si="10"/>
        <v>-1.6099239999999999</v>
      </c>
      <c r="AO28">
        <f t="shared" si="11"/>
        <v>-1.2069956465002818</v>
      </c>
      <c r="AQ28">
        <f t="shared" si="12"/>
        <v>18.525883156674325</v>
      </c>
      <c r="AR28">
        <f t="shared" si="13"/>
        <v>17.04282760111877</v>
      </c>
      <c r="AT28" t="str">
        <f t="shared" si="14"/>
        <v>45531B</v>
      </c>
    </row>
    <row r="29" spans="1:46" hidden="1" x14ac:dyDescent="0.3">
      <c r="A29" s="16">
        <v>45531</v>
      </c>
      <c r="B29" s="17" t="s">
        <v>20</v>
      </c>
      <c r="C29" s="14">
        <v>8.3975000000000009</v>
      </c>
      <c r="D29" s="14">
        <v>38.428571428571431</v>
      </c>
      <c r="E29" s="14">
        <v>27.071428571428569</v>
      </c>
      <c r="F29" s="14">
        <v>57.78</v>
      </c>
      <c r="G29" s="14">
        <v>4.29</v>
      </c>
      <c r="H29" s="14">
        <v>3.3857142857142861</v>
      </c>
      <c r="I29" s="14">
        <v>145.28571428571431</v>
      </c>
      <c r="J29" s="14">
        <v>10.272851463018711</v>
      </c>
      <c r="K29" s="14">
        <v>8.626305985948237E-3</v>
      </c>
      <c r="L29" s="14">
        <v>8.8616760068195355E-2</v>
      </c>
      <c r="M29" s="14">
        <f t="shared" si="5"/>
        <v>20</v>
      </c>
      <c r="N29" s="14">
        <v>2.5927686190672099E-3</v>
      </c>
      <c r="O29" s="14">
        <v>5225</v>
      </c>
      <c r="P29" s="14">
        <v>81.282012603058121</v>
      </c>
      <c r="Q29" s="14">
        <v>32590.32</v>
      </c>
      <c r="R29" s="14">
        <v>12531.216</v>
      </c>
      <c r="S29" s="14">
        <f t="shared" si="6"/>
        <v>20</v>
      </c>
      <c r="T29" s="14">
        <f t="shared" si="7"/>
        <v>15.876620458089565</v>
      </c>
      <c r="U29" s="14">
        <f t="shared" si="1"/>
        <v>13.62</v>
      </c>
      <c r="V29" s="14">
        <f t="shared" si="8"/>
        <v>16.650568870787978</v>
      </c>
      <c r="W29" s="14">
        <f t="shared" si="9"/>
        <v>15.102672045391154</v>
      </c>
      <c r="X29" s="14" t="e">
        <f t="shared" si="2"/>
        <v>#N/A</v>
      </c>
      <c r="Y29" s="14" t="e">
        <f t="shared" si="3"/>
        <v>#N/A</v>
      </c>
      <c r="Z29" s="14">
        <f t="shared" si="15"/>
        <v>8.32</v>
      </c>
      <c r="AA29" s="14">
        <f t="shared" si="15"/>
        <v>26.34</v>
      </c>
      <c r="AB29" s="14">
        <f t="shared" si="15"/>
        <v>3.41</v>
      </c>
      <c r="AC29" s="14">
        <f t="shared" si="15"/>
        <v>4.29</v>
      </c>
      <c r="AG29">
        <f>C$3*(C$1-C29)/C$2</f>
        <v>-1.2375000000000025</v>
      </c>
      <c r="AH29">
        <f>D$3*(D$1-D29)/D$2</f>
        <v>0</v>
      </c>
      <c r="AI29">
        <f>E$3*(E$1-E29)/E$2</f>
        <v>-1.7228571428571371</v>
      </c>
      <c r="AJ29">
        <f>F$3*(F$1-F29)/F$2</f>
        <v>1.3550000000000002</v>
      </c>
      <c r="AK29">
        <f>G$3*(G$1-G29)/G$2</f>
        <v>-0.68571428571428561</v>
      </c>
      <c r="AL29">
        <f>H$3*(H$1-H29)/H$2</f>
        <v>0</v>
      </c>
      <c r="AM29">
        <f>I$3*(I$1-I29)/I$2</f>
        <v>0.19289682539682454</v>
      </c>
      <c r="AN29">
        <f t="shared" si="10"/>
        <v>0.25903199999999998</v>
      </c>
      <c r="AO29">
        <f t="shared" si="11"/>
        <v>-1.345702926037422</v>
      </c>
      <c r="AQ29">
        <f t="shared" si="12"/>
        <v>16.650568870787978</v>
      </c>
      <c r="AR29">
        <f t="shared" si="13"/>
        <v>15.102672045391154</v>
      </c>
      <c r="AT29" t="str">
        <f t="shared" si="14"/>
        <v>45531C</v>
      </c>
    </row>
    <row r="30" spans="1:46" hidden="1" x14ac:dyDescent="0.3">
      <c r="A30" s="16">
        <v>45532</v>
      </c>
      <c r="B30" s="17" t="s">
        <v>21</v>
      </c>
      <c r="C30" s="14">
        <v>8.3249999999999993</v>
      </c>
      <c r="D30" s="14">
        <v>38.428571428571431</v>
      </c>
      <c r="E30" s="14">
        <v>26.341428571428569</v>
      </c>
      <c r="F30" s="14">
        <v>57.78</v>
      </c>
      <c r="G30" s="14">
        <v>4.29</v>
      </c>
      <c r="H30" s="14">
        <v>3.4085714285714279</v>
      </c>
      <c r="I30" s="14">
        <v>144.71428571428569</v>
      </c>
      <c r="J30" s="14">
        <v>6.9350617496581837</v>
      </c>
      <c r="K30" s="14">
        <v>3.7339164457575922E-3</v>
      </c>
      <c r="L30" s="14">
        <v>2.5894941119393111E-2</v>
      </c>
      <c r="M30" s="14">
        <f t="shared" si="5"/>
        <v>20</v>
      </c>
      <c r="N30" s="14">
        <v>2.592323580834503E-3</v>
      </c>
      <c r="O30" s="14">
        <v>5225</v>
      </c>
      <c r="P30" s="14">
        <v>81.268618439362541</v>
      </c>
      <c r="Q30" s="14">
        <v>11742.32</v>
      </c>
      <c r="R30" s="14">
        <v>7487.1010000000006</v>
      </c>
      <c r="S30" s="14">
        <f t="shared" si="6"/>
        <v>20</v>
      </c>
      <c r="T30" s="14">
        <f t="shared" si="7"/>
        <v>21.961562059413801</v>
      </c>
      <c r="U30" s="14">
        <f t="shared" si="1"/>
        <v>19.82</v>
      </c>
      <c r="V30" s="14">
        <f t="shared" si="8"/>
        <v>22.743446980048724</v>
      </c>
      <c r="W30" s="14">
        <f t="shared" si="9"/>
        <v>21.179677138778882</v>
      </c>
      <c r="X30" s="14">
        <f t="shared" si="2"/>
        <v>20.02</v>
      </c>
      <c r="Y30" s="14">
        <f t="shared" si="3"/>
        <v>20.399999999999999</v>
      </c>
      <c r="Z30" s="14">
        <f t="shared" si="15"/>
        <v>8.33</v>
      </c>
      <c r="AA30" s="14">
        <f t="shared" si="15"/>
        <v>25.6</v>
      </c>
      <c r="AB30" s="14">
        <f t="shared" si="15"/>
        <v>3.41</v>
      </c>
      <c r="AC30" s="14">
        <f t="shared" si="15"/>
        <v>4.0199999999999996</v>
      </c>
      <c r="AG30">
        <f>C$3*(C$1-C30)/C$2</f>
        <v>-0.87499999999999467</v>
      </c>
      <c r="AH30">
        <f>D$3*(D$1-D30)/D$2</f>
        <v>0</v>
      </c>
      <c r="AI30">
        <f>E$3*(E$1-E30)/E$2</f>
        <v>-0.26285714285713624</v>
      </c>
      <c r="AJ30">
        <f>F$3*(F$1-F30)/F$2</f>
        <v>1.3550000000000002</v>
      </c>
      <c r="AK30">
        <f>G$3*(G$1-G30)/G$2</f>
        <v>-0.68571428571428561</v>
      </c>
      <c r="AL30">
        <f>H$3*(H$1-H30)/H$2</f>
        <v>0</v>
      </c>
      <c r="AM30">
        <f>I$3*(I$1-I30)/I$2</f>
        <v>0.20876984126984158</v>
      </c>
      <c r="AN30">
        <f t="shared" si="10"/>
        <v>-1.8257680000000001</v>
      </c>
      <c r="AO30">
        <f t="shared" si="11"/>
        <v>5.3298765006836319</v>
      </c>
      <c r="AQ30">
        <f t="shared" si="12"/>
        <v>22.743446980048724</v>
      </c>
      <c r="AR30">
        <f t="shared" si="13"/>
        <v>21.179677138778882</v>
      </c>
      <c r="AT30" t="str">
        <f t="shared" si="14"/>
        <v>45532A</v>
      </c>
    </row>
    <row r="31" spans="1:46" hidden="1" x14ac:dyDescent="0.3">
      <c r="A31" s="16">
        <v>45532</v>
      </c>
      <c r="B31" s="17" t="s">
        <v>19</v>
      </c>
      <c r="C31" s="14">
        <v>8.3140000000000001</v>
      </c>
      <c r="D31" s="14">
        <v>37.571428571428569</v>
      </c>
      <c r="E31" s="14">
        <v>25.48714285714286</v>
      </c>
      <c r="F31" s="14">
        <v>56.04</v>
      </c>
      <c r="G31" s="14">
        <v>4.0199999999999996</v>
      </c>
      <c r="H31" s="14">
        <v>3.4085714285714279</v>
      </c>
      <c r="I31" s="14">
        <v>139</v>
      </c>
      <c r="J31" s="14">
        <v>10.299578127637</v>
      </c>
      <c r="K31" s="14">
        <v>9.9822344769051885E-3</v>
      </c>
      <c r="L31" s="14">
        <v>0.1028128038832767</v>
      </c>
      <c r="M31" s="14">
        <f t="shared" si="5"/>
        <v>20</v>
      </c>
      <c r="N31" s="14">
        <v>2.5898103315396088E-3</v>
      </c>
      <c r="O31" s="14">
        <v>5225</v>
      </c>
      <c r="P31" s="14">
        <v>81.407404373712623</v>
      </c>
      <c r="Q31" s="14">
        <v>25586.2</v>
      </c>
      <c r="R31" s="14">
        <v>8367.6280000000006</v>
      </c>
      <c r="S31" s="14">
        <f t="shared" si="6"/>
        <v>20</v>
      </c>
      <c r="T31" s="14">
        <f t="shared" si="7"/>
        <v>18.469269897106951</v>
      </c>
      <c r="U31" s="14">
        <f t="shared" si="1"/>
        <v>20.47</v>
      </c>
      <c r="V31" s="14">
        <f t="shared" si="8"/>
        <v>18.895519897106951</v>
      </c>
      <c r="W31" s="14">
        <f t="shared" si="9"/>
        <v>18.043019897106952</v>
      </c>
      <c r="X31" s="14">
        <f t="shared" si="2"/>
        <v>14.23</v>
      </c>
      <c r="Y31" s="14">
        <f t="shared" si="3"/>
        <v>14.04</v>
      </c>
      <c r="Z31" s="14">
        <f t="shared" si="15"/>
        <v>8.36</v>
      </c>
      <c r="AA31" s="14">
        <f t="shared" si="15"/>
        <v>26.6</v>
      </c>
      <c r="AB31" s="14">
        <f t="shared" si="15"/>
        <v>3.52</v>
      </c>
      <c r="AC31" s="14">
        <f t="shared" si="15"/>
        <v>4.0199999999999996</v>
      </c>
      <c r="AG31">
        <f>C$3*(C$1-C31)/C$2</f>
        <v>-0.81999999999999851</v>
      </c>
      <c r="AH31">
        <f>D$3*(D$1-D31)/D$2</f>
        <v>0</v>
      </c>
      <c r="AI31">
        <f>E$3*(E$1-E31)/E$2</f>
        <v>1.4457142857142813</v>
      </c>
      <c r="AJ31">
        <f>F$3*(F$1-F31)/F$2</f>
        <v>0.48499999999999943</v>
      </c>
      <c r="AK31">
        <f>G$3*(G$1-G31)/G$2</f>
        <v>-0.29999999999999932</v>
      </c>
      <c r="AL31">
        <f>H$3*(H$1-H31)/H$2</f>
        <v>0</v>
      </c>
      <c r="AM31">
        <f>I$3*(I$1-I31)/I$2</f>
        <v>0.36749999999999972</v>
      </c>
      <c r="AN31">
        <f t="shared" si="10"/>
        <v>-0.44137999999999994</v>
      </c>
      <c r="AO31">
        <f t="shared" si="11"/>
        <v>-1.3991562552740007</v>
      </c>
      <c r="AQ31">
        <f t="shared" si="12"/>
        <v>18.895519897106951</v>
      </c>
      <c r="AR31">
        <f t="shared" si="13"/>
        <v>18.043019897106952</v>
      </c>
      <c r="AT31" t="str">
        <f t="shared" si="14"/>
        <v>45532B</v>
      </c>
    </row>
    <row r="32" spans="1:46" hidden="1" x14ac:dyDescent="0.3">
      <c r="A32" s="16">
        <v>45532</v>
      </c>
      <c r="B32" s="17" t="s">
        <v>20</v>
      </c>
      <c r="C32" s="14">
        <v>8.3550000000000004</v>
      </c>
      <c r="D32" s="14">
        <v>37.75</v>
      </c>
      <c r="E32" s="14">
        <v>27.3</v>
      </c>
      <c r="F32" s="14">
        <v>56.435000000000002</v>
      </c>
      <c r="G32" s="14">
        <v>4.0199999999999996</v>
      </c>
      <c r="H32" s="14">
        <v>3.45</v>
      </c>
      <c r="I32" s="14">
        <v>146.75</v>
      </c>
      <c r="J32" s="14">
        <v>11.71435890494276</v>
      </c>
      <c r="K32" s="14">
        <v>1.8801516881098821E-3</v>
      </c>
      <c r="L32" s="14">
        <v>2.2024771670253171E-2</v>
      </c>
      <c r="M32" s="14">
        <f t="shared" si="5"/>
        <v>20</v>
      </c>
      <c r="N32" s="14">
        <v>2.591095873731099E-3</v>
      </c>
      <c r="O32" s="14">
        <v>5225</v>
      </c>
      <c r="P32" s="14">
        <v>81.225647220418395</v>
      </c>
      <c r="Q32" s="14">
        <v>6663</v>
      </c>
      <c r="R32" s="14">
        <v>11682.025</v>
      </c>
      <c r="S32" s="14">
        <f t="shared" si="6"/>
        <v>20</v>
      </c>
      <c r="T32" s="14">
        <f t="shared" si="7"/>
        <v>10.128744967892258</v>
      </c>
      <c r="U32" s="14">
        <f t="shared" si="1"/>
        <v>14.23</v>
      </c>
      <c r="V32" s="14">
        <f t="shared" si="8"/>
        <v>10.546106079003369</v>
      </c>
      <c r="W32" s="14">
        <f t="shared" si="9"/>
        <v>9.711383856781147</v>
      </c>
      <c r="X32" s="14" t="e">
        <f t="shared" si="2"/>
        <v>#N/A</v>
      </c>
      <c r="Y32" s="14" t="e">
        <f t="shared" si="3"/>
        <v>#N/A</v>
      </c>
      <c r="Z32" s="14">
        <f t="shared" si="15"/>
        <v>9</v>
      </c>
      <c r="AA32" s="14">
        <f t="shared" si="15"/>
        <v>25.85</v>
      </c>
      <c r="AB32" s="14">
        <f t="shared" si="15"/>
        <v>3.78</v>
      </c>
      <c r="AC32" s="14">
        <f t="shared" si="15"/>
        <v>4.0199999999999996</v>
      </c>
      <c r="AG32">
        <f>C$3*(C$1-C32)/C$2</f>
        <v>-1.0250000000000004</v>
      </c>
      <c r="AH32">
        <f>D$3*(D$1-D32)/D$2</f>
        <v>0</v>
      </c>
      <c r="AI32">
        <f>E$3*(E$1-E32)/E$2</f>
        <v>-2.1799999999999997</v>
      </c>
      <c r="AJ32">
        <f>F$3*(F$1-F32)/F$2</f>
        <v>0.68250000000000099</v>
      </c>
      <c r="AK32">
        <f>G$3*(G$1-G32)/G$2</f>
        <v>-0.29999999999999932</v>
      </c>
      <c r="AL32">
        <f>H$3*(H$1-H32)/H$2</f>
        <v>0</v>
      </c>
      <c r="AM32">
        <f>I$3*(I$1-I32)/I$2</f>
        <v>0.15222222222222195</v>
      </c>
      <c r="AN32">
        <f t="shared" si="10"/>
        <v>-2.3336999999999999</v>
      </c>
      <c r="AO32">
        <f t="shared" si="11"/>
        <v>-4.22871780988552</v>
      </c>
      <c r="AQ32">
        <f t="shared" si="12"/>
        <v>10.546106079003369</v>
      </c>
      <c r="AR32">
        <f t="shared" si="13"/>
        <v>9.711383856781147</v>
      </c>
      <c r="AT32" t="str">
        <f t="shared" si="14"/>
        <v>45532C</v>
      </c>
    </row>
    <row r="33" spans="1:46" hidden="1" x14ac:dyDescent="0.3">
      <c r="A33" s="16">
        <v>45533</v>
      </c>
      <c r="B33" s="17" t="s">
        <v>21</v>
      </c>
      <c r="C33" s="14">
        <v>9.0333333333333332</v>
      </c>
      <c r="D33" s="14">
        <v>38.333333333333343</v>
      </c>
      <c r="E33" s="14">
        <v>26.2</v>
      </c>
      <c r="F33" s="14">
        <v>56.84</v>
      </c>
      <c r="G33" s="14">
        <v>4.0199999999999996</v>
      </c>
      <c r="H33" s="14">
        <v>3.7866666666666671</v>
      </c>
      <c r="I33" s="14">
        <v>146.66666666666671</v>
      </c>
      <c r="J33" s="14">
        <v>8.2170402800152615</v>
      </c>
      <c r="K33" s="14">
        <v>1.552855708283725E-3</v>
      </c>
      <c r="L33" s="14">
        <v>1.2759877904018989E-2</v>
      </c>
      <c r="M33" s="14">
        <f t="shared" si="5"/>
        <v>20</v>
      </c>
      <c r="N33" s="14">
        <v>2.5911203402723781E-3</v>
      </c>
      <c r="O33" s="14">
        <v>5225</v>
      </c>
      <c r="P33" s="14">
        <v>81.986265797926563</v>
      </c>
      <c r="Q33" s="14">
        <v>2407.84</v>
      </c>
      <c r="R33" s="14">
        <v>4898.6769999999997</v>
      </c>
      <c r="S33" s="14">
        <f t="shared" si="6"/>
        <v>20</v>
      </c>
      <c r="T33" s="14">
        <f t="shared" si="7"/>
        <v>15.156383758488001</v>
      </c>
      <c r="U33" s="14">
        <f t="shared" si="1"/>
        <v>10.57</v>
      </c>
      <c r="V33" s="14">
        <f t="shared" si="8"/>
        <v>15.676152277006521</v>
      </c>
      <c r="W33" s="14">
        <f t="shared" si="9"/>
        <v>14.636615239969483</v>
      </c>
      <c r="X33" s="14">
        <f t="shared" si="2"/>
        <v>10.19</v>
      </c>
      <c r="Y33" s="14">
        <f t="shared" si="3"/>
        <v>9.4600000000000009</v>
      </c>
      <c r="Z33" s="14">
        <f t="shared" si="15"/>
        <v>8.65</v>
      </c>
      <c r="AA33" s="14">
        <f t="shared" si="15"/>
        <v>25.4</v>
      </c>
      <c r="AB33" s="14">
        <f t="shared" si="15"/>
        <v>3.36</v>
      </c>
      <c r="AC33" s="14">
        <f t="shared" si="15"/>
        <v>4.0199999999999996</v>
      </c>
      <c r="AG33">
        <f>C$3*(C$1-C33)/C$2</f>
        <v>-4.4166666666666643</v>
      </c>
      <c r="AH33">
        <f>D$3*(D$1-D33)/D$2</f>
        <v>0</v>
      </c>
      <c r="AI33">
        <f>E$3*(E$1-E33)/E$2</f>
        <v>2.0000000000003126E-2</v>
      </c>
      <c r="AJ33">
        <f>F$3*(F$1-F33)/F$2</f>
        <v>0.88500000000000156</v>
      </c>
      <c r="AK33">
        <f>G$3*(G$1-G33)/G$2</f>
        <v>-0.29999999999999932</v>
      </c>
      <c r="AL33">
        <f>H$3*(H$1-H33)/H$2</f>
        <v>0</v>
      </c>
      <c r="AM33">
        <f>I$3*(I$1-I33)/I$2</f>
        <v>0.15453703703703545</v>
      </c>
      <c r="AN33">
        <f t="shared" si="10"/>
        <v>-2.7592159999999999</v>
      </c>
      <c r="AO33">
        <f t="shared" si="11"/>
        <v>2.7659194399694762</v>
      </c>
      <c r="AQ33">
        <f t="shared" si="12"/>
        <v>15.676152277006521</v>
      </c>
      <c r="AR33">
        <f t="shared" si="13"/>
        <v>14.636615239969483</v>
      </c>
      <c r="AT33" t="str">
        <f t="shared" si="14"/>
        <v>45533A</v>
      </c>
    </row>
    <row r="34" spans="1:46" hidden="1" x14ac:dyDescent="0.3">
      <c r="A34" s="16">
        <v>45533</v>
      </c>
      <c r="B34" s="17" t="s">
        <v>19</v>
      </c>
      <c r="C34" s="14">
        <v>8.6533333333333342</v>
      </c>
      <c r="D34" s="14">
        <v>38.5</v>
      </c>
      <c r="E34" s="14">
        <v>26.563333333333329</v>
      </c>
      <c r="F34" s="14">
        <v>53.2</v>
      </c>
      <c r="G34" s="14">
        <v>4.0199999999999996</v>
      </c>
      <c r="H34" s="14">
        <v>3.4816666666666669</v>
      </c>
      <c r="I34" s="14">
        <v>139.83333333333329</v>
      </c>
      <c r="J34" s="14">
        <v>9.3829678143574835</v>
      </c>
      <c r="K34" s="14">
        <v>3.2661419880299879E-3</v>
      </c>
      <c r="L34" s="14">
        <v>3.064610515080694E-2</v>
      </c>
      <c r="M34" s="14">
        <f t="shared" si="5"/>
        <v>20</v>
      </c>
      <c r="N34" s="14">
        <v>12.918020451838469</v>
      </c>
      <c r="O34" s="14">
        <v>5225</v>
      </c>
      <c r="P34" s="14">
        <v>114.420266014338</v>
      </c>
      <c r="Q34" s="14">
        <v>9992.0400000000009</v>
      </c>
      <c r="R34" s="14">
        <v>10015.950000000001</v>
      </c>
      <c r="S34" s="14">
        <f t="shared" si="6"/>
        <v>20</v>
      </c>
      <c r="T34" s="14">
        <f t="shared" si="7"/>
        <v>14.282340963877637</v>
      </c>
      <c r="U34" s="14">
        <f t="shared" si="1"/>
        <v>11.84</v>
      </c>
      <c r="V34" s="14">
        <f t="shared" si="8"/>
        <v>13.987016889803563</v>
      </c>
      <c r="W34" s="14">
        <f t="shared" si="9"/>
        <v>14.577665037951709</v>
      </c>
      <c r="X34" s="14">
        <f t="shared" si="2"/>
        <v>14.69</v>
      </c>
      <c r="Y34" s="14">
        <f t="shared" si="3"/>
        <v>14.65</v>
      </c>
      <c r="Z34" s="14">
        <f t="shared" si="15"/>
        <v>8.2799999999999994</v>
      </c>
      <c r="AA34" s="14">
        <f t="shared" si="15"/>
        <v>26.87</v>
      </c>
      <c r="AB34" s="14">
        <f t="shared" si="15"/>
        <v>3.23</v>
      </c>
      <c r="AC34" s="14">
        <f t="shared" si="15"/>
        <v>4.0199999999999996</v>
      </c>
      <c r="AG34">
        <f>C$3*(C$1-C34)/C$2</f>
        <v>-2.5166666666666693</v>
      </c>
      <c r="AH34">
        <f>D$3*(D$1-D34)/D$2</f>
        <v>0</v>
      </c>
      <c r="AI34">
        <f>E$3*(E$1-E34)/E$2</f>
        <v>-0.70666666666665634</v>
      </c>
      <c r="AJ34">
        <f>F$3*(F$1-F34)/F$2</f>
        <v>-0.93499999999999872</v>
      </c>
      <c r="AK34">
        <f>G$3*(G$1-G34)/G$2</f>
        <v>-0.29999999999999932</v>
      </c>
      <c r="AL34">
        <f>H$3*(H$1-H34)/H$2</f>
        <v>0</v>
      </c>
      <c r="AM34">
        <f>I$3*(I$1-I34)/I$2</f>
        <v>0.34435185185185291</v>
      </c>
      <c r="AN34">
        <f t="shared" si="10"/>
        <v>-2.0007959999999998</v>
      </c>
      <c r="AO34">
        <f t="shared" si="11"/>
        <v>0.43406437128503228</v>
      </c>
      <c r="AQ34">
        <f t="shared" si="12"/>
        <v>13.987016889803563</v>
      </c>
      <c r="AR34">
        <f t="shared" si="13"/>
        <v>14.577665037951709</v>
      </c>
      <c r="AT34" t="str">
        <f t="shared" si="14"/>
        <v>45533B</v>
      </c>
    </row>
    <row r="35" spans="1:46" hidden="1" x14ac:dyDescent="0.3">
      <c r="A35" s="16">
        <v>45533</v>
      </c>
      <c r="B35" s="17" t="s">
        <v>20</v>
      </c>
      <c r="C35" s="14">
        <v>8.2750000000000004</v>
      </c>
      <c r="D35" s="14">
        <v>36.25</v>
      </c>
      <c r="E35" s="14">
        <v>26.574999999999999</v>
      </c>
      <c r="F35" s="14">
        <v>54.98</v>
      </c>
      <c r="G35" s="14">
        <v>4.0199999999999996</v>
      </c>
      <c r="H35" s="14">
        <v>3.22</v>
      </c>
      <c r="I35" s="14">
        <v>143.25</v>
      </c>
      <c r="J35" s="14">
        <v>8.8478557475126696</v>
      </c>
      <c r="K35" s="14">
        <v>4.8068631303150259E-3</v>
      </c>
      <c r="L35" s="14">
        <v>4.2530431575064552E-2</v>
      </c>
      <c r="M35" s="14">
        <f t="shared" si="5"/>
        <v>20</v>
      </c>
      <c r="N35" s="14">
        <v>2.6002125898145689E-3</v>
      </c>
      <c r="O35" s="14">
        <v>5225</v>
      </c>
      <c r="P35" s="14">
        <v>97.683740425688541</v>
      </c>
      <c r="Q35" s="14">
        <v>16833.8</v>
      </c>
      <c r="R35" s="14">
        <v>11779.987999999999</v>
      </c>
      <c r="S35" s="14">
        <f t="shared" si="6"/>
        <v>20</v>
      </c>
      <c r="T35" s="14">
        <f t="shared" si="7"/>
        <v>18.420223260530218</v>
      </c>
      <c r="U35" s="14">
        <f t="shared" si="1"/>
        <v>14.83</v>
      </c>
      <c r="V35" s="14">
        <f t="shared" si="8"/>
        <v>18.522445482752438</v>
      </c>
      <c r="W35" s="14">
        <f t="shared" si="9"/>
        <v>18.318001038307997</v>
      </c>
      <c r="X35" s="14" t="e">
        <f t="shared" si="2"/>
        <v>#N/A</v>
      </c>
      <c r="Y35" s="14" t="e">
        <f t="shared" si="3"/>
        <v>#N/A</v>
      </c>
      <c r="Z35" s="14">
        <f t="shared" si="15"/>
        <v>8.1</v>
      </c>
      <c r="AA35" s="14">
        <f t="shared" si="15"/>
        <v>26.17</v>
      </c>
      <c r="AB35" s="14">
        <f t="shared" si="15"/>
        <v>3.29</v>
      </c>
      <c r="AC35" s="14">
        <f t="shared" si="15"/>
        <v>4.0199999999999996</v>
      </c>
      <c r="AG35">
        <f>C$3*(C$1-C35)/C$2</f>
        <v>-0.625</v>
      </c>
      <c r="AH35">
        <f>D$3*(D$1-D35)/D$2</f>
        <v>0</v>
      </c>
      <c r="AI35">
        <f>E$3*(E$1-E35)/E$2</f>
        <v>-0.72999999999999687</v>
      </c>
      <c r="AJ35">
        <f>F$3*(F$1-F35)/F$2</f>
        <v>-4.5000000000001705E-2</v>
      </c>
      <c r="AK35">
        <f>G$3*(G$1-G35)/G$2</f>
        <v>-0.29999999999999932</v>
      </c>
      <c r="AL35">
        <f>H$3*(H$1-H35)/H$2</f>
        <v>0</v>
      </c>
      <c r="AM35">
        <f>I$3*(I$1-I35)/I$2</f>
        <v>0.24944444444444416</v>
      </c>
      <c r="AN35">
        <f t="shared" si="10"/>
        <v>-1.3166200000000001</v>
      </c>
      <c r="AO35">
        <f t="shared" si="11"/>
        <v>1.5042885049746602</v>
      </c>
      <c r="AQ35">
        <f t="shared" si="12"/>
        <v>18.522445482752438</v>
      </c>
      <c r="AR35">
        <f t="shared" si="13"/>
        <v>18.318001038307997</v>
      </c>
      <c r="AT35" t="str">
        <f t="shared" si="14"/>
        <v>45533C</v>
      </c>
    </row>
    <row r="36" spans="1:46" x14ac:dyDescent="0.3">
      <c r="A36" s="16">
        <v>45538</v>
      </c>
      <c r="B36" s="17" t="s">
        <v>21</v>
      </c>
      <c r="C36" s="14">
        <v>8</v>
      </c>
      <c r="D36" s="14">
        <v>37.777777777777779</v>
      </c>
      <c r="E36" s="14">
        <v>26.02</v>
      </c>
      <c r="F36" s="14">
        <v>56.77</v>
      </c>
      <c r="G36" s="14">
        <v>4.0199999999999996</v>
      </c>
      <c r="H36" s="14">
        <v>3.2844444444444441</v>
      </c>
      <c r="I36" s="14">
        <v>143.2222222222222</v>
      </c>
      <c r="J36" s="14">
        <v>9.6136977820488632</v>
      </c>
      <c r="K36" s="14">
        <v>1.0860455393712311E-2</v>
      </c>
      <c r="L36" s="14">
        <v>0.10440913593057261</v>
      </c>
      <c r="M36" s="14">
        <f t="shared" si="5"/>
        <v>20</v>
      </c>
      <c r="N36" s="14">
        <v>2.594511515119787E-3</v>
      </c>
      <c r="O36" s="14">
        <v>5225</v>
      </c>
      <c r="P36" s="14">
        <v>81.337165302424637</v>
      </c>
      <c r="Q36" s="14">
        <v>35418.920000000013</v>
      </c>
      <c r="R36" s="14">
        <v>6246.9120000000003</v>
      </c>
      <c r="S36" s="14">
        <f t="shared" si="6"/>
        <v>20</v>
      </c>
      <c r="T36" s="22">
        <f t="shared" si="7"/>
        <v>21.311065260593637</v>
      </c>
      <c r="U36" s="14">
        <f t="shared" si="1"/>
        <v>21.41</v>
      </c>
      <c r="V36" s="14">
        <f t="shared" si="8"/>
        <v>21.861173285284995</v>
      </c>
      <c r="W36" s="14">
        <f t="shared" si="9"/>
        <v>20.760957235902278</v>
      </c>
      <c r="X36" s="14">
        <f t="shared" si="2"/>
        <v>20.84</v>
      </c>
      <c r="Y36" s="14">
        <f t="shared" si="3"/>
        <v>21.51</v>
      </c>
      <c r="Z36" s="14">
        <f t="shared" si="15"/>
        <v>8.09</v>
      </c>
      <c r="AA36" s="14">
        <f t="shared" si="15"/>
        <v>26.23</v>
      </c>
      <c r="AB36" s="14">
        <f t="shared" si="15"/>
        <v>3.41</v>
      </c>
      <c r="AC36" s="14">
        <f t="shared" si="15"/>
        <v>4.0199999999999996</v>
      </c>
      <c r="AG36">
        <f>C$3*(C$1-C36)/C$2</f>
        <v>0.75000000000000178</v>
      </c>
      <c r="AH36">
        <f>D$3*(D$1-D36)/D$2</f>
        <v>0</v>
      </c>
      <c r="AI36">
        <f>E$3*(E$1-E36)/E$2</f>
        <v>0.38000000000000256</v>
      </c>
      <c r="AJ36">
        <f>F$3*(F$1-F36)/F$2</f>
        <v>0.85000000000000142</v>
      </c>
      <c r="AK36">
        <f>G$3*(G$1-G36)/G$2</f>
        <v>-0.29999999999999932</v>
      </c>
      <c r="AL36">
        <f>H$3*(H$1-H36)/H$2</f>
        <v>0</v>
      </c>
      <c r="AM36">
        <f>I$3*(I$1-I36)/I$2</f>
        <v>0.25021604938271641</v>
      </c>
      <c r="AN36">
        <f t="shared" si="10"/>
        <v>0.54189200000000126</v>
      </c>
      <c r="AO36">
        <f t="shared" si="11"/>
        <v>-2.7395564097727032E-2</v>
      </c>
      <c r="AQ36">
        <f t="shared" si="12"/>
        <v>21.861173285284995</v>
      </c>
      <c r="AR36">
        <f t="shared" si="13"/>
        <v>20.760957235902278</v>
      </c>
      <c r="AT36" t="str">
        <f t="shared" si="14"/>
        <v>45538A</v>
      </c>
    </row>
    <row r="37" spans="1:46" x14ac:dyDescent="0.3">
      <c r="A37" s="16">
        <v>45538</v>
      </c>
      <c r="B37" s="17" t="s">
        <v>19</v>
      </c>
      <c r="C37" s="14">
        <v>8.0939999999999994</v>
      </c>
      <c r="D37" s="14">
        <v>38.857142857142847</v>
      </c>
      <c r="E37" s="14">
        <v>25.997142857142851</v>
      </c>
      <c r="F37" s="14">
        <v>55.8</v>
      </c>
      <c r="G37" s="14">
        <v>4.0199999999999996</v>
      </c>
      <c r="H37" s="14">
        <v>3.422857142857143</v>
      </c>
      <c r="I37" s="14">
        <v>144.57142857142861</v>
      </c>
      <c r="J37" s="14">
        <v>9.8521459760907373</v>
      </c>
      <c r="K37" s="14">
        <v>3.1257445530413221E-4</v>
      </c>
      <c r="L37" s="14">
        <v>3.07952916205336E-3</v>
      </c>
      <c r="M37" s="14">
        <f t="shared" si="5"/>
        <v>20</v>
      </c>
      <c r="N37" s="14">
        <v>2.590917800961393E-3</v>
      </c>
      <c r="O37" s="14">
        <v>5225</v>
      </c>
      <c r="P37" s="14">
        <v>81.222585940988679</v>
      </c>
      <c r="Q37" s="14">
        <v>603.56000000000006</v>
      </c>
      <c r="R37" s="14">
        <v>5527.0240000000003</v>
      </c>
      <c r="S37" s="14">
        <f t="shared" si="6"/>
        <v>20</v>
      </c>
      <c r="T37" s="22">
        <f t="shared" si="7"/>
        <v>16.619115647818546</v>
      </c>
      <c r="U37" s="14">
        <f t="shared" si="1"/>
        <v>18.22</v>
      </c>
      <c r="V37" s="14">
        <f t="shared" si="8"/>
        <v>16.907984695437591</v>
      </c>
      <c r="W37" s="14">
        <f t="shared" si="9"/>
        <v>16.330246600199498</v>
      </c>
      <c r="X37" s="14">
        <f t="shared" si="2"/>
        <v>16.79</v>
      </c>
      <c r="Y37" s="14">
        <f t="shared" si="3"/>
        <v>15.82</v>
      </c>
      <c r="Z37" s="14">
        <f t="shared" si="15"/>
        <v>8.3000000000000007</v>
      </c>
      <c r="AA37" s="14">
        <f t="shared" si="15"/>
        <v>28.1</v>
      </c>
      <c r="AB37" s="14">
        <f t="shared" si="15"/>
        <v>3.44</v>
      </c>
      <c r="AC37" s="14">
        <f t="shared" si="15"/>
        <v>3.97</v>
      </c>
      <c r="AG37">
        <f>C$3*(C$1-C37)/C$2</f>
        <v>0.28000000000000475</v>
      </c>
      <c r="AH37">
        <f>D$3*(D$1-D37)/D$2</f>
        <v>0</v>
      </c>
      <c r="AI37">
        <f>E$3*(E$1-E37)/E$2</f>
        <v>0.42571428571429948</v>
      </c>
      <c r="AJ37">
        <f>F$3*(F$1-F37)/F$2</f>
        <v>0.36499999999999844</v>
      </c>
      <c r="AK37">
        <f>G$3*(G$1-G37)/G$2</f>
        <v>-0.29999999999999932</v>
      </c>
      <c r="AL37">
        <f>H$3*(H$1-H37)/H$2</f>
        <v>0</v>
      </c>
      <c r="AM37">
        <f>I$3*(I$1-I37)/I$2</f>
        <v>0.21273809523809384</v>
      </c>
      <c r="AN37">
        <f t="shared" si="10"/>
        <v>-2.9396439999999999</v>
      </c>
      <c r="AO37">
        <f t="shared" si="11"/>
        <v>-0.50429195218147527</v>
      </c>
      <c r="AQ37">
        <f t="shared" si="12"/>
        <v>16.907984695437591</v>
      </c>
      <c r="AR37">
        <f t="shared" si="13"/>
        <v>16.330246600199498</v>
      </c>
      <c r="AT37" t="str">
        <f t="shared" si="14"/>
        <v>45538B</v>
      </c>
    </row>
    <row r="38" spans="1:46" x14ac:dyDescent="0.3">
      <c r="A38" s="16">
        <v>45538</v>
      </c>
      <c r="B38" s="17" t="s">
        <v>20</v>
      </c>
      <c r="C38" s="14">
        <v>8.2524999999999995</v>
      </c>
      <c r="D38" s="14">
        <v>38.428571428571431</v>
      </c>
      <c r="E38" s="14">
        <v>27.828571428571429</v>
      </c>
      <c r="F38" s="14">
        <v>56</v>
      </c>
      <c r="G38" s="14">
        <v>3.9049999999999998</v>
      </c>
      <c r="H38" s="14">
        <v>3.4457142857142862</v>
      </c>
      <c r="I38" s="14">
        <v>143.85714285714289</v>
      </c>
      <c r="J38" s="14">
        <v>9.0366516138324258</v>
      </c>
      <c r="K38" s="14">
        <v>9.7461229840524778E-3</v>
      </c>
      <c r="L38" s="14">
        <v>8.8072317992447122E-2</v>
      </c>
      <c r="M38" s="14">
        <f t="shared" si="5"/>
        <v>20</v>
      </c>
      <c r="N38" s="14">
        <v>2.5921071444882358E-3</v>
      </c>
      <c r="O38" s="14">
        <v>5225</v>
      </c>
      <c r="P38" s="14">
        <v>82.860847602541966</v>
      </c>
      <c r="Q38" s="14">
        <v>41582.199999999997</v>
      </c>
      <c r="R38" s="14">
        <v>14129.743</v>
      </c>
      <c r="S38" s="14">
        <f t="shared" si="6"/>
        <v>20</v>
      </c>
      <c r="T38" s="25">
        <f t="shared" si="7"/>
        <v>18.690332178684358</v>
      </c>
      <c r="U38" s="14">
        <f t="shared" si="1"/>
        <v>16.36</v>
      </c>
      <c r="V38" s="14">
        <f t="shared" si="8"/>
        <v>19.039121861224039</v>
      </c>
      <c r="W38" s="14">
        <f t="shared" si="9"/>
        <v>18.341542496144676</v>
      </c>
      <c r="X38" s="14" t="e">
        <f t="shared" si="2"/>
        <v>#N/A</v>
      </c>
      <c r="Y38" s="14" t="e">
        <f t="shared" si="3"/>
        <v>#N/A</v>
      </c>
      <c r="Z38" s="14">
        <f t="shared" si="15"/>
        <v>8.4700000000000006</v>
      </c>
      <c r="AA38" s="14">
        <f t="shared" si="15"/>
        <v>26.52</v>
      </c>
      <c r="AB38" s="14">
        <f t="shared" si="15"/>
        <v>3.5</v>
      </c>
      <c r="AC38" s="14">
        <f t="shared" si="15"/>
        <v>3.91</v>
      </c>
      <c r="AG38">
        <f>C$3*(C$1-C38)/C$2</f>
        <v>-0.51249999999999574</v>
      </c>
      <c r="AH38">
        <f>D$3*(D$1-D38)/D$2</f>
        <v>0</v>
      </c>
      <c r="AI38">
        <f>E$3*(E$1-E38)/E$2</f>
        <v>-3.2371428571428567</v>
      </c>
      <c r="AJ38">
        <f>F$3*(F$1-F38)/F$2</f>
        <v>0.46499999999999986</v>
      </c>
      <c r="AK38">
        <f>G$3*(G$1-G38)/G$2</f>
        <v>-0.13571428571428534</v>
      </c>
      <c r="AL38">
        <f>H$3*(H$1-H38)/H$2</f>
        <v>0</v>
      </c>
      <c r="AM38">
        <f>I$3*(I$1-I38)/I$2</f>
        <v>0.23257936507936391</v>
      </c>
      <c r="AN38">
        <f t="shared" si="10"/>
        <v>1.1582199999999998</v>
      </c>
      <c r="AO38">
        <f t="shared" si="11"/>
        <v>1.1266967723351478</v>
      </c>
      <c r="AQ38">
        <f t="shared" si="12"/>
        <v>19.039121861224039</v>
      </c>
      <c r="AR38">
        <f t="shared" si="13"/>
        <v>18.341542496144676</v>
      </c>
      <c r="AT38" t="str">
        <f t="shared" si="14"/>
        <v>45538C</v>
      </c>
    </row>
    <row r="39" spans="1:46" x14ac:dyDescent="0.3">
      <c r="A39" s="16">
        <v>45539</v>
      </c>
      <c r="B39" s="17" t="s">
        <v>21</v>
      </c>
      <c r="C39" s="14">
        <v>8.4666666666666668</v>
      </c>
      <c r="D39" s="14">
        <v>37.25</v>
      </c>
      <c r="E39" s="14">
        <v>26.524999999999999</v>
      </c>
      <c r="F39" s="14">
        <v>55.99</v>
      </c>
      <c r="G39" s="14">
        <v>3.91</v>
      </c>
      <c r="H39" s="14">
        <v>3.5049999999999999</v>
      </c>
      <c r="I39" s="14">
        <v>141.75</v>
      </c>
      <c r="J39" s="14">
        <v>9.2324068386317837</v>
      </c>
      <c r="K39" s="14">
        <v>2.2197895242148661E-2</v>
      </c>
      <c r="L39" s="14">
        <v>0.2049399998368453</v>
      </c>
      <c r="M39" s="14">
        <f t="shared" si="5"/>
        <v>20</v>
      </c>
      <c r="N39" s="14">
        <v>2.5897742931884479E-3</v>
      </c>
      <c r="O39" s="14">
        <v>5225</v>
      </c>
      <c r="P39" s="14">
        <v>81.986263234818693</v>
      </c>
      <c r="Q39" s="14">
        <v>50244.320000000007</v>
      </c>
      <c r="R39" s="14">
        <v>2964.9009999999998</v>
      </c>
      <c r="S39" s="14">
        <f t="shared" si="6"/>
        <v>20</v>
      </c>
      <c r="T39" s="22">
        <f t="shared" si="7"/>
        <v>19.976643468768188</v>
      </c>
      <c r="U39" s="14">
        <f t="shared" si="1"/>
        <v>19.89</v>
      </c>
      <c r="V39" s="14">
        <f t="shared" si="8"/>
        <v>20.352199024323742</v>
      </c>
      <c r="W39" s="14">
        <f t="shared" si="9"/>
        <v>19.601087913212631</v>
      </c>
      <c r="X39" s="14">
        <f t="shared" si="2"/>
        <v>19.989999999999998</v>
      </c>
      <c r="Y39" s="14">
        <f t="shared" si="3"/>
        <v>20.32</v>
      </c>
      <c r="Z39" s="14">
        <f t="shared" si="15"/>
        <v>8.32</v>
      </c>
      <c r="AA39" s="14">
        <f t="shared" si="15"/>
        <v>27.31</v>
      </c>
      <c r="AB39" s="14">
        <f t="shared" si="15"/>
        <v>3.51</v>
      </c>
      <c r="AC39" s="14">
        <f t="shared" si="15"/>
        <v>4.05</v>
      </c>
      <c r="AG39">
        <f>C$3*(C$1-C39)/C$2</f>
        <v>-1.5833333333333321</v>
      </c>
      <c r="AH39">
        <f>D$3*(D$1-D39)/D$2</f>
        <v>0</v>
      </c>
      <c r="AI39">
        <f>E$3*(E$1-E39)/E$2</f>
        <v>-0.62999999999999545</v>
      </c>
      <c r="AJ39">
        <f>F$3*(F$1-F39)/F$2</f>
        <v>0.46000000000000085</v>
      </c>
      <c r="AK39">
        <f>G$3*(G$1-G39)/G$2</f>
        <v>-0.14285714285714296</v>
      </c>
      <c r="AL39">
        <f>H$3*(H$1-H39)/H$2</f>
        <v>0</v>
      </c>
      <c r="AM39">
        <f>I$3*(I$1-I39)/I$2</f>
        <v>0.29111111111111082</v>
      </c>
      <c r="AN39">
        <f t="shared" si="10"/>
        <v>2.0244320000000009</v>
      </c>
      <c r="AO39">
        <f t="shared" si="11"/>
        <v>0.73518632273643192</v>
      </c>
      <c r="AQ39">
        <f t="shared" si="12"/>
        <v>20.352199024323742</v>
      </c>
      <c r="AR39">
        <f t="shared" si="13"/>
        <v>19.601087913212631</v>
      </c>
      <c r="AT39" t="str">
        <f t="shared" si="14"/>
        <v>45539A</v>
      </c>
    </row>
    <row r="40" spans="1:46" x14ac:dyDescent="0.3">
      <c r="A40" s="16">
        <v>45539</v>
      </c>
      <c r="B40" s="17" t="s">
        <v>19</v>
      </c>
      <c r="C40" s="14">
        <v>8.2449999999999992</v>
      </c>
      <c r="D40" s="14">
        <v>37.888888888888893</v>
      </c>
      <c r="E40" s="14">
        <v>26.90111111111111</v>
      </c>
      <c r="F40" s="14">
        <v>54.89</v>
      </c>
      <c r="G40" s="14">
        <v>4.05</v>
      </c>
      <c r="H40" s="14">
        <v>3.4866666666666659</v>
      </c>
      <c r="I40" s="14">
        <v>147.2222222222222</v>
      </c>
      <c r="J40" s="14">
        <v>8.652920433527246</v>
      </c>
      <c r="K40" s="14">
        <v>1.541855595519863E-3</v>
      </c>
      <c r="L40" s="14">
        <v>1.334155378802215E-2</v>
      </c>
      <c r="M40" s="14">
        <f t="shared" si="5"/>
        <v>20</v>
      </c>
      <c r="N40" s="14">
        <v>2.590708236847213E-3</v>
      </c>
      <c r="O40" s="14">
        <v>5225</v>
      </c>
      <c r="P40" s="14">
        <v>83.597185904267874</v>
      </c>
      <c r="Q40" s="14">
        <v>4371.2</v>
      </c>
      <c r="R40" s="14">
        <v>9315.1209999999992</v>
      </c>
      <c r="S40" s="14">
        <f t="shared" si="6"/>
        <v>20</v>
      </c>
      <c r="T40" s="22">
        <f t="shared" si="7"/>
        <v>16.77676030366862</v>
      </c>
      <c r="U40" s="14">
        <f t="shared" si="1"/>
        <v>17.64</v>
      </c>
      <c r="V40" s="14">
        <f t="shared" si="8"/>
        <v>16.801312772804422</v>
      </c>
      <c r="W40" s="14">
        <f t="shared" si="9"/>
        <v>16.752207834532818</v>
      </c>
      <c r="X40" s="14">
        <f t="shared" si="2"/>
        <v>14.5</v>
      </c>
      <c r="Y40" s="14">
        <f t="shared" si="3"/>
        <v>14.06</v>
      </c>
      <c r="Z40" s="14">
        <f t="shared" si="15"/>
        <v>8.32</v>
      </c>
      <c r="AA40" s="14">
        <f t="shared" si="15"/>
        <v>27.45</v>
      </c>
      <c r="AB40" s="14">
        <f t="shared" si="15"/>
        <v>3.53</v>
      </c>
      <c r="AC40" s="14">
        <f t="shared" si="15"/>
        <v>4.05</v>
      </c>
      <c r="AG40">
        <f>C$3*(C$1-C40)/C$2</f>
        <v>-0.47499999999999432</v>
      </c>
      <c r="AH40">
        <f>D$3*(D$1-D40)/D$2</f>
        <v>0</v>
      </c>
      <c r="AI40">
        <f>E$3*(E$1-E40)/E$2</f>
        <v>-1.382222222222218</v>
      </c>
      <c r="AJ40">
        <f>F$3*(F$1-F40)/F$2</f>
        <v>-8.9999999999999844E-2</v>
      </c>
      <c r="AK40">
        <f>G$3*(G$1-G40)/G$2</f>
        <v>-0.34285714285714253</v>
      </c>
      <c r="AL40">
        <f>H$3*(H$1-H40)/H$2</f>
        <v>0</v>
      </c>
      <c r="AM40">
        <f>I$3*(I$1-I40)/I$2</f>
        <v>0.13910493827160528</v>
      </c>
      <c r="AN40">
        <f t="shared" si="10"/>
        <v>-2.5628799999999998</v>
      </c>
      <c r="AO40">
        <f t="shared" si="11"/>
        <v>1.8941591329455072</v>
      </c>
      <c r="AQ40">
        <f t="shared" si="12"/>
        <v>16.801312772804422</v>
      </c>
      <c r="AR40">
        <f t="shared" si="13"/>
        <v>16.752207834532818</v>
      </c>
      <c r="AT40" t="str">
        <f t="shared" si="14"/>
        <v>45539B</v>
      </c>
    </row>
    <row r="41" spans="1:46" x14ac:dyDescent="0.3">
      <c r="A41" s="16">
        <v>45539</v>
      </c>
      <c r="B41" s="24" t="s">
        <v>20</v>
      </c>
      <c r="C41" s="14">
        <v>8.3166666666666682</v>
      </c>
      <c r="D41" s="14">
        <v>38.4</v>
      </c>
      <c r="E41" s="14">
        <v>27.3</v>
      </c>
      <c r="F41" s="14">
        <v>55.24</v>
      </c>
      <c r="G41" s="14">
        <v>4.05</v>
      </c>
      <c r="H41" s="14">
        <v>3.54</v>
      </c>
      <c r="I41" s="14">
        <v>146.4</v>
      </c>
      <c r="J41" s="14">
        <v>8.7322634755159978</v>
      </c>
      <c r="K41" s="14">
        <v>1.6218656888617521E-2</v>
      </c>
      <c r="L41" s="14">
        <v>0.14162558517040069</v>
      </c>
      <c r="M41" s="14">
        <f t="shared" si="5"/>
        <v>20</v>
      </c>
      <c r="N41" s="14">
        <v>2.5934733877255281E-3</v>
      </c>
      <c r="O41" s="14">
        <v>5225</v>
      </c>
      <c r="P41" s="14">
        <v>89.458779726386922</v>
      </c>
      <c r="Q41" s="14">
        <v>66133.2</v>
      </c>
      <c r="R41" s="14">
        <v>12533.172</v>
      </c>
      <c r="S41" s="14">
        <f t="shared" si="6"/>
        <v>20</v>
      </c>
      <c r="T41" s="25">
        <f t="shared" si="7"/>
        <v>21.951619594999745</v>
      </c>
      <c r="U41" s="14">
        <f t="shared" si="1"/>
        <v>13.39</v>
      </c>
      <c r="V41" s="14">
        <f t="shared" si="8"/>
        <v>22.075091817221967</v>
      </c>
      <c r="W41" s="14">
        <f t="shared" si="9"/>
        <v>21.828147372777522</v>
      </c>
      <c r="X41" s="14" t="e">
        <f t="shared" si="2"/>
        <v>#N/A</v>
      </c>
      <c r="Y41" s="14" t="e">
        <f t="shared" si="3"/>
        <v>#N/A</v>
      </c>
      <c r="Z41" s="14">
        <f t="shared" si="15"/>
        <v>8.5</v>
      </c>
      <c r="AA41" s="14">
        <f t="shared" si="15"/>
        <v>26.89</v>
      </c>
      <c r="AB41" s="14">
        <f t="shared" si="15"/>
        <v>3.51</v>
      </c>
      <c r="AC41" s="14">
        <f t="shared" si="15"/>
        <v>4.05</v>
      </c>
      <c r="AG41">
        <f>C$3*(C$1-C41)/C$2</f>
        <v>-0.83333333333333925</v>
      </c>
      <c r="AH41">
        <f>D$3*(D$1-D41)/D$2</f>
        <v>0</v>
      </c>
      <c r="AI41">
        <f>E$3*(E$1-E41)/E$2</f>
        <v>-2.1799999999999997</v>
      </c>
      <c r="AJ41">
        <f>F$3*(F$1-F41)/F$2</f>
        <v>8.5000000000000853E-2</v>
      </c>
      <c r="AK41">
        <f>G$3*(G$1-G41)/G$2</f>
        <v>-0.34285714285714253</v>
      </c>
      <c r="AL41">
        <f>H$3*(H$1-H41)/H$2</f>
        <v>0</v>
      </c>
      <c r="AM41">
        <f>I$3*(I$1-I41)/I$2</f>
        <v>0.161944444444444</v>
      </c>
      <c r="AN41">
        <f t="shared" si="10"/>
        <v>3.6133199999999999</v>
      </c>
      <c r="AO41">
        <f t="shared" si="11"/>
        <v>1.7354730489680037</v>
      </c>
      <c r="AQ41">
        <f t="shared" si="12"/>
        <v>22.075091817221967</v>
      </c>
      <c r="AR41">
        <f t="shared" si="13"/>
        <v>21.828147372777522</v>
      </c>
      <c r="AT41" t="str">
        <f t="shared" si="14"/>
        <v>45539C</v>
      </c>
    </row>
    <row r="42" spans="1:46" x14ac:dyDescent="0.3">
      <c r="A42" s="16">
        <v>45540</v>
      </c>
      <c r="B42" s="17" t="s">
        <v>21</v>
      </c>
      <c r="C42" s="14">
        <v>8.5</v>
      </c>
      <c r="D42" s="14">
        <v>38.714285714285722</v>
      </c>
      <c r="E42" s="14">
        <v>26.89142857142857</v>
      </c>
      <c r="F42" s="14">
        <v>54.89</v>
      </c>
      <c r="G42" s="14">
        <v>4.05</v>
      </c>
      <c r="H42" s="14">
        <v>3.5142857142857151</v>
      </c>
      <c r="I42" s="14">
        <v>145.85714285714289</v>
      </c>
      <c r="J42" s="14">
        <v>8.1365005839424374</v>
      </c>
      <c r="K42" s="14">
        <v>4.366254518413719E-3</v>
      </c>
      <c r="L42" s="14">
        <v>3.5526032438714529E-2</v>
      </c>
      <c r="M42" s="14">
        <f t="shared" si="5"/>
        <v>20</v>
      </c>
      <c r="N42" s="14">
        <v>2.591916947993165E-3</v>
      </c>
      <c r="O42" s="14">
        <v>5225</v>
      </c>
      <c r="P42" s="14">
        <v>85.482596228274687</v>
      </c>
      <c r="Q42" s="14">
        <v>12471.84</v>
      </c>
      <c r="R42" s="14">
        <v>5108.03</v>
      </c>
      <c r="S42" s="14">
        <f t="shared" si="6"/>
        <v>20</v>
      </c>
      <c r="T42" s="22">
        <f t="shared" si="7"/>
        <v>17.102515784496084</v>
      </c>
      <c r="U42" s="14">
        <f t="shared" si="1"/>
        <v>16.13</v>
      </c>
      <c r="V42" s="14">
        <f t="shared" si="8"/>
        <v>17.146027689257988</v>
      </c>
      <c r="W42" s="14">
        <f t="shared" si="9"/>
        <v>17.059003879734178</v>
      </c>
      <c r="X42" s="14">
        <f t="shared" si="2"/>
        <v>15.74</v>
      </c>
      <c r="Y42" s="14">
        <f t="shared" si="3"/>
        <v>15.97</v>
      </c>
      <c r="Z42" s="14">
        <f t="shared" si="15"/>
        <v>8.4</v>
      </c>
      <c r="AA42" s="14">
        <f t="shared" si="15"/>
        <v>27.73</v>
      </c>
      <c r="AB42" s="14">
        <f t="shared" si="15"/>
        <v>3.5</v>
      </c>
      <c r="AC42" s="14">
        <f t="shared" si="15"/>
        <v>4.05</v>
      </c>
      <c r="AG42">
        <f>C$3*(C$1-C42)/C$2</f>
        <v>-1.7499999999999984</v>
      </c>
      <c r="AH42">
        <f>D$3*(D$1-D42)/D$2</f>
        <v>0</v>
      </c>
      <c r="AI42">
        <f>E$3*(E$1-E42)/E$2</f>
        <v>-1.3628571428571377</v>
      </c>
      <c r="AJ42">
        <f>F$3*(F$1-F42)/F$2</f>
        <v>-8.9999999999999844E-2</v>
      </c>
      <c r="AK42">
        <f>G$3*(G$1-G42)/G$2</f>
        <v>-0.34285714285714253</v>
      </c>
      <c r="AL42">
        <f>H$3*(H$1-H42)/H$2</f>
        <v>0</v>
      </c>
      <c r="AM42">
        <f>I$3*(I$1-I42)/I$2</f>
        <v>0.17702380952380833</v>
      </c>
      <c r="AN42">
        <f t="shared" si="10"/>
        <v>-1.7528159999999999</v>
      </c>
      <c r="AO42">
        <f t="shared" si="11"/>
        <v>2.9269988321151246</v>
      </c>
      <c r="AQ42">
        <f t="shared" si="12"/>
        <v>17.146027689257988</v>
      </c>
      <c r="AR42">
        <f t="shared" si="13"/>
        <v>17.059003879734178</v>
      </c>
      <c r="AT42" t="str">
        <f t="shared" si="14"/>
        <v>45540A</v>
      </c>
    </row>
    <row r="43" spans="1:46" x14ac:dyDescent="0.3">
      <c r="A43" s="16">
        <v>45540</v>
      </c>
      <c r="B43" s="17" t="s">
        <v>19</v>
      </c>
      <c r="C43" s="14">
        <v>8.4580000000000002</v>
      </c>
      <c r="D43" s="14">
        <v>37.285714285714278</v>
      </c>
      <c r="E43" s="14">
        <v>27.118571428571428</v>
      </c>
      <c r="F43" s="14">
        <v>54.1</v>
      </c>
      <c r="G43" s="14">
        <v>4.05</v>
      </c>
      <c r="H43" s="14">
        <v>3.5228571428571431</v>
      </c>
      <c r="I43" s="14">
        <v>138.85714285714289</v>
      </c>
      <c r="J43" s="14">
        <v>10.998658010791409</v>
      </c>
      <c r="K43" s="14">
        <v>6.5193720791456534E-3</v>
      </c>
      <c r="L43" s="14">
        <v>7.1704343943625196E-2</v>
      </c>
      <c r="M43" s="14">
        <f t="shared" si="5"/>
        <v>20</v>
      </c>
      <c r="N43" s="14">
        <v>2.6073641566913531E-3</v>
      </c>
      <c r="O43" s="14">
        <v>5225</v>
      </c>
      <c r="P43" s="14">
        <v>117.3519331358581</v>
      </c>
      <c r="Q43" s="14">
        <v>17023.400000000001</v>
      </c>
      <c r="R43" s="14">
        <v>9050.5249999999996</v>
      </c>
      <c r="S43" s="14">
        <f t="shared" si="6"/>
        <v>20</v>
      </c>
      <c r="T43" s="22">
        <f t="shared" si="7"/>
        <v>11.751626438734645</v>
      </c>
      <c r="U43" s="14">
        <f t="shared" si="1"/>
        <v>14.98</v>
      </c>
      <c r="V43" s="14">
        <f t="shared" si="8"/>
        <v>11.694860565718772</v>
      </c>
      <c r="W43" s="14">
        <f t="shared" si="9"/>
        <v>11.808392311750518</v>
      </c>
      <c r="X43" s="14">
        <f t="shared" si="2"/>
        <v>11.37</v>
      </c>
      <c r="Y43" s="14">
        <f t="shared" si="3"/>
        <v>10.14</v>
      </c>
      <c r="Z43" s="14">
        <f t="shared" si="15"/>
        <v>8.35</v>
      </c>
      <c r="AA43" s="14">
        <f t="shared" si="15"/>
        <v>26.5</v>
      </c>
      <c r="AB43" s="14">
        <f t="shared" si="15"/>
        <v>3.46</v>
      </c>
      <c r="AC43" s="14">
        <f t="shared" si="15"/>
        <v>4</v>
      </c>
      <c r="AG43">
        <f>C$3*(C$1-C43)/C$2</f>
        <v>-1.5399999999999991</v>
      </c>
      <c r="AH43">
        <f>D$3*(D$1-D43)/D$2</f>
        <v>0</v>
      </c>
      <c r="AI43">
        <f>E$3*(E$1-E43)/E$2</f>
        <v>-1.817142857142855</v>
      </c>
      <c r="AJ43">
        <f>F$3*(F$1-F43)/F$2</f>
        <v>-0.48499999999999943</v>
      </c>
      <c r="AK43">
        <f>G$3*(G$1-G43)/G$2</f>
        <v>-0.34285714285714253</v>
      </c>
      <c r="AL43">
        <f>H$3*(H$1-H43)/H$2</f>
        <v>0</v>
      </c>
      <c r="AM43">
        <f>I$3*(I$1-I43)/I$2</f>
        <v>0.37146825396825284</v>
      </c>
      <c r="AN43">
        <f t="shared" si="10"/>
        <v>-1.2976599999999998</v>
      </c>
      <c r="AO43">
        <f t="shared" si="11"/>
        <v>-2.7973160215828194</v>
      </c>
      <c r="AQ43">
        <f t="shared" si="12"/>
        <v>11.694860565718772</v>
      </c>
      <c r="AR43">
        <f t="shared" si="13"/>
        <v>11.808392311750518</v>
      </c>
      <c r="AT43" t="str">
        <f t="shared" si="14"/>
        <v>45540B</v>
      </c>
    </row>
    <row r="44" spans="1:46" x14ac:dyDescent="0.3">
      <c r="A44" s="16">
        <v>45540</v>
      </c>
      <c r="B44" s="17" t="s">
        <v>20</v>
      </c>
      <c r="C44" s="14">
        <v>8.3699999999999992</v>
      </c>
      <c r="D44" s="14">
        <v>37.200000000000003</v>
      </c>
      <c r="E44" s="14">
        <v>26.52</v>
      </c>
      <c r="F44" s="14">
        <v>56.24</v>
      </c>
      <c r="G44" s="14">
        <v>3.9950000000000001</v>
      </c>
      <c r="H44" s="14">
        <v>3.4359999999999999</v>
      </c>
      <c r="I44" s="14">
        <v>144.19999999999999</v>
      </c>
      <c r="J44" s="14">
        <v>9.2575623116350449</v>
      </c>
      <c r="K44" s="14">
        <v>2.425207262881366E-3</v>
      </c>
      <c r="L44" s="14">
        <v>2.2451507354754121E-2</v>
      </c>
      <c r="M44" s="14">
        <f t="shared" si="5"/>
        <v>20</v>
      </c>
      <c r="N44" s="14">
        <v>2.5903353502616561E-3</v>
      </c>
      <c r="O44" s="14">
        <v>5225</v>
      </c>
      <c r="P44" s="14">
        <v>81.199077646666851</v>
      </c>
      <c r="Q44" s="14">
        <v>7740</v>
      </c>
      <c r="R44" s="14">
        <v>11042.933999999999</v>
      </c>
      <c r="S44" s="14">
        <f t="shared" si="6"/>
        <v>20</v>
      </c>
      <c r="T44" s="25">
        <f t="shared" si="7"/>
        <v>16.614813040221982</v>
      </c>
      <c r="U44" s="14">
        <f t="shared" si="1"/>
        <v>11.36</v>
      </c>
      <c r="V44" s="14">
        <f t="shared" si="8"/>
        <v>17.018840817999759</v>
      </c>
      <c r="W44" s="14">
        <f t="shared" si="9"/>
        <v>16.210785262444205</v>
      </c>
      <c r="X44" s="14" t="e">
        <f t="shared" si="2"/>
        <v>#N/A</v>
      </c>
      <c r="Y44" s="14" t="e">
        <f t="shared" si="3"/>
        <v>#N/A</v>
      </c>
      <c r="Z44" s="14">
        <f t="shared" si="15"/>
        <v>8.5</v>
      </c>
      <c r="AA44" s="14">
        <f t="shared" si="15"/>
        <v>25.43</v>
      </c>
      <c r="AB44" s="14">
        <f t="shared" si="15"/>
        <v>3.47</v>
      </c>
      <c r="AC44" s="14">
        <f t="shared" si="15"/>
        <v>4</v>
      </c>
      <c r="AG44">
        <f>C$3*(C$1-C44)/C$2</f>
        <v>-1.0999999999999943</v>
      </c>
      <c r="AH44">
        <f>D$3*(D$1-D44)/D$2</f>
        <v>0</v>
      </c>
      <c r="AI44">
        <f>E$3*(E$1-E44)/E$2</f>
        <v>-0.61999999999999744</v>
      </c>
      <c r="AJ44">
        <f>F$3*(F$1-F44)/F$2</f>
        <v>0.58500000000000085</v>
      </c>
      <c r="AK44">
        <f>G$3*(G$1-G44)/G$2</f>
        <v>-0.26428571428571435</v>
      </c>
      <c r="AL44">
        <f>H$3*(H$1-H44)/H$2</f>
        <v>0</v>
      </c>
      <c r="AM44">
        <f>I$3*(I$1-I44)/I$2</f>
        <v>0.22305555555555559</v>
      </c>
      <c r="AN44">
        <f t="shared" si="10"/>
        <v>-2.226</v>
      </c>
      <c r="AO44">
        <f t="shared" si="11"/>
        <v>0.68487537672990939</v>
      </c>
      <c r="AQ44">
        <f t="shared" si="12"/>
        <v>17.018840817999759</v>
      </c>
      <c r="AR44">
        <f t="shared" si="13"/>
        <v>16.210785262444205</v>
      </c>
      <c r="AT44" t="str">
        <f t="shared" si="14"/>
        <v>45540C</v>
      </c>
    </row>
    <row r="45" spans="1:46" x14ac:dyDescent="0.3">
      <c r="A45" s="16">
        <v>45541</v>
      </c>
      <c r="B45" s="17" t="s">
        <v>21</v>
      </c>
      <c r="C45" s="14">
        <v>8.5</v>
      </c>
      <c r="D45" s="14">
        <v>38.75</v>
      </c>
      <c r="E45" s="14">
        <v>25.432500000000001</v>
      </c>
      <c r="F45" s="14">
        <v>56.24</v>
      </c>
      <c r="G45" s="14">
        <v>4</v>
      </c>
      <c r="H45" s="14">
        <v>3.4750000000000001</v>
      </c>
      <c r="I45" s="14">
        <v>144.25</v>
      </c>
      <c r="J45" s="14">
        <v>9.0295199197210518</v>
      </c>
      <c r="K45" s="14">
        <v>1.4512531652580291E-2</v>
      </c>
      <c r="L45" s="14">
        <v>0.13104119364255601</v>
      </c>
      <c r="M45" s="14">
        <f t="shared" si="5"/>
        <v>20</v>
      </c>
      <c r="N45" s="14">
        <v>2.589927933175177E-3</v>
      </c>
      <c r="O45" s="14">
        <v>5225</v>
      </c>
      <c r="P45" s="14">
        <v>81.986067581327433</v>
      </c>
      <c r="Q45" s="14">
        <v>32320</v>
      </c>
      <c r="R45" s="14">
        <v>6966.0610000000006</v>
      </c>
      <c r="S45" s="14">
        <f t="shared" si="6"/>
        <v>20</v>
      </c>
      <c r="T45" s="25">
        <f t="shared" si="7"/>
        <v>20.774268989129325</v>
      </c>
      <c r="U45" s="14">
        <f t="shared" si="1"/>
        <v>12.05</v>
      </c>
      <c r="V45" s="14">
        <f t="shared" si="8"/>
        <v>21.177602322462661</v>
      </c>
      <c r="W45" s="14">
        <f t="shared" si="9"/>
        <v>20.370935655795993</v>
      </c>
      <c r="X45" s="14">
        <f t="shared" si="2"/>
        <v>12.17</v>
      </c>
      <c r="Y45" s="14">
        <f t="shared" si="3"/>
        <v>11.87</v>
      </c>
      <c r="Z45" s="14">
        <f t="shared" si="15"/>
        <v>8.1999999999999993</v>
      </c>
      <c r="AA45" s="14">
        <f t="shared" si="15"/>
        <v>25.74</v>
      </c>
      <c r="AB45" s="14">
        <f t="shared" si="15"/>
        <v>3.42</v>
      </c>
      <c r="AC45" s="14">
        <f t="shared" si="15"/>
        <v>3.89</v>
      </c>
      <c r="AG45">
        <f>C$3*(C$1-C45)/C$2</f>
        <v>-1.7499999999999984</v>
      </c>
      <c r="AH45">
        <f>D$3*(D$1-D45)/D$2</f>
        <v>0</v>
      </c>
      <c r="AI45">
        <f>E$3*(E$1-E45)/E$2</f>
        <v>1.5549999999999997</v>
      </c>
      <c r="AJ45">
        <f>F$3*(F$1-F45)/F$2</f>
        <v>0.58500000000000085</v>
      </c>
      <c r="AK45">
        <f>G$3*(G$1-G45)/G$2</f>
        <v>-0.27142857142857135</v>
      </c>
      <c r="AL45">
        <f>H$3*(H$1-H45)/H$2</f>
        <v>0</v>
      </c>
      <c r="AM45">
        <f>I$3*(I$1-I45)/I$2</f>
        <v>0.2216666666666664</v>
      </c>
      <c r="AN45">
        <f t="shared" si="10"/>
        <v>0.23200000000000001</v>
      </c>
      <c r="AO45">
        <f t="shared" si="11"/>
        <v>1.1409601605578956</v>
      </c>
      <c r="AQ45">
        <f t="shared" si="12"/>
        <v>21.177602322462661</v>
      </c>
      <c r="AR45">
        <f t="shared" si="13"/>
        <v>20.370935655795993</v>
      </c>
      <c r="AT45" t="str">
        <f t="shared" si="14"/>
        <v>45541A</v>
      </c>
    </row>
    <row r="46" spans="1:46" x14ac:dyDescent="0.3">
      <c r="A46" s="16">
        <v>45541</v>
      </c>
      <c r="B46" s="17" t="s">
        <v>19</v>
      </c>
      <c r="C46" s="14">
        <v>8.1960000000000015</v>
      </c>
      <c r="D46" s="14">
        <v>37.571428571428569</v>
      </c>
      <c r="E46" s="14">
        <v>26.074285714285711</v>
      </c>
      <c r="F46" s="14">
        <v>56.56</v>
      </c>
      <c r="G46" s="14">
        <v>3.89</v>
      </c>
      <c r="H46" s="14">
        <v>3.4057142857142861</v>
      </c>
      <c r="I46" s="14">
        <v>142.71428571428569</v>
      </c>
      <c r="J46" s="14">
        <v>8.6026708842459225</v>
      </c>
      <c r="K46" s="14">
        <v>3.182188450668227E-3</v>
      </c>
      <c r="L46" s="14">
        <v>2.7375319932747191E-2</v>
      </c>
      <c r="M46" s="14">
        <f t="shared" si="5"/>
        <v>20</v>
      </c>
      <c r="N46" s="14">
        <v>2.5913226519826732E-3</v>
      </c>
      <c r="O46" s="14">
        <v>5225</v>
      </c>
      <c r="P46" s="14">
        <v>81.236682496743342</v>
      </c>
      <c r="Q46" s="14">
        <v>10225.120000000001</v>
      </c>
      <c r="R46" s="14">
        <v>10146.513999999999</v>
      </c>
      <c r="S46" s="14">
        <f t="shared" si="6"/>
        <v>20</v>
      </c>
      <c r="T46" s="14">
        <f t="shared" si="7"/>
        <v>20.125410053730377</v>
      </c>
      <c r="U46" s="14">
        <f t="shared" si="1"/>
        <v>14.94</v>
      </c>
      <c r="V46" s="14">
        <f t="shared" si="8"/>
        <v>20.630072752143079</v>
      </c>
      <c r="W46" s="14">
        <f t="shared" si="9"/>
        <v>19.620747355317679</v>
      </c>
      <c r="X46" s="14">
        <f t="shared" si="2"/>
        <v>16.7</v>
      </c>
      <c r="Y46" s="14">
        <f t="shared" si="3"/>
        <v>16.28</v>
      </c>
      <c r="Z46" s="14">
        <f t="shared" si="15"/>
        <v>8</v>
      </c>
      <c r="AA46" s="14">
        <f t="shared" si="15"/>
        <v>26.98</v>
      </c>
      <c r="AB46" s="14">
        <f t="shared" si="15"/>
        <v>3.25</v>
      </c>
      <c r="AC46" s="14">
        <f t="shared" si="15"/>
        <v>3.7</v>
      </c>
      <c r="AG46">
        <f>C$3*(C$1-C46)/C$2</f>
        <v>-0.23000000000000576</v>
      </c>
      <c r="AH46">
        <f>D$3*(D$1-D46)/D$2</f>
        <v>0</v>
      </c>
      <c r="AI46">
        <f>E$3*(E$1-E46)/E$2</f>
        <v>0.27142857142857935</v>
      </c>
      <c r="AJ46">
        <f>F$3*(F$1-F46)/F$2</f>
        <v>0.74500000000000099</v>
      </c>
      <c r="AK46">
        <f>G$3*(G$1-G46)/G$2</f>
        <v>-0.11428571428571438</v>
      </c>
      <c r="AL46">
        <f>H$3*(H$1-H46)/H$2</f>
        <v>0</v>
      </c>
      <c r="AM46">
        <f>I$3*(I$1-I46)/I$2</f>
        <v>0.26432539682539713</v>
      </c>
      <c r="AN46">
        <f t="shared" si="10"/>
        <v>-1.9774879999999997</v>
      </c>
      <c r="AO46">
        <f t="shared" si="11"/>
        <v>1.9946582315081542</v>
      </c>
      <c r="AQ46">
        <f t="shared" si="12"/>
        <v>20.630072752143079</v>
      </c>
      <c r="AR46">
        <f t="shared" si="13"/>
        <v>19.620747355317679</v>
      </c>
      <c r="AT46" t="str">
        <f t="shared" si="14"/>
        <v>45541B</v>
      </c>
    </row>
    <row r="47" spans="1:46" x14ac:dyDescent="0.3">
      <c r="A47" s="16">
        <v>45541</v>
      </c>
      <c r="B47" s="17" t="s">
        <v>20</v>
      </c>
      <c r="C47" s="14">
        <v>8</v>
      </c>
      <c r="D47" s="14">
        <v>37.5</v>
      </c>
      <c r="E47" s="14">
        <v>26.63333333333334</v>
      </c>
      <c r="F47" s="14">
        <v>56.56</v>
      </c>
      <c r="G47" s="14">
        <v>3.7</v>
      </c>
      <c r="H47" s="14">
        <v>3.273333333333333</v>
      </c>
      <c r="I47" s="14">
        <v>145.16666666666671</v>
      </c>
      <c r="J47" s="14">
        <v>8.8319028955476178</v>
      </c>
      <c r="K47" s="14">
        <v>8.1410017718382705E-3</v>
      </c>
      <c r="L47" s="14">
        <v>7.1900537121356703E-2</v>
      </c>
      <c r="M47" s="14">
        <f t="shared" si="5"/>
        <v>20</v>
      </c>
      <c r="N47" s="14">
        <v>2.594977545289008E-3</v>
      </c>
      <c r="O47" s="14">
        <v>5225</v>
      </c>
      <c r="P47" s="14">
        <v>81.351717383519855</v>
      </c>
      <c r="Q47" s="14">
        <v>26370.959999999999</v>
      </c>
      <c r="R47" s="14">
        <v>10280.174999999999</v>
      </c>
      <c r="S47" s="14">
        <f t="shared" si="6"/>
        <v>20</v>
      </c>
      <c r="T47" s="14">
        <f t="shared" si="7"/>
        <v>21.389713251232799</v>
      </c>
      <c r="U47" s="14">
        <f t="shared" si="1"/>
        <v>16.91</v>
      </c>
      <c r="V47" s="14">
        <f t="shared" si="8"/>
        <v>21.860315103084648</v>
      </c>
      <c r="W47" s="14">
        <f t="shared" si="9"/>
        <v>20.919111399380945</v>
      </c>
      <c r="X47" s="14" t="e">
        <f t="shared" si="2"/>
        <v>#N/A</v>
      </c>
      <c r="Y47" s="14" t="e">
        <f t="shared" si="3"/>
        <v>#N/A</v>
      </c>
      <c r="Z47" s="14">
        <f t="shared" ref="Z47:AC66" si="16">VLOOKUP($AT47,ggg,Z$4,0)</f>
        <v>8.1999999999999993</v>
      </c>
      <c r="AA47" s="14">
        <f t="shared" si="16"/>
        <v>27.12</v>
      </c>
      <c r="AB47" s="14">
        <f t="shared" si="16"/>
        <v>3.3</v>
      </c>
      <c r="AC47" s="14">
        <f t="shared" si="16"/>
        <v>3.7</v>
      </c>
      <c r="AG47">
        <f>C$3*(C$1-C47)/C$2</f>
        <v>0.75000000000000178</v>
      </c>
      <c r="AH47">
        <f>D$3*(D$1-D47)/D$2</f>
        <v>0</v>
      </c>
      <c r="AI47">
        <f>E$3*(E$1-E47)/E$2</f>
        <v>-0.84666666666667822</v>
      </c>
      <c r="AJ47">
        <f>F$3*(F$1-F47)/F$2</f>
        <v>0.74500000000000099</v>
      </c>
      <c r="AK47">
        <f>G$3*(G$1-G47)/G$2</f>
        <v>0.15714285714285697</v>
      </c>
      <c r="AL47">
        <f>H$3*(H$1-H47)/H$2</f>
        <v>0</v>
      </c>
      <c r="AM47">
        <f>I$3*(I$1-I47)/I$2</f>
        <v>0.1962037037037021</v>
      </c>
      <c r="AN47">
        <f t="shared" si="10"/>
        <v>-0.36290400000000006</v>
      </c>
      <c r="AO47">
        <f t="shared" si="11"/>
        <v>1.5361942089047638</v>
      </c>
      <c r="AQ47">
        <f t="shared" si="12"/>
        <v>21.860315103084648</v>
      </c>
      <c r="AR47">
        <f t="shared" si="13"/>
        <v>20.919111399380945</v>
      </c>
      <c r="AT47" t="str">
        <f t="shared" si="14"/>
        <v>45541C</v>
      </c>
    </row>
    <row r="48" spans="1:46" x14ac:dyDescent="0.3">
      <c r="A48" s="16">
        <v>45544</v>
      </c>
      <c r="B48" s="17" t="s">
        <v>21</v>
      </c>
      <c r="C48" s="14">
        <v>8.1999999999999993</v>
      </c>
      <c r="D48" s="14">
        <v>37.875</v>
      </c>
      <c r="E48" s="14">
        <v>27.125</v>
      </c>
      <c r="F48" s="14">
        <v>56.56</v>
      </c>
      <c r="G48" s="14">
        <v>3.7</v>
      </c>
      <c r="H48" s="14">
        <v>3.3050000000000002</v>
      </c>
      <c r="I48" s="14">
        <v>146.75</v>
      </c>
      <c r="J48" s="14">
        <v>6.6555139097906002</v>
      </c>
      <c r="K48" s="14">
        <v>6.0314255653308281E-3</v>
      </c>
      <c r="L48" s="14">
        <v>4.0142236745925958E-2</v>
      </c>
      <c r="M48" s="14">
        <f t="shared" si="5"/>
        <v>20</v>
      </c>
      <c r="N48" s="14">
        <v>2.5938238331970911E-3</v>
      </c>
      <c r="O48" s="14">
        <v>5225</v>
      </c>
      <c r="P48" s="14">
        <v>81.315627085785977</v>
      </c>
      <c r="Q48" s="14">
        <v>18671.759999999998</v>
      </c>
      <c r="R48" s="14">
        <v>7172.8239999999996</v>
      </c>
      <c r="S48" s="14">
        <f t="shared" si="6"/>
        <v>20</v>
      </c>
      <c r="T48" s="14">
        <f t="shared" si="7"/>
        <v>22.760090415339441</v>
      </c>
      <c r="U48" s="14">
        <f t="shared" si="1"/>
        <v>19.64</v>
      </c>
      <c r="V48" s="14">
        <f t="shared" si="8"/>
        <v>23.208701526450554</v>
      </c>
      <c r="W48" s="14">
        <f t="shared" si="9"/>
        <v>22.311479304228332</v>
      </c>
      <c r="X48" s="14">
        <f t="shared" si="2"/>
        <v>20.05</v>
      </c>
      <c r="Y48" s="14">
        <f t="shared" si="3"/>
        <v>19.739999999999998</v>
      </c>
      <c r="Z48" s="14">
        <f t="shared" si="16"/>
        <v>8.6</v>
      </c>
      <c r="AA48" s="14">
        <f t="shared" si="16"/>
        <v>30.01</v>
      </c>
      <c r="AB48" s="14">
        <f t="shared" si="16"/>
        <v>3.59</v>
      </c>
      <c r="AC48" s="14">
        <f t="shared" si="16"/>
        <v>3.7</v>
      </c>
      <c r="AG48">
        <f>C$3*(C$1-C48)/C$2</f>
        <v>-0.24999999999999467</v>
      </c>
      <c r="AH48">
        <f>D$3*(D$1-D48)/D$2</f>
        <v>0</v>
      </c>
      <c r="AI48">
        <f>E$3*(E$1-E48)/E$2</f>
        <v>-1.8299999999999983</v>
      </c>
      <c r="AJ48">
        <f>F$3*(F$1-F48)/F$2</f>
        <v>0.74500000000000099</v>
      </c>
      <c r="AK48">
        <f>G$3*(G$1-G48)/G$2</f>
        <v>0.15714285714285697</v>
      </c>
      <c r="AL48">
        <f>H$3*(H$1-H48)/H$2</f>
        <v>0</v>
      </c>
      <c r="AM48">
        <f>I$3*(I$1-I48)/I$2</f>
        <v>0.15222222222222195</v>
      </c>
      <c r="AN48">
        <f t="shared" si="10"/>
        <v>-1.1328240000000001</v>
      </c>
      <c r="AO48">
        <f t="shared" si="11"/>
        <v>5.8889721804187989</v>
      </c>
      <c r="AQ48">
        <f t="shared" si="12"/>
        <v>23.208701526450554</v>
      </c>
      <c r="AR48">
        <f t="shared" si="13"/>
        <v>22.311479304228332</v>
      </c>
      <c r="AT48" t="str">
        <f t="shared" si="14"/>
        <v>45544A</v>
      </c>
    </row>
    <row r="49" spans="1:46" x14ac:dyDescent="0.3">
      <c r="A49" s="16">
        <v>45544</v>
      </c>
      <c r="B49" s="17" t="s">
        <v>19</v>
      </c>
      <c r="C49" s="14">
        <v>8.4783333333333335</v>
      </c>
      <c r="D49" s="14">
        <v>38</v>
      </c>
      <c r="E49" s="14">
        <v>28.911111111111111</v>
      </c>
      <c r="F49" s="14">
        <v>56.2</v>
      </c>
      <c r="G49" s="14">
        <v>3.7</v>
      </c>
      <c r="H49" s="14">
        <v>3.6066666666666669</v>
      </c>
      <c r="I49" s="14">
        <v>135.11111111111109</v>
      </c>
      <c r="J49" s="14">
        <v>9.6182503156628911</v>
      </c>
      <c r="K49" s="14">
        <v>3.0756240985937817E-5</v>
      </c>
      <c r="L49" s="14">
        <v>2.958212245716005E-4</v>
      </c>
      <c r="M49" s="14">
        <f t="shared" si="5"/>
        <v>20</v>
      </c>
      <c r="N49" s="14">
        <v>2.599394282007467E-3</v>
      </c>
      <c r="O49" s="14">
        <v>5225</v>
      </c>
      <c r="P49" s="14">
        <v>98.669586728654636</v>
      </c>
      <c r="Q49" s="14">
        <v>59.040000000000013</v>
      </c>
      <c r="R49" s="14">
        <v>5425.1980000000003</v>
      </c>
      <c r="S49" s="14">
        <f t="shared" si="6"/>
        <v>20</v>
      </c>
      <c r="T49" s="14">
        <f t="shared" si="7"/>
        <v>9.9645995492738653</v>
      </c>
      <c r="U49" s="14">
        <f t="shared" si="1"/>
        <v>17.36</v>
      </c>
      <c r="V49" s="14">
        <f t="shared" si="8"/>
        <v>10.484861894952878</v>
      </c>
      <c r="W49" s="14">
        <f t="shared" si="9"/>
        <v>9.4443372035948521</v>
      </c>
      <c r="X49" s="14">
        <f t="shared" si="2"/>
        <v>12.95</v>
      </c>
      <c r="Y49" s="14">
        <f t="shared" si="3"/>
        <v>7</v>
      </c>
      <c r="Z49" s="14">
        <f t="shared" si="16"/>
        <v>8.64</v>
      </c>
      <c r="AA49" s="14">
        <f t="shared" si="16"/>
        <v>26.75</v>
      </c>
      <c r="AB49" s="14">
        <f t="shared" si="16"/>
        <v>3.85</v>
      </c>
      <c r="AC49" s="14">
        <f t="shared" si="16"/>
        <v>4.1900000000000004</v>
      </c>
      <c r="AG49">
        <f>C$3*(C$1-C49)/C$2</f>
        <v>-1.6416666666666659</v>
      </c>
      <c r="AH49">
        <f>D$3*(D$1-D49)/D$2</f>
        <v>0</v>
      </c>
      <c r="AI49">
        <f>E$3*(E$1-E49)/E$2</f>
        <v>-5.4022222222222211</v>
      </c>
      <c r="AJ49">
        <f>F$3*(F$1-F49)/F$2</f>
        <v>0.56500000000000128</v>
      </c>
      <c r="AK49">
        <f>G$3*(G$1-G49)/G$2</f>
        <v>0.15714285714285697</v>
      </c>
      <c r="AL49">
        <f>H$3*(H$1-H49)/H$2</f>
        <v>0</v>
      </c>
      <c r="AM49">
        <f>I$3*(I$1-I49)/I$2</f>
        <v>0.47552469135802516</v>
      </c>
      <c r="AN49">
        <f t="shared" si="10"/>
        <v>-2.9940959999999999</v>
      </c>
      <c r="AO49">
        <f t="shared" si="11"/>
        <v>-3.6500631325782962E-2</v>
      </c>
      <c r="AQ49">
        <f t="shared" si="12"/>
        <v>10.484861894952878</v>
      </c>
      <c r="AR49">
        <f t="shared" si="13"/>
        <v>9.4443372035948521</v>
      </c>
      <c r="AT49" t="str">
        <f t="shared" si="14"/>
        <v>45544B</v>
      </c>
    </row>
    <row r="50" spans="1:46" x14ac:dyDescent="0.3">
      <c r="A50" s="16">
        <v>45547</v>
      </c>
      <c r="B50" s="17" t="s">
        <v>21</v>
      </c>
      <c r="C50" s="14">
        <v>8.5566666666666666</v>
      </c>
      <c r="D50" s="14">
        <v>41.25</v>
      </c>
      <c r="E50" s="14">
        <v>27.4</v>
      </c>
      <c r="F50" s="14">
        <v>57.41</v>
      </c>
      <c r="G50" s="14">
        <v>4.085</v>
      </c>
      <c r="H50" s="14">
        <v>3.7050000000000001</v>
      </c>
      <c r="I50" s="14">
        <v>145.75</v>
      </c>
      <c r="J50" s="14">
        <v>8.2927441491001357</v>
      </c>
      <c r="K50" s="14">
        <v>5.4785135771305612E-3</v>
      </c>
      <c r="L50" s="14">
        <v>4.5431911412515118E-2</v>
      </c>
      <c r="M50" s="14">
        <f t="shared" si="5"/>
        <v>20</v>
      </c>
      <c r="N50" s="14">
        <v>2.5905795348531739E-3</v>
      </c>
      <c r="O50" s="14">
        <v>5225</v>
      </c>
      <c r="P50" s="14">
        <v>81.986232380834593</v>
      </c>
      <c r="Q50" s="14">
        <v>17244</v>
      </c>
      <c r="R50" s="14">
        <v>9296.5429999999997</v>
      </c>
      <c r="S50" s="14">
        <f t="shared" si="6"/>
        <v>20</v>
      </c>
      <c r="T50" s="14">
        <f t="shared" si="7"/>
        <v>16.827490758942588</v>
      </c>
      <c r="U50" s="14">
        <f t="shared" si="1"/>
        <v>11.92</v>
      </c>
      <c r="V50" s="14">
        <f t="shared" si="8"/>
        <v>17.502490758942589</v>
      </c>
      <c r="W50" s="14">
        <f t="shared" si="9"/>
        <v>16.152490758942591</v>
      </c>
      <c r="X50" s="14">
        <f t="shared" si="2"/>
        <v>12.68</v>
      </c>
      <c r="Y50" s="14">
        <f t="shared" si="3"/>
        <v>13.68</v>
      </c>
      <c r="Z50" s="14">
        <f t="shared" si="16"/>
        <v>8.5500000000000007</v>
      </c>
      <c r="AA50" s="14">
        <f t="shared" si="16"/>
        <v>26.77</v>
      </c>
      <c r="AB50" s="14">
        <f t="shared" si="16"/>
        <v>3.67</v>
      </c>
      <c r="AC50" s="14">
        <f t="shared" si="16"/>
        <v>4.2300000000000004</v>
      </c>
      <c r="AG50">
        <f>C$3*(C$1-C50)/C$2</f>
        <v>-2.0333333333333314</v>
      </c>
      <c r="AH50">
        <f>D$3*(D$1-D50)/D$2</f>
        <v>0</v>
      </c>
      <c r="AI50">
        <f>E$3*(E$1-E50)/E$2</f>
        <v>-2.3799999999999955</v>
      </c>
      <c r="AJ50">
        <f>F$3*(F$1-F50)/F$2</f>
        <v>1.1699999999999982</v>
      </c>
      <c r="AK50">
        <f>G$3*(G$1-G50)/G$2</f>
        <v>-0.39285714285714274</v>
      </c>
      <c r="AL50">
        <f>H$3*(H$1-H50)/H$2</f>
        <v>0</v>
      </c>
      <c r="AM50">
        <f>I$3*(I$1-I50)/I$2</f>
        <v>0.17999999999999972</v>
      </c>
      <c r="AN50">
        <f t="shared" si="10"/>
        <v>-1.2756000000000001</v>
      </c>
      <c r="AO50">
        <f t="shared" si="11"/>
        <v>2.6145117017997279</v>
      </c>
      <c r="AQ50">
        <f t="shared" si="12"/>
        <v>17.502490758942589</v>
      </c>
      <c r="AR50">
        <f t="shared" si="13"/>
        <v>16.152490758942591</v>
      </c>
      <c r="AT50" t="str">
        <f t="shared" si="14"/>
        <v>45547A</v>
      </c>
    </row>
    <row r="51" spans="1:46" x14ac:dyDescent="0.3">
      <c r="A51" s="16">
        <v>45547</v>
      </c>
      <c r="B51" s="17" t="s">
        <v>19</v>
      </c>
      <c r="C51" s="14">
        <v>8.5350000000000001</v>
      </c>
      <c r="D51" s="14">
        <v>38.833333333333343</v>
      </c>
      <c r="E51" s="14">
        <v>26.783333333333331</v>
      </c>
      <c r="F51" s="14">
        <v>56.59</v>
      </c>
      <c r="G51" s="14">
        <v>4.2300000000000004</v>
      </c>
      <c r="H51" s="14">
        <v>3.7</v>
      </c>
      <c r="I51" s="14">
        <v>139.66666666666671</v>
      </c>
      <c r="J51" s="14">
        <v>9.7501989366588813</v>
      </c>
      <c r="K51" s="14">
        <v>2.8082538626609198E-3</v>
      </c>
      <c r="L51" s="14">
        <v>2.738103382558469E-2</v>
      </c>
      <c r="M51" s="14">
        <f t="shared" si="5"/>
        <v>20</v>
      </c>
      <c r="N51" s="14">
        <v>2.5899208929606619E-3</v>
      </c>
      <c r="O51" s="14">
        <v>5225</v>
      </c>
      <c r="P51" s="14">
        <v>81.986263129595642</v>
      </c>
      <c r="Q51" s="14">
        <v>5603.2000000000007</v>
      </c>
      <c r="R51" s="14">
        <v>6081.348</v>
      </c>
      <c r="S51" s="14">
        <f t="shared" si="6"/>
        <v>20</v>
      </c>
      <c r="T51" s="14">
        <f t="shared" si="7"/>
        <v>13.548169400756315</v>
      </c>
      <c r="U51" s="14">
        <f t="shared" si="1"/>
        <v>10.71</v>
      </c>
      <c r="V51" s="14">
        <f t="shared" si="8"/>
        <v>14.102660141497056</v>
      </c>
      <c r="W51" s="14">
        <f t="shared" si="9"/>
        <v>12.993678660015574</v>
      </c>
      <c r="X51" s="14">
        <f t="shared" si="2"/>
        <v>7.75</v>
      </c>
      <c r="Y51" s="14">
        <f t="shared" si="3"/>
        <v>7</v>
      </c>
      <c r="Z51" s="14">
        <f t="shared" si="16"/>
        <v>8.36</v>
      </c>
      <c r="AA51" s="14">
        <f t="shared" si="16"/>
        <v>27.63</v>
      </c>
      <c r="AB51" s="14">
        <f t="shared" si="16"/>
        <v>3.49</v>
      </c>
      <c r="AC51" s="14">
        <f t="shared" si="16"/>
        <v>3.99</v>
      </c>
      <c r="AG51">
        <f>C$3*(C$1-C51)/C$2</f>
        <v>-1.9249999999999989</v>
      </c>
      <c r="AH51">
        <f>D$3*(D$1-D51)/D$2</f>
        <v>0</v>
      </c>
      <c r="AI51">
        <f>E$3*(E$1-E51)/E$2</f>
        <v>-1.1466666666666612</v>
      </c>
      <c r="AJ51">
        <f>F$3*(F$1-F51)/F$2</f>
        <v>0.76000000000000156</v>
      </c>
      <c r="AK51">
        <f>G$3*(G$1-G51)/G$2</f>
        <v>-0.60000000000000042</v>
      </c>
      <c r="AL51">
        <f>H$3*(H$1-H51)/H$2</f>
        <v>0</v>
      </c>
      <c r="AM51">
        <f>I$3*(I$1-I51)/I$2</f>
        <v>0.34898148148147995</v>
      </c>
      <c r="AN51">
        <f t="shared" si="10"/>
        <v>-2.4396800000000001</v>
      </c>
      <c r="AO51">
        <f t="shared" si="11"/>
        <v>-0.30039787331776324</v>
      </c>
      <c r="AQ51">
        <f t="shared" si="12"/>
        <v>14.102660141497056</v>
      </c>
      <c r="AR51">
        <f t="shared" si="13"/>
        <v>12.993678660015574</v>
      </c>
      <c r="AT51" t="str">
        <f t="shared" si="14"/>
        <v>45547B</v>
      </c>
    </row>
    <row r="52" spans="1:46" x14ac:dyDescent="0.3">
      <c r="A52" s="16">
        <v>45547</v>
      </c>
      <c r="B52" s="17" t="s">
        <v>20</v>
      </c>
      <c r="C52" s="14">
        <v>8.3650000000000002</v>
      </c>
      <c r="D52" s="14">
        <v>37.333333333333343</v>
      </c>
      <c r="E52" s="14">
        <v>27.63333333333334</v>
      </c>
      <c r="F52" s="14">
        <v>56.825000000000003</v>
      </c>
      <c r="G52" s="14">
        <v>3.99</v>
      </c>
      <c r="H52" s="14">
        <v>3.49</v>
      </c>
      <c r="I52" s="14">
        <v>135.25</v>
      </c>
      <c r="J52" s="14">
        <v>8.5338510260508365</v>
      </c>
      <c r="K52" s="14">
        <v>1.718996936043298E-3</v>
      </c>
      <c r="L52" s="14">
        <v>1.466966376643134E-2</v>
      </c>
      <c r="M52" s="14">
        <f t="shared" si="5"/>
        <v>20</v>
      </c>
      <c r="N52" s="14">
        <v>2.5898478563382561E-3</v>
      </c>
      <c r="O52" s="14">
        <v>5225</v>
      </c>
      <c r="P52" s="14">
        <v>81.985827176394849</v>
      </c>
      <c r="Q52" s="14">
        <v>6865.52</v>
      </c>
      <c r="R52" s="14">
        <v>10958.641</v>
      </c>
      <c r="S52" s="14">
        <f t="shared" si="6"/>
        <v>20</v>
      </c>
      <c r="T52" s="14">
        <f t="shared" si="7"/>
        <v>16.04519982408879</v>
      </c>
      <c r="U52" s="14">
        <f t="shared" si="1"/>
        <v>7.4</v>
      </c>
      <c r="V52" s="14">
        <f t="shared" si="8"/>
        <v>16.719783157422125</v>
      </c>
      <c r="W52" s="14">
        <f t="shared" si="9"/>
        <v>15.370616490755458</v>
      </c>
      <c r="X52" s="14" t="e">
        <f t="shared" si="2"/>
        <v>#N/A</v>
      </c>
      <c r="Y52" s="14" t="e">
        <f t="shared" si="3"/>
        <v>#N/A</v>
      </c>
      <c r="Z52" s="14">
        <f t="shared" si="16"/>
        <v>8.32</v>
      </c>
      <c r="AA52" s="14">
        <f t="shared" si="16"/>
        <v>26.43</v>
      </c>
      <c r="AB52" s="14">
        <f t="shared" si="16"/>
        <v>3.41</v>
      </c>
      <c r="AC52" s="14">
        <f t="shared" si="16"/>
        <v>3.99</v>
      </c>
      <c r="AG52">
        <f>C$3*(C$1-C52)/C$2</f>
        <v>-1.0749999999999993</v>
      </c>
      <c r="AH52">
        <f>D$3*(D$1-D52)/D$2</f>
        <v>0</v>
      </c>
      <c r="AI52">
        <f>E$3*(E$1-E52)/E$2</f>
        <v>-2.8466666666666782</v>
      </c>
      <c r="AJ52">
        <f>F$3*(F$1-F52)/F$2</f>
        <v>0.87750000000000128</v>
      </c>
      <c r="AK52">
        <f>G$3*(G$1-G52)/G$2</f>
        <v>-0.25714285714285734</v>
      </c>
      <c r="AL52">
        <f>H$3*(H$1-H52)/H$2</f>
        <v>0</v>
      </c>
      <c r="AM52">
        <f>I$3*(I$1-I52)/I$2</f>
        <v>0.4716666666666664</v>
      </c>
      <c r="AN52">
        <f t="shared" si="10"/>
        <v>-2.3134480000000002</v>
      </c>
      <c r="AO52">
        <f t="shared" si="11"/>
        <v>2.1322979478983264</v>
      </c>
      <c r="AQ52">
        <f t="shared" si="12"/>
        <v>16.719783157422125</v>
      </c>
      <c r="AR52">
        <f t="shared" si="13"/>
        <v>15.370616490755458</v>
      </c>
      <c r="AT52" t="str">
        <f t="shared" si="14"/>
        <v>45547C</v>
      </c>
    </row>
    <row r="53" spans="1:46" x14ac:dyDescent="0.3">
      <c r="A53" s="16">
        <v>45548</v>
      </c>
      <c r="B53" s="17" t="s">
        <v>19</v>
      </c>
      <c r="C53" s="14">
        <v>8.32</v>
      </c>
      <c r="D53" s="14">
        <v>39</v>
      </c>
      <c r="E53" s="14">
        <v>26.434285714285711</v>
      </c>
      <c r="F53" s="14">
        <v>57.07</v>
      </c>
      <c r="G53" s="14">
        <v>3.99</v>
      </c>
      <c r="H53" s="14">
        <v>3.411428571428571</v>
      </c>
      <c r="I53" s="14">
        <v>140.28571428571431</v>
      </c>
      <c r="J53" s="14">
        <v>8.2409435003719178</v>
      </c>
      <c r="K53" s="14">
        <v>1.155163245684214E-2</v>
      </c>
      <c r="L53" s="14">
        <v>9.5196350413898567E-2</v>
      </c>
      <c r="M53" s="14">
        <f t="shared" si="5"/>
        <v>20</v>
      </c>
      <c r="N53" s="14">
        <v>2.590925486314029E-3</v>
      </c>
      <c r="O53" s="14">
        <v>5225.0000000000009</v>
      </c>
      <c r="P53" s="14">
        <v>81.223085189837548</v>
      </c>
      <c r="Q53" s="14">
        <v>29819.4</v>
      </c>
      <c r="R53" s="14">
        <v>3332.0309999999999</v>
      </c>
      <c r="S53" s="14">
        <f t="shared" si="6"/>
        <v>20</v>
      </c>
      <c r="T53" s="14">
        <f t="shared" si="7"/>
        <v>21.032366970684741</v>
      </c>
      <c r="U53" s="14">
        <f t="shared" si="1"/>
        <v>13.64</v>
      </c>
      <c r="V53" s="14">
        <f t="shared" si="8"/>
        <v>21.698259827827599</v>
      </c>
      <c r="W53" s="14">
        <f t="shared" si="9"/>
        <v>20.366474113541884</v>
      </c>
      <c r="X53" s="14">
        <f t="shared" si="2"/>
        <v>13.68</v>
      </c>
      <c r="Y53" s="14">
        <f t="shared" si="3"/>
        <v>12.3</v>
      </c>
      <c r="Z53" s="14">
        <f t="shared" si="16"/>
        <v>7.7</v>
      </c>
      <c r="AA53" s="14">
        <f t="shared" si="16"/>
        <v>26.54</v>
      </c>
      <c r="AB53" s="14">
        <f t="shared" si="16"/>
        <v>3.28</v>
      </c>
      <c r="AC53" s="14">
        <f t="shared" si="16"/>
        <v>3.6</v>
      </c>
      <c r="AG53">
        <f>C$3*(C$1-C53)/C$2</f>
        <v>-0.84999999999999964</v>
      </c>
      <c r="AH53">
        <f>D$3*(D$1-D53)/D$2</f>
        <v>0</v>
      </c>
      <c r="AI53">
        <f>E$3*(E$1-E53)/E$2</f>
        <v>-0.44857142857141952</v>
      </c>
      <c r="AJ53">
        <f>F$3*(F$1-F53)/F$2</f>
        <v>1</v>
      </c>
      <c r="AK53">
        <f>G$3*(G$1-G53)/G$2</f>
        <v>-0.25714285714285734</v>
      </c>
      <c r="AL53">
        <f>H$3*(H$1-H53)/H$2</f>
        <v>0</v>
      </c>
      <c r="AM53">
        <f>I$3*(I$1-I53)/I$2</f>
        <v>0.33178571428571346</v>
      </c>
      <c r="AN53">
        <f t="shared" si="10"/>
        <v>-1.8059999999999854E-2</v>
      </c>
      <c r="AO53">
        <f t="shared" si="11"/>
        <v>2.7181129992561637</v>
      </c>
      <c r="AQ53">
        <f t="shared" si="12"/>
        <v>21.698259827827599</v>
      </c>
      <c r="AR53">
        <f t="shared" si="13"/>
        <v>20.366474113541884</v>
      </c>
      <c r="AT53" t="str">
        <f t="shared" si="14"/>
        <v>45548B</v>
      </c>
    </row>
    <row r="54" spans="1:46" x14ac:dyDescent="0.3">
      <c r="A54" s="16">
        <v>45548</v>
      </c>
      <c r="B54" s="17" t="s">
        <v>20</v>
      </c>
      <c r="C54" s="14">
        <v>7.73</v>
      </c>
      <c r="D54" s="14">
        <v>38.285714285714278</v>
      </c>
      <c r="E54" s="14">
        <v>26.411428571428569</v>
      </c>
      <c r="F54" s="14">
        <v>57.13</v>
      </c>
      <c r="G54" s="14">
        <v>3.6</v>
      </c>
      <c r="H54" s="14">
        <v>3.274285714285714</v>
      </c>
      <c r="I54" s="14">
        <v>145.14285714285711</v>
      </c>
      <c r="J54" s="14">
        <v>10.68901960977283</v>
      </c>
      <c r="K54" s="14">
        <v>4.6751487963683676E-3</v>
      </c>
      <c r="L54" s="14">
        <v>4.9972757162987318E-2</v>
      </c>
      <c r="M54" s="14">
        <f t="shared" si="5"/>
        <v>20</v>
      </c>
      <c r="N54" s="14">
        <v>2.5958988927961089E-3</v>
      </c>
      <c r="O54" s="14">
        <v>5225</v>
      </c>
      <c r="P54" s="14">
        <v>81.380215311286733</v>
      </c>
      <c r="Q54" s="14">
        <v>33513.480000000003</v>
      </c>
      <c r="R54" s="14">
        <v>22409.882000000001</v>
      </c>
      <c r="S54" s="14">
        <f t="shared" si="6"/>
        <v>20</v>
      </c>
      <c r="T54" s="14">
        <f t="shared" si="7"/>
        <v>21.277876310613074</v>
      </c>
      <c r="U54" s="14">
        <f t="shared" si="1"/>
        <v>14.34</v>
      </c>
      <c r="V54" s="14">
        <f t="shared" si="8"/>
        <v>21.891308850295616</v>
      </c>
      <c r="W54" s="14">
        <f t="shared" si="9"/>
        <v>20.664443770930536</v>
      </c>
      <c r="X54" s="14" t="e">
        <f t="shared" si="2"/>
        <v>#N/A</v>
      </c>
      <c r="Y54" s="14" t="e">
        <f t="shared" si="3"/>
        <v>#N/A</v>
      </c>
      <c r="Z54" s="14">
        <f t="shared" si="16"/>
        <v>8.08</v>
      </c>
      <c r="AA54" s="14">
        <f t="shared" si="16"/>
        <v>25.8</v>
      </c>
      <c r="AB54" s="14">
        <f t="shared" si="16"/>
        <v>3.33</v>
      </c>
      <c r="AC54" s="14">
        <f t="shared" si="16"/>
        <v>3.6</v>
      </c>
      <c r="AG54">
        <f>C$3*(C$1-C54)/C$2</f>
        <v>2.0999999999999996</v>
      </c>
      <c r="AH54">
        <f>D$3*(D$1-D54)/D$2</f>
        <v>0</v>
      </c>
      <c r="AI54">
        <f>E$3*(E$1-E54)/E$2</f>
        <v>-0.40285714285713681</v>
      </c>
      <c r="AJ54">
        <f>F$3*(F$1-F54)/F$2</f>
        <v>1.0300000000000011</v>
      </c>
      <c r="AK54">
        <f>G$3*(G$1-G54)/G$2</f>
        <v>0.29999999999999993</v>
      </c>
      <c r="AL54">
        <f>H$3*(H$1-H54)/H$2</f>
        <v>0</v>
      </c>
      <c r="AM54">
        <f>I$3*(I$1-I54)/I$2</f>
        <v>0.19686507936507999</v>
      </c>
      <c r="AN54">
        <f t="shared" si="10"/>
        <v>0.35134800000000033</v>
      </c>
      <c r="AO54">
        <f t="shared" si="11"/>
        <v>-2.1780392195456599</v>
      </c>
      <c r="AQ54">
        <f t="shared" si="12"/>
        <v>21.891308850295616</v>
      </c>
      <c r="AR54">
        <f t="shared" si="13"/>
        <v>20.664443770930536</v>
      </c>
      <c r="AT54" t="str">
        <f t="shared" si="14"/>
        <v>45548C</v>
      </c>
    </row>
    <row r="55" spans="1:46" x14ac:dyDescent="0.3">
      <c r="A55" s="16">
        <v>45549</v>
      </c>
      <c r="B55" s="17" t="s">
        <v>21</v>
      </c>
      <c r="C55" s="14">
        <v>8.08</v>
      </c>
      <c r="D55" s="14">
        <v>38.444444444444443</v>
      </c>
      <c r="E55" s="14">
        <v>25.80222222222222</v>
      </c>
      <c r="F55" s="14">
        <v>57.13</v>
      </c>
      <c r="G55" s="14">
        <v>3.6</v>
      </c>
      <c r="H55" s="14">
        <v>3.3311111111111109</v>
      </c>
      <c r="I55" s="14">
        <v>149.7777777777778</v>
      </c>
      <c r="J55" s="14">
        <v>9.4389567110404435</v>
      </c>
      <c r="K55" s="14">
        <v>1.962153148723764E-2</v>
      </c>
      <c r="L55" s="14">
        <v>0.1852067863123531</v>
      </c>
      <c r="M55" s="14">
        <f t="shared" si="5"/>
        <v>20</v>
      </c>
      <c r="N55" s="14">
        <v>2.5951399908714849E-3</v>
      </c>
      <c r="O55" s="14">
        <v>5225</v>
      </c>
      <c r="P55" s="14">
        <v>81.356702183646888</v>
      </c>
      <c r="Q55" s="14">
        <v>54746.2</v>
      </c>
      <c r="R55" s="14">
        <v>6362.5590000000002</v>
      </c>
      <c r="S55" s="14">
        <f t="shared" si="6"/>
        <v>20</v>
      </c>
      <c r="T55" s="14">
        <f t="shared" si="7"/>
        <v>24.235491375449982</v>
      </c>
      <c r="U55" s="14">
        <f t="shared" si="1"/>
        <v>22.96</v>
      </c>
      <c r="V55" s="14">
        <f t="shared" si="8"/>
        <v>24.784550017425293</v>
      </c>
      <c r="W55" s="14">
        <f t="shared" si="9"/>
        <v>23.686432733474675</v>
      </c>
      <c r="X55" s="14">
        <f t="shared" si="2"/>
        <v>23.31</v>
      </c>
      <c r="Y55" s="14">
        <f t="shared" si="3"/>
        <v>22.73</v>
      </c>
      <c r="Z55" s="14">
        <f t="shared" si="16"/>
        <v>7.7</v>
      </c>
      <c r="AA55" s="14">
        <f t="shared" si="16"/>
        <v>26.77</v>
      </c>
      <c r="AB55" s="14">
        <f t="shared" si="16"/>
        <v>3.23</v>
      </c>
      <c r="AC55" s="14">
        <f t="shared" si="16"/>
        <v>3.51</v>
      </c>
      <c r="AG55">
        <f>C$3*(C$1-C55)/C$2</f>
        <v>0.35000000000000142</v>
      </c>
      <c r="AH55">
        <f>D$3*(D$1-D55)/D$2</f>
        <v>0</v>
      </c>
      <c r="AI55">
        <f>E$3*(E$1-E55)/E$2</f>
        <v>0.81555555555556225</v>
      </c>
      <c r="AJ55">
        <f>F$3*(F$1-F55)/F$2</f>
        <v>1.0300000000000011</v>
      </c>
      <c r="AK55">
        <f>G$3*(G$1-G55)/G$2</f>
        <v>0.29999999999999993</v>
      </c>
      <c r="AL55">
        <f>H$3*(H$1-H55)/H$2</f>
        <v>0</v>
      </c>
      <c r="AM55">
        <f>I$3*(I$1-I55)/I$2</f>
        <v>6.8117283950616392E-2</v>
      </c>
      <c r="AN55">
        <f t="shared" si="10"/>
        <v>2.4746199999999998</v>
      </c>
      <c r="AO55">
        <f t="shared" si="11"/>
        <v>0.32208657791911222</v>
      </c>
      <c r="AQ55">
        <f t="shared" si="12"/>
        <v>24.784550017425293</v>
      </c>
      <c r="AR55">
        <f t="shared" si="13"/>
        <v>23.686432733474675</v>
      </c>
      <c r="AT55" t="str">
        <f t="shared" si="14"/>
        <v>45549A</v>
      </c>
    </row>
    <row r="56" spans="1:46" x14ac:dyDescent="0.3">
      <c r="A56" s="16">
        <v>45549</v>
      </c>
      <c r="B56" s="17" t="s">
        <v>19</v>
      </c>
      <c r="C56" s="14">
        <v>7.7833333333333341</v>
      </c>
      <c r="D56" s="14">
        <v>37.6</v>
      </c>
      <c r="E56" s="14">
        <v>27</v>
      </c>
      <c r="F56" s="14">
        <v>54.95</v>
      </c>
      <c r="G56" s="14">
        <v>3.51</v>
      </c>
      <c r="H56" s="14">
        <v>3.2480000000000002</v>
      </c>
      <c r="I56" s="14">
        <v>142.19999999999999</v>
      </c>
      <c r="J56" s="14">
        <v>9.0420942244681335</v>
      </c>
      <c r="K56" s="14">
        <v>3.442143584594908E-3</v>
      </c>
      <c r="L56" s="14">
        <v>3.112418662605566E-2</v>
      </c>
      <c r="M56" s="14">
        <f t="shared" si="5"/>
        <v>20</v>
      </c>
      <c r="N56" s="14">
        <v>2.5957294264600229E-3</v>
      </c>
      <c r="O56" s="14">
        <v>5225</v>
      </c>
      <c r="P56" s="14">
        <v>84.240039708218703</v>
      </c>
      <c r="Q56" s="14">
        <v>10790.88</v>
      </c>
      <c r="R56" s="14">
        <v>9656.5859999999993</v>
      </c>
      <c r="S56" s="14">
        <f t="shared" si="6"/>
        <v>20</v>
      </c>
      <c r="T56" s="14">
        <f t="shared" si="7"/>
        <v>19.629882268524049</v>
      </c>
      <c r="U56" s="14">
        <f t="shared" si="1"/>
        <v>23.18</v>
      </c>
      <c r="V56" s="14">
        <f t="shared" si="8"/>
        <v>19.739187824079607</v>
      </c>
      <c r="W56" s="14">
        <f t="shared" si="9"/>
        <v>19.520576712968495</v>
      </c>
      <c r="X56" s="14">
        <f t="shared" si="2"/>
        <v>22.16</v>
      </c>
      <c r="Y56" s="14">
        <f t="shared" si="3"/>
        <v>21.21</v>
      </c>
      <c r="Z56" s="14">
        <f t="shared" si="16"/>
        <v>8.1</v>
      </c>
      <c r="AA56" s="14">
        <f t="shared" si="16"/>
        <v>26.9</v>
      </c>
      <c r="AB56" s="14">
        <f t="shared" si="16"/>
        <v>3.38</v>
      </c>
      <c r="AC56" s="14">
        <f t="shared" si="16"/>
        <v>3.82</v>
      </c>
      <c r="AG56">
        <f>C$3*(C$1-C56)/C$2</f>
        <v>1.8333333333333313</v>
      </c>
      <c r="AH56">
        <f>D$3*(D$1-D56)/D$2</f>
        <v>0</v>
      </c>
      <c r="AI56">
        <f>E$3*(E$1-E56)/E$2</f>
        <v>-1.5799999999999983</v>
      </c>
      <c r="AJ56">
        <f>F$3*(F$1-F56)/F$2</f>
        <v>-5.9999999999998721E-2</v>
      </c>
      <c r="AK56">
        <f>G$3*(G$1-G56)/G$2</f>
        <v>0.42857142857142894</v>
      </c>
      <c r="AL56">
        <f>H$3*(H$1-H56)/H$2</f>
        <v>0</v>
      </c>
      <c r="AM56">
        <f>I$3*(I$1-I56)/I$2</f>
        <v>0.27861111111111114</v>
      </c>
      <c r="AN56">
        <f t="shared" si="10"/>
        <v>-1.9209120000000002</v>
      </c>
      <c r="AO56">
        <f t="shared" si="11"/>
        <v>1.1158115510637323</v>
      </c>
      <c r="AQ56">
        <f t="shared" si="12"/>
        <v>19.739187824079607</v>
      </c>
      <c r="AR56">
        <f t="shared" si="13"/>
        <v>19.520576712968495</v>
      </c>
      <c r="AT56" t="str">
        <f t="shared" si="14"/>
        <v>45549B</v>
      </c>
    </row>
    <row r="57" spans="1:46" x14ac:dyDescent="0.3">
      <c r="A57" s="16">
        <v>45549</v>
      </c>
      <c r="B57" s="17" t="s">
        <v>20</v>
      </c>
      <c r="C57" s="14">
        <v>8.1666666666666661</v>
      </c>
      <c r="D57" s="14">
        <v>38</v>
      </c>
      <c r="E57" s="14">
        <v>27.083333333333329</v>
      </c>
      <c r="F57" s="14">
        <v>54.95</v>
      </c>
      <c r="G57" s="14">
        <v>3.82</v>
      </c>
      <c r="H57" s="14">
        <v>3.333333333333333</v>
      </c>
      <c r="I57" s="14">
        <v>146.16666666666671</v>
      </c>
      <c r="J57" s="14">
        <v>9.3827572935548424</v>
      </c>
      <c r="K57" s="14">
        <v>1.1204000632306921E-2</v>
      </c>
      <c r="L57" s="14">
        <v>0.1051244186497708</v>
      </c>
      <c r="M57" s="14">
        <f t="shared" si="5"/>
        <v>20</v>
      </c>
      <c r="N57" s="14">
        <v>2.6003851043427569E-3</v>
      </c>
      <c r="O57" s="14">
        <v>5225</v>
      </c>
      <c r="P57" s="14">
        <v>95.215989633110908</v>
      </c>
      <c r="Q57" s="14">
        <v>37928.68</v>
      </c>
      <c r="R57" s="14">
        <v>9854.6939999999995</v>
      </c>
      <c r="S57" s="14">
        <f t="shared" si="6"/>
        <v>20</v>
      </c>
      <c r="T57" s="14">
        <f t="shared" si="7"/>
        <v>19.094260261567577</v>
      </c>
      <c r="U57" s="14">
        <f t="shared" si="1"/>
        <v>22.04</v>
      </c>
      <c r="V57" s="14">
        <f t="shared" si="8"/>
        <v>19.148473224530541</v>
      </c>
      <c r="W57" s="14">
        <f t="shared" si="9"/>
        <v>19.040047298604616</v>
      </c>
      <c r="X57" s="14" t="e">
        <f t="shared" si="2"/>
        <v>#N/A</v>
      </c>
      <c r="Y57" s="14" t="e">
        <f t="shared" si="3"/>
        <v>#N/A</v>
      </c>
      <c r="Z57" s="14">
        <f t="shared" si="16"/>
        <v>8.3000000000000007</v>
      </c>
      <c r="AA57" s="14">
        <f t="shared" si="16"/>
        <v>27.23</v>
      </c>
      <c r="AB57" s="14">
        <f t="shared" si="16"/>
        <v>3.44</v>
      </c>
      <c r="AC57" s="14">
        <f t="shared" si="16"/>
        <v>3.82</v>
      </c>
      <c r="AG57">
        <f>C$3*(C$1-C57)/C$2</f>
        <v>-8.3333333333328596E-2</v>
      </c>
      <c r="AH57">
        <f>D$3*(D$1-D57)/D$2</f>
        <v>0</v>
      </c>
      <c r="AI57">
        <f t="shared" ref="AI57:AM67" si="17">E$3*(E$1-E57)/E$2</f>
        <v>-1.7466666666666553</v>
      </c>
      <c r="AJ57">
        <f t="shared" si="17"/>
        <v>-5.9999999999998721E-2</v>
      </c>
      <c r="AK57">
        <f t="shared" si="17"/>
        <v>-1.4285714285713982E-2</v>
      </c>
      <c r="AL57">
        <f t="shared" si="17"/>
        <v>0</v>
      </c>
      <c r="AM57">
        <f t="shared" si="17"/>
        <v>0.16842592592592434</v>
      </c>
      <c r="AN57">
        <f t="shared" si="10"/>
        <v>0.79286800000000002</v>
      </c>
      <c r="AO57">
        <f t="shared" si="11"/>
        <v>0.43448541289031439</v>
      </c>
      <c r="AQ57">
        <f t="shared" si="12"/>
        <v>19.148473224530541</v>
      </c>
      <c r="AR57">
        <f t="shared" si="13"/>
        <v>19.040047298604616</v>
      </c>
      <c r="AT57" t="str">
        <f t="shared" si="14"/>
        <v>45549C</v>
      </c>
    </row>
    <row r="58" spans="1:46" x14ac:dyDescent="0.3">
      <c r="A58" s="16">
        <v>45551</v>
      </c>
      <c r="B58" s="17" t="s">
        <v>21</v>
      </c>
      <c r="C58" s="14">
        <v>8.3000000000000007</v>
      </c>
      <c r="D58" s="14">
        <v>39.5</v>
      </c>
      <c r="E58" s="14">
        <v>27.725000000000001</v>
      </c>
      <c r="F58" s="14">
        <v>54.95</v>
      </c>
      <c r="G58" s="14">
        <v>3.82</v>
      </c>
      <c r="H58" s="14">
        <v>3.4624999999999999</v>
      </c>
      <c r="I58" s="14">
        <v>143.875</v>
      </c>
      <c r="J58" s="14">
        <v>6.7068139918443217</v>
      </c>
      <c r="K58" s="14">
        <v>3.6116987547953E-3</v>
      </c>
      <c r="L58" s="14">
        <v>2.422299174298783E-2</v>
      </c>
      <c r="M58" s="14">
        <f t="shared" si="5"/>
        <v>20</v>
      </c>
      <c r="N58" s="14">
        <v>2.594604610329634E-3</v>
      </c>
      <c r="O58" s="14">
        <v>5225</v>
      </c>
      <c r="P58" s="14">
        <v>91.698054864930896</v>
      </c>
      <c r="Q58" s="14">
        <v>13864.32</v>
      </c>
      <c r="R58" s="14">
        <v>6516.7759999999998</v>
      </c>
      <c r="S58" s="14">
        <f t="shared" si="6"/>
        <v>20</v>
      </c>
      <c r="T58" s="14">
        <f t="shared" si="7"/>
        <v>19.899011702025639</v>
      </c>
      <c r="U58" s="14">
        <f t="shared" si="1"/>
        <v>16.39</v>
      </c>
      <c r="V58" s="14">
        <f t="shared" si="8"/>
        <v>19.985053368692306</v>
      </c>
      <c r="W58" s="14">
        <f t="shared" si="9"/>
        <v>19.812970035358973</v>
      </c>
      <c r="X58" s="14">
        <f t="shared" si="2"/>
        <v>15.88</v>
      </c>
      <c r="Y58" s="14">
        <f t="shared" si="3"/>
        <v>16.239999999999998</v>
      </c>
      <c r="Z58" s="14">
        <f t="shared" si="16"/>
        <v>8.31</v>
      </c>
      <c r="AA58" s="14">
        <f t="shared" si="16"/>
        <v>27.63</v>
      </c>
      <c r="AB58" s="14">
        <f t="shared" si="16"/>
        <v>3.64</v>
      </c>
      <c r="AC58" s="14">
        <f t="shared" si="16"/>
        <v>3.82</v>
      </c>
      <c r="AG58">
        <f t="shared" ref="AG58:AH67" si="18">C$3*(C$1-C58)/C$2</f>
        <v>-0.75000000000000178</v>
      </c>
      <c r="AH58">
        <f t="shared" si="18"/>
        <v>0</v>
      </c>
      <c r="AI58">
        <f t="shared" si="17"/>
        <v>-3.0300000000000011</v>
      </c>
      <c r="AJ58">
        <f t="shared" si="17"/>
        <v>-5.9999999999998721E-2</v>
      </c>
      <c r="AK58">
        <f t="shared" si="17"/>
        <v>-1.4285714285713982E-2</v>
      </c>
      <c r="AL58">
        <f t="shared" si="17"/>
        <v>0</v>
      </c>
      <c r="AM58">
        <f t="shared" si="17"/>
        <v>0.23208333333333306</v>
      </c>
      <c r="AN58">
        <f t="shared" si="10"/>
        <v>-1.6135680000000001</v>
      </c>
      <c r="AO58">
        <f t="shared" si="11"/>
        <v>5.7863720163113559</v>
      </c>
      <c r="AQ58">
        <f t="shared" si="12"/>
        <v>19.985053368692306</v>
      </c>
      <c r="AR58">
        <f t="shared" si="13"/>
        <v>19.812970035358973</v>
      </c>
      <c r="AT58" t="str">
        <f t="shared" si="14"/>
        <v>45551A</v>
      </c>
    </row>
    <row r="59" spans="1:46" x14ac:dyDescent="0.3">
      <c r="A59" s="16">
        <v>45551</v>
      </c>
      <c r="B59" s="17" t="s">
        <v>19</v>
      </c>
      <c r="C59" s="14">
        <v>8.254999999999999</v>
      </c>
      <c r="D59" s="14">
        <v>37.5</v>
      </c>
      <c r="E59" s="14">
        <v>27.38333333333334</v>
      </c>
      <c r="F59" s="14">
        <v>55.87</v>
      </c>
      <c r="G59" s="14">
        <v>3.82</v>
      </c>
      <c r="H59" s="14">
        <v>3.62</v>
      </c>
      <c r="I59" s="14">
        <v>139</v>
      </c>
      <c r="J59" s="14">
        <v>9.4729578844485438</v>
      </c>
      <c r="K59" s="14">
        <v>2.29678231879934E-3</v>
      </c>
      <c r="L59" s="14">
        <v>2.175732217573222E-2</v>
      </c>
      <c r="M59" s="14">
        <f t="shared" si="5"/>
        <v>20</v>
      </c>
      <c r="N59" s="14">
        <v>2.5903582839659901E-3</v>
      </c>
      <c r="O59" s="14">
        <v>5225</v>
      </c>
      <c r="P59" s="14">
        <v>81.986277398687349</v>
      </c>
      <c r="Q59" s="14">
        <v>5943.6</v>
      </c>
      <c r="R59" s="14">
        <v>6022.5619999999999</v>
      </c>
      <c r="S59" s="14">
        <f t="shared" si="6"/>
        <v>20</v>
      </c>
      <c r="T59" s="14">
        <f t="shared" si="7"/>
        <v>14.747745983483858</v>
      </c>
      <c r="U59" s="14">
        <f t="shared" si="1"/>
        <v>12.2</v>
      </c>
      <c r="V59" s="14">
        <f t="shared" si="8"/>
        <v>15.131495983483857</v>
      </c>
      <c r="W59" s="14">
        <f t="shared" si="9"/>
        <v>14.363995983483859</v>
      </c>
      <c r="X59" s="14">
        <f t="shared" si="2"/>
        <v>7.98</v>
      </c>
      <c r="Y59" s="14">
        <f t="shared" si="3"/>
        <v>7.35</v>
      </c>
      <c r="Z59" s="14">
        <f t="shared" si="16"/>
        <v>8.5</v>
      </c>
      <c r="AA59" s="14">
        <f t="shared" si="16"/>
        <v>27.78</v>
      </c>
      <c r="AB59" s="14">
        <f t="shared" si="16"/>
        <v>3.74</v>
      </c>
      <c r="AC59" s="14">
        <f t="shared" si="16"/>
        <v>4.28</v>
      </c>
      <c r="AG59">
        <f t="shared" si="18"/>
        <v>-0.52499999999999325</v>
      </c>
      <c r="AH59">
        <f t="shared" si="18"/>
        <v>0</v>
      </c>
      <c r="AI59">
        <f t="shared" si="17"/>
        <v>-2.3466666666666782</v>
      </c>
      <c r="AJ59">
        <f t="shared" si="17"/>
        <v>0.39999999999999858</v>
      </c>
      <c r="AK59">
        <f t="shared" si="17"/>
        <v>-1.4285714285713982E-2</v>
      </c>
      <c r="AL59">
        <f t="shared" si="17"/>
        <v>0</v>
      </c>
      <c r="AM59">
        <f t="shared" si="17"/>
        <v>0.36749999999999972</v>
      </c>
      <c r="AN59">
        <f t="shared" si="10"/>
        <v>-2.40564</v>
      </c>
      <c r="AO59">
        <f t="shared" si="11"/>
        <v>0.25408423110291167</v>
      </c>
      <c r="AQ59">
        <f t="shared" si="12"/>
        <v>15.131495983483857</v>
      </c>
      <c r="AR59">
        <f t="shared" si="13"/>
        <v>14.363995983483859</v>
      </c>
      <c r="AT59" t="str">
        <f t="shared" si="14"/>
        <v>45551B</v>
      </c>
    </row>
    <row r="60" spans="1:46" x14ac:dyDescent="0.3">
      <c r="A60" s="16">
        <v>45551</v>
      </c>
      <c r="B60" s="17" t="s">
        <v>20</v>
      </c>
      <c r="C60" s="14">
        <v>8.4949999999999992</v>
      </c>
      <c r="D60" s="14">
        <v>38.857142857142847</v>
      </c>
      <c r="E60" s="14">
        <v>27.6</v>
      </c>
      <c r="F60" s="14">
        <v>57.41</v>
      </c>
      <c r="G60" s="14">
        <v>4.1400000000000006</v>
      </c>
      <c r="H60" s="14">
        <v>3.71</v>
      </c>
      <c r="I60" s="14">
        <v>149.66666666666671</v>
      </c>
      <c r="J60" s="14">
        <v>9.5860363809545941</v>
      </c>
      <c r="K60" s="14">
        <v>7.1287775869305504E-3</v>
      </c>
      <c r="L60" s="14">
        <v>6.833672130004996E-2</v>
      </c>
      <c r="M60" s="14">
        <f t="shared" si="5"/>
        <v>20</v>
      </c>
      <c r="N60" s="14">
        <v>2.5901877199440539E-3</v>
      </c>
      <c r="O60" s="14">
        <v>5225</v>
      </c>
      <c r="P60" s="14">
        <v>81.188341047078993</v>
      </c>
      <c r="Q60" s="14">
        <v>23532.16</v>
      </c>
      <c r="R60" s="14">
        <v>6815.7120000000004</v>
      </c>
      <c r="S60" s="14">
        <f t="shared" si="6"/>
        <v>20</v>
      </c>
      <c r="T60" s="14">
        <f t="shared" si="7"/>
        <v>14.479697318514093</v>
      </c>
      <c r="U60" s="14">
        <f t="shared" si="1"/>
        <v>7.61</v>
      </c>
      <c r="V60" s="14">
        <f t="shared" si="8"/>
        <v>15.100299170365943</v>
      </c>
      <c r="W60" s="14">
        <f t="shared" si="9"/>
        <v>13.859095466662243</v>
      </c>
      <c r="X60" s="14" t="e">
        <f t="shared" si="2"/>
        <v>#N/A</v>
      </c>
      <c r="Y60" s="14" t="e">
        <f t="shared" si="3"/>
        <v>#N/A</v>
      </c>
      <c r="Z60" s="14">
        <f t="shared" si="16"/>
        <v>8.1999999999999993</v>
      </c>
      <c r="AA60" s="14">
        <f t="shared" si="16"/>
        <v>25.9</v>
      </c>
      <c r="AB60" s="14">
        <f t="shared" si="16"/>
        <v>3.46</v>
      </c>
      <c r="AC60" s="14">
        <f t="shared" si="16"/>
        <v>4.1399999999999997</v>
      </c>
      <c r="AG60">
        <f t="shared" si="18"/>
        <v>-1.7249999999999943</v>
      </c>
      <c r="AH60">
        <f t="shared" si="18"/>
        <v>0</v>
      </c>
      <c r="AI60">
        <f t="shared" si="17"/>
        <v>-2.7800000000000011</v>
      </c>
      <c r="AJ60">
        <f t="shared" si="17"/>
        <v>1.1699999999999982</v>
      </c>
      <c r="AK60">
        <f t="shared" si="17"/>
        <v>-0.47142857142857209</v>
      </c>
      <c r="AL60">
        <f t="shared" si="17"/>
        <v>0</v>
      </c>
      <c r="AM60">
        <f t="shared" si="17"/>
        <v>7.1203703703702104E-2</v>
      </c>
      <c r="AN60">
        <f t="shared" si="10"/>
        <v>-0.64678400000000003</v>
      </c>
      <c r="AO60">
        <f t="shared" si="11"/>
        <v>2.7927238090811102E-2</v>
      </c>
      <c r="AQ60">
        <f t="shared" si="12"/>
        <v>15.100299170365943</v>
      </c>
      <c r="AR60">
        <f t="shared" si="13"/>
        <v>13.859095466662243</v>
      </c>
      <c r="AT60" t="str">
        <f t="shared" si="14"/>
        <v>45551C</v>
      </c>
    </row>
    <row r="61" spans="1:46" x14ac:dyDescent="0.3">
      <c r="A61" s="16">
        <v>45552</v>
      </c>
      <c r="B61" s="17" t="s">
        <v>21</v>
      </c>
      <c r="C61" s="14">
        <v>8.1999999999999993</v>
      </c>
      <c r="D61" s="14">
        <v>38.166666666666657</v>
      </c>
      <c r="E61" s="14">
        <v>25.903333333333329</v>
      </c>
      <c r="F61" s="14">
        <v>57.4</v>
      </c>
      <c r="G61" s="14">
        <v>4.1399999999999997</v>
      </c>
      <c r="H61" s="14">
        <v>3.46</v>
      </c>
      <c r="I61" s="14">
        <v>146.5</v>
      </c>
      <c r="J61" s="14">
        <v>7.7160800070314526</v>
      </c>
      <c r="K61" s="14">
        <v>4.5530853825004403E-3</v>
      </c>
      <c r="L61" s="14">
        <v>3.5131971090218803E-2</v>
      </c>
      <c r="M61" s="14">
        <f t="shared" si="5"/>
        <v>20</v>
      </c>
      <c r="N61" s="14">
        <v>2.5922587584825511E-3</v>
      </c>
      <c r="O61" s="14">
        <v>5225</v>
      </c>
      <c r="P61" s="14">
        <v>81.266589059268355</v>
      </c>
      <c r="Q61" s="14">
        <v>17387.48</v>
      </c>
      <c r="R61" s="14">
        <v>5077.9549999999999</v>
      </c>
      <c r="S61" s="14">
        <f t="shared" si="6"/>
        <v>20</v>
      </c>
      <c r="T61" s="14">
        <f t="shared" si="7"/>
        <v>22.399106414508537</v>
      </c>
      <c r="U61" s="14">
        <f t="shared" si="1"/>
        <v>14.21</v>
      </c>
      <c r="V61" s="14">
        <f t="shared" si="8"/>
        <v>23.061189747841873</v>
      </c>
      <c r="W61" s="14">
        <f t="shared" si="9"/>
        <v>21.737023081175206</v>
      </c>
      <c r="X61" s="14">
        <f t="shared" si="2"/>
        <v>14.55</v>
      </c>
      <c r="Y61" s="14">
        <f t="shared" si="3"/>
        <v>13.39</v>
      </c>
      <c r="Z61" s="14">
        <f t="shared" si="16"/>
        <v>8.02</v>
      </c>
      <c r="AA61" s="14">
        <f t="shared" si="16"/>
        <v>27.38</v>
      </c>
      <c r="AB61" s="14">
        <f t="shared" si="16"/>
        <v>3.23</v>
      </c>
      <c r="AC61" s="14">
        <f t="shared" si="16"/>
        <v>4.1399999999999997</v>
      </c>
      <c r="AG61">
        <f t="shared" si="18"/>
        <v>-0.24999999999999467</v>
      </c>
      <c r="AH61">
        <f t="shared" si="18"/>
        <v>0</v>
      </c>
      <c r="AI61">
        <f t="shared" si="17"/>
        <v>0.61333333333334394</v>
      </c>
      <c r="AJ61">
        <f t="shared" si="17"/>
        <v>1.1649999999999991</v>
      </c>
      <c r="AK61">
        <f t="shared" si="17"/>
        <v>-0.47142857142857092</v>
      </c>
      <c r="AL61">
        <f t="shared" si="17"/>
        <v>0</v>
      </c>
      <c r="AM61">
        <f t="shared" si="17"/>
        <v>0.15916666666666637</v>
      </c>
      <c r="AN61">
        <f t="shared" si="10"/>
        <v>-1.261252</v>
      </c>
      <c r="AO61">
        <f t="shared" si="11"/>
        <v>3.7678399859370941</v>
      </c>
      <c r="AQ61">
        <f t="shared" si="12"/>
        <v>23.061189747841873</v>
      </c>
      <c r="AR61">
        <f t="shared" si="13"/>
        <v>21.737023081175206</v>
      </c>
      <c r="AT61" t="str">
        <f t="shared" si="14"/>
        <v>45552A</v>
      </c>
    </row>
    <row r="62" spans="1:46" x14ac:dyDescent="0.3">
      <c r="A62" s="16">
        <v>45552</v>
      </c>
      <c r="B62" s="17" t="s">
        <v>19</v>
      </c>
      <c r="C62" s="14">
        <v>8.0120000000000005</v>
      </c>
      <c r="D62" s="14">
        <v>37.142857142857153</v>
      </c>
      <c r="E62" s="14">
        <v>26.918571428571429</v>
      </c>
      <c r="F62" s="14">
        <v>56.15</v>
      </c>
      <c r="G62" s="14">
        <v>4.1399999999999997</v>
      </c>
      <c r="H62" s="14">
        <v>3.245714285714286</v>
      </c>
      <c r="I62" s="14">
        <v>140.14285714285711</v>
      </c>
      <c r="J62" s="14">
        <v>8.8139489439486844</v>
      </c>
      <c r="K62" s="14">
        <v>2.722111898740328E-3</v>
      </c>
      <c r="L62" s="14">
        <v>2.3992555295212461E-2</v>
      </c>
      <c r="M62" s="14">
        <f t="shared" si="5"/>
        <v>20</v>
      </c>
      <c r="N62" s="14">
        <v>2.5939475174519369E-3</v>
      </c>
      <c r="O62" s="14">
        <v>5225</v>
      </c>
      <c r="P62" s="14">
        <v>81.319382041948501</v>
      </c>
      <c r="Q62" s="14">
        <v>7219</v>
      </c>
      <c r="R62" s="14">
        <v>8013.326</v>
      </c>
      <c r="S62" s="14">
        <f t="shared" si="6"/>
        <v>20</v>
      </c>
      <c r="T62" s="14">
        <f t="shared" si="7"/>
        <v>18.067529400991521</v>
      </c>
      <c r="U62" s="14">
        <f t="shared" si="1"/>
        <v>16.16</v>
      </c>
      <c r="V62" s="14">
        <f t="shared" si="8"/>
        <v>18.505406385118505</v>
      </c>
      <c r="W62" s="14">
        <f t="shared" si="9"/>
        <v>17.629652416864538</v>
      </c>
      <c r="X62" s="14">
        <f t="shared" si="2"/>
        <v>18.72</v>
      </c>
      <c r="Y62" s="14">
        <f t="shared" si="3"/>
        <v>18</v>
      </c>
      <c r="Z62" s="14">
        <f t="shared" si="16"/>
        <v>7.75</v>
      </c>
      <c r="AA62" s="14">
        <f t="shared" si="16"/>
        <v>25.94</v>
      </c>
      <c r="AB62" s="14">
        <f t="shared" si="16"/>
        <v>3.19</v>
      </c>
      <c r="AC62" s="14">
        <f t="shared" si="16"/>
        <v>3.81</v>
      </c>
      <c r="AG62">
        <f t="shared" si="18"/>
        <v>0.6899999999999995</v>
      </c>
      <c r="AH62">
        <f t="shared" si="18"/>
        <v>0</v>
      </c>
      <c r="AI62">
        <f t="shared" si="17"/>
        <v>-1.4171428571428564</v>
      </c>
      <c r="AJ62">
        <f t="shared" si="17"/>
        <v>0.53999999999999915</v>
      </c>
      <c r="AK62">
        <f t="shared" si="17"/>
        <v>-0.47142857142857092</v>
      </c>
      <c r="AL62">
        <f t="shared" si="17"/>
        <v>0</v>
      </c>
      <c r="AM62">
        <f t="shared" si="17"/>
        <v>0.33575396825396892</v>
      </c>
      <c r="AN62">
        <f t="shared" si="10"/>
        <v>-2.2780999999999998</v>
      </c>
      <c r="AO62">
        <f t="shared" si="11"/>
        <v>1.5721021121026304</v>
      </c>
      <c r="AQ62">
        <f t="shared" si="12"/>
        <v>18.505406385118505</v>
      </c>
      <c r="AR62">
        <f t="shared" si="13"/>
        <v>17.629652416864538</v>
      </c>
      <c r="AT62" t="str">
        <f t="shared" si="14"/>
        <v>45552B</v>
      </c>
    </row>
    <row r="63" spans="1:46" x14ac:dyDescent="0.3">
      <c r="A63" s="16">
        <v>45552</v>
      </c>
      <c r="B63" s="17" t="s">
        <v>20</v>
      </c>
      <c r="C63" s="14">
        <v>7.7549999999999999</v>
      </c>
      <c r="D63" s="14">
        <v>38.714285714285722</v>
      </c>
      <c r="E63" s="14">
        <v>25.94285714285714</v>
      </c>
      <c r="F63" s="14">
        <v>56.01</v>
      </c>
      <c r="G63" s="14">
        <v>3.81</v>
      </c>
      <c r="H63" s="14">
        <v>3.1914285714285708</v>
      </c>
      <c r="I63" s="14">
        <v>148.14285714285711</v>
      </c>
      <c r="J63" s="14">
        <v>7.7636085039903424</v>
      </c>
      <c r="K63" s="14">
        <v>6.5575067475259477E-3</v>
      </c>
      <c r="L63" s="14">
        <v>5.0909915150066501E-2</v>
      </c>
      <c r="M63" s="14">
        <f t="shared" si="5"/>
        <v>20</v>
      </c>
      <c r="N63" s="14">
        <v>2.596026479110205E-3</v>
      </c>
      <c r="O63" s="14">
        <v>5225</v>
      </c>
      <c r="P63" s="14">
        <v>81.380215274857065</v>
      </c>
      <c r="Q63" s="14">
        <v>27180.552</v>
      </c>
      <c r="R63" s="14">
        <v>13173.975</v>
      </c>
      <c r="S63" s="14">
        <f t="shared" si="6"/>
        <v>20</v>
      </c>
      <c r="T63" s="14">
        <f t="shared" si="7"/>
        <v>26.070154779320912</v>
      </c>
      <c r="U63" s="14">
        <f t="shared" si="1"/>
        <v>20.32</v>
      </c>
      <c r="V63" s="14">
        <f t="shared" si="8"/>
        <v>26.361920652336785</v>
      </c>
      <c r="W63" s="14">
        <f t="shared" si="9"/>
        <v>25.77838890630504</v>
      </c>
      <c r="X63" s="14" t="e">
        <f t="shared" si="2"/>
        <v>#N/A</v>
      </c>
      <c r="Y63" s="14" t="e">
        <f t="shared" si="3"/>
        <v>#N/A</v>
      </c>
      <c r="Z63" s="14">
        <f t="shared" si="16"/>
        <v>7.8</v>
      </c>
      <c r="AA63" s="14">
        <f t="shared" si="16"/>
        <v>26.5</v>
      </c>
      <c r="AB63" s="14">
        <f t="shared" si="16"/>
        <v>3.2</v>
      </c>
      <c r="AC63" s="14">
        <f t="shared" si="16"/>
        <v>3.81</v>
      </c>
      <c r="AG63">
        <f t="shared" si="18"/>
        <v>1.9750000000000023</v>
      </c>
      <c r="AH63">
        <f t="shared" si="18"/>
        <v>0</v>
      </c>
      <c r="AI63">
        <f t="shared" si="17"/>
        <v>0.53428571428572269</v>
      </c>
      <c r="AJ63">
        <f t="shared" si="17"/>
        <v>0.46999999999999886</v>
      </c>
      <c r="AK63">
        <f t="shared" si="17"/>
        <v>0</v>
      </c>
      <c r="AL63">
        <f t="shared" si="17"/>
        <v>0</v>
      </c>
      <c r="AM63">
        <f t="shared" si="17"/>
        <v>0.11353174603174665</v>
      </c>
      <c r="AN63">
        <f t="shared" si="10"/>
        <v>-0.28194480000000005</v>
      </c>
      <c r="AO63">
        <f t="shared" si="11"/>
        <v>3.6727829920193145</v>
      </c>
      <c r="AQ63">
        <f t="shared" si="12"/>
        <v>26.361920652336785</v>
      </c>
      <c r="AR63">
        <f t="shared" si="13"/>
        <v>25.77838890630504</v>
      </c>
      <c r="AT63" t="str">
        <f t="shared" si="14"/>
        <v>45552C</v>
      </c>
    </row>
    <row r="64" spans="1:46" x14ac:dyDescent="0.3">
      <c r="A64" s="16">
        <v>45553</v>
      </c>
      <c r="B64" s="17" t="s">
        <v>21</v>
      </c>
      <c r="C64" s="14">
        <v>7.8</v>
      </c>
      <c r="D64" s="14">
        <v>38.666666666666657</v>
      </c>
      <c r="E64" s="14">
        <v>25.986666666666672</v>
      </c>
      <c r="F64" s="14">
        <v>56.01</v>
      </c>
      <c r="G64" s="14">
        <v>3.81</v>
      </c>
      <c r="H64" s="14">
        <v>3.253333333333333</v>
      </c>
      <c r="I64" s="14">
        <v>153</v>
      </c>
      <c r="J64" s="14">
        <v>9.6643713333227979</v>
      </c>
      <c r="K64" s="14">
        <v>1.1395946205532441E-2</v>
      </c>
      <c r="L64" s="14">
        <v>0.1101346558248365</v>
      </c>
      <c r="M64" s="14">
        <f t="shared" si="5"/>
        <v>20</v>
      </c>
      <c r="N64" s="14">
        <v>2.596024486476689E-3</v>
      </c>
      <c r="O64" s="14">
        <v>5225</v>
      </c>
      <c r="P64" s="14">
        <v>81.380215319216873</v>
      </c>
      <c r="Q64" s="14">
        <v>19369.144799999998</v>
      </c>
      <c r="R64" s="14">
        <v>5076.0329999999994</v>
      </c>
      <c r="S64" s="14">
        <f t="shared" si="6"/>
        <v>20</v>
      </c>
      <c r="T64" s="14">
        <f t="shared" si="7"/>
        <v>20.567546235576621</v>
      </c>
      <c r="U64" s="14">
        <f t="shared" si="1"/>
        <v>26.84</v>
      </c>
      <c r="V64" s="14">
        <f t="shared" si="8"/>
        <v>20.791851791132174</v>
      </c>
      <c r="W64" s="14">
        <f t="shared" si="9"/>
        <v>20.343240680021065</v>
      </c>
      <c r="X64" s="14">
        <f t="shared" si="2"/>
        <v>25.85</v>
      </c>
      <c r="Y64" s="14">
        <f t="shared" si="3"/>
        <v>25</v>
      </c>
      <c r="Z64" s="14">
        <f t="shared" si="16"/>
        <v>8.07</v>
      </c>
      <c r="AA64" s="14">
        <f t="shared" si="16"/>
        <v>27.33</v>
      </c>
      <c r="AB64" s="14">
        <f t="shared" si="16"/>
        <v>3.48</v>
      </c>
      <c r="AC64" s="14">
        <f t="shared" si="16"/>
        <v>3.81</v>
      </c>
      <c r="AG64">
        <f t="shared" si="18"/>
        <v>1.7500000000000027</v>
      </c>
      <c r="AH64">
        <f t="shared" si="18"/>
        <v>0</v>
      </c>
      <c r="AI64">
        <f t="shared" si="17"/>
        <v>0.44666666666665827</v>
      </c>
      <c r="AJ64">
        <f t="shared" si="17"/>
        <v>0.46999999999999886</v>
      </c>
      <c r="AK64">
        <f t="shared" si="17"/>
        <v>0</v>
      </c>
      <c r="AL64">
        <f t="shared" si="17"/>
        <v>0</v>
      </c>
      <c r="AM64">
        <f t="shared" si="17"/>
        <v>-2.1388888888889172E-2</v>
      </c>
      <c r="AN64">
        <f t="shared" si="10"/>
        <v>-1.0630855200000002</v>
      </c>
      <c r="AO64">
        <f t="shared" si="11"/>
        <v>-0.12874266664559642</v>
      </c>
      <c r="AQ64">
        <f t="shared" si="12"/>
        <v>20.791851791132174</v>
      </c>
      <c r="AR64">
        <f t="shared" si="13"/>
        <v>20.343240680021065</v>
      </c>
      <c r="AT64" t="str">
        <f t="shared" si="14"/>
        <v>45553A</v>
      </c>
    </row>
    <row r="65" spans="1:46" x14ac:dyDescent="0.3">
      <c r="A65" s="16">
        <v>45553</v>
      </c>
      <c r="B65" s="17" t="s">
        <v>19</v>
      </c>
      <c r="C65" s="14">
        <v>7.95</v>
      </c>
      <c r="D65" s="14">
        <v>37.666666666666657</v>
      </c>
      <c r="E65" s="14">
        <v>27.311666666666671</v>
      </c>
      <c r="F65" s="14">
        <v>54.87</v>
      </c>
      <c r="G65" s="14">
        <v>3.81</v>
      </c>
      <c r="H65" s="14">
        <v>3.4033333333333342</v>
      </c>
      <c r="I65" s="14">
        <v>149.33333333333329</v>
      </c>
      <c r="J65" s="14">
        <v>12.537418585008369</v>
      </c>
      <c r="K65" s="14">
        <v>6.2529045514638721E-3</v>
      </c>
      <c r="L65" s="14">
        <v>7.8395281733806596E-2</v>
      </c>
      <c r="M65" s="14">
        <f t="shared" si="5"/>
        <v>20</v>
      </c>
      <c r="N65" s="14">
        <v>2.6021285124755229E-3</v>
      </c>
      <c r="O65" s="14">
        <v>5225</v>
      </c>
      <c r="P65" s="14">
        <v>95.595851304790344</v>
      </c>
      <c r="Q65" s="14">
        <v>16057</v>
      </c>
      <c r="R65" s="14">
        <v>7669.6620000000003</v>
      </c>
      <c r="S65" s="14">
        <f t="shared" si="6"/>
        <v>20</v>
      </c>
      <c r="T65" s="14">
        <f t="shared" si="7"/>
        <v>11.029071778131403</v>
      </c>
      <c r="U65" s="14">
        <f t="shared" si="1"/>
        <v>22.15</v>
      </c>
      <c r="V65" s="14">
        <f t="shared" si="8"/>
        <v>11.019303259612883</v>
      </c>
      <c r="W65" s="14">
        <f t="shared" si="9"/>
        <v>11.038840296649921</v>
      </c>
      <c r="X65" s="14">
        <f t="shared" si="2"/>
        <v>7.56</v>
      </c>
      <c r="Y65" s="14">
        <f t="shared" si="3"/>
        <v>7.48</v>
      </c>
      <c r="Z65" s="14">
        <f t="shared" si="16"/>
        <v>8</v>
      </c>
      <c r="AA65" s="14">
        <f t="shared" si="16"/>
        <v>28.05</v>
      </c>
      <c r="AB65" s="14">
        <f t="shared" si="16"/>
        <v>3.57</v>
      </c>
      <c r="AC65" s="14">
        <f t="shared" si="16"/>
        <v>3.95</v>
      </c>
      <c r="AG65">
        <f t="shared" si="18"/>
        <v>1.0000000000000009</v>
      </c>
      <c r="AH65">
        <f t="shared" si="18"/>
        <v>0</v>
      </c>
      <c r="AI65">
        <f t="shared" si="17"/>
        <v>-2.2033333333333402</v>
      </c>
      <c r="AJ65">
        <f t="shared" si="17"/>
        <v>-0.10000000000000142</v>
      </c>
      <c r="AK65">
        <f t="shared" si="17"/>
        <v>0</v>
      </c>
      <c r="AL65">
        <f t="shared" si="17"/>
        <v>0</v>
      </c>
      <c r="AM65">
        <f t="shared" si="17"/>
        <v>8.0462962962963999E-2</v>
      </c>
      <c r="AN65">
        <f t="shared" si="10"/>
        <v>-1.3943000000000001</v>
      </c>
      <c r="AO65">
        <f t="shared" si="11"/>
        <v>-5.8748371700167397</v>
      </c>
      <c r="AQ65">
        <f t="shared" si="12"/>
        <v>11.019303259612883</v>
      </c>
      <c r="AR65">
        <f t="shared" si="13"/>
        <v>11.038840296649921</v>
      </c>
      <c r="AT65" t="str">
        <f t="shared" si="14"/>
        <v>45553B</v>
      </c>
    </row>
    <row r="66" spans="1:46" x14ac:dyDescent="0.3">
      <c r="A66" s="16">
        <v>45553</v>
      </c>
      <c r="B66" s="17" t="s">
        <v>20</v>
      </c>
      <c r="C66" s="14">
        <v>8.4120000000000008</v>
      </c>
      <c r="D66" s="14">
        <v>38</v>
      </c>
      <c r="E66" s="14">
        <v>28.028571428571428</v>
      </c>
      <c r="F66" s="14">
        <v>56.21</v>
      </c>
      <c r="G66" s="14">
        <v>3.78</v>
      </c>
      <c r="H66" s="14">
        <v>3.5685714285714289</v>
      </c>
      <c r="I66" s="14">
        <v>147.14285714285711</v>
      </c>
      <c r="J66" s="14">
        <v>10.66458431891275</v>
      </c>
      <c r="K66" s="14">
        <v>5.6008703502968436E-3</v>
      </c>
      <c r="L66" s="14">
        <v>5.9730954110039092E-2</v>
      </c>
      <c r="M66" s="14">
        <f t="shared" si="5"/>
        <v>20</v>
      </c>
      <c r="N66" s="14">
        <v>2.590186946444516E-3</v>
      </c>
      <c r="O66" s="14">
        <v>5225</v>
      </c>
      <c r="P66" s="14">
        <v>81.347778550610215</v>
      </c>
      <c r="Q66" s="14">
        <v>20726.88</v>
      </c>
      <c r="R66" s="14">
        <v>10250.065000000001</v>
      </c>
      <c r="S66" s="14">
        <f t="shared" si="6"/>
        <v>20</v>
      </c>
      <c r="T66" s="14">
        <f t="shared" si="7"/>
        <v>12.078226076460215</v>
      </c>
      <c r="U66" s="14">
        <f t="shared" si="1"/>
        <v>7.5</v>
      </c>
      <c r="V66" s="14">
        <f t="shared" si="8"/>
        <v>12.433880838364978</v>
      </c>
      <c r="W66" s="14">
        <f t="shared" si="9"/>
        <v>11.722571314555452</v>
      </c>
      <c r="X66" s="14" t="e">
        <f t="shared" si="2"/>
        <v>#N/A</v>
      </c>
      <c r="Y66" s="14" t="e">
        <f t="shared" si="3"/>
        <v>#N/A</v>
      </c>
      <c r="Z66" s="14">
        <f t="shared" si="16"/>
        <v>8.6</v>
      </c>
      <c r="AA66" s="14">
        <f t="shared" si="16"/>
        <v>27.38</v>
      </c>
      <c r="AB66" s="14">
        <f t="shared" si="16"/>
        <v>3.65</v>
      </c>
      <c r="AC66" s="14">
        <f t="shared" si="16"/>
        <v>3.78</v>
      </c>
      <c r="AG66">
        <f t="shared" si="18"/>
        <v>-1.3100000000000023</v>
      </c>
      <c r="AH66">
        <f t="shared" si="18"/>
        <v>0</v>
      </c>
      <c r="AI66">
        <f t="shared" si="17"/>
        <v>-3.6371428571428552</v>
      </c>
      <c r="AJ66">
        <f t="shared" si="17"/>
        <v>0.57000000000000028</v>
      </c>
      <c r="AK66">
        <f t="shared" si="17"/>
        <v>4.2857142857143211E-2</v>
      </c>
      <c r="AL66">
        <f t="shared" si="17"/>
        <v>0</v>
      </c>
      <c r="AM66">
        <f t="shared" si="17"/>
        <v>0.14130952380952444</v>
      </c>
      <c r="AN66">
        <f t="shared" si="10"/>
        <v>-0.92731199999999991</v>
      </c>
      <c r="AO66">
        <f t="shared" si="11"/>
        <v>-2.1291686378255008</v>
      </c>
      <c r="AQ66">
        <f t="shared" si="12"/>
        <v>12.433880838364978</v>
      </c>
      <c r="AR66">
        <f t="shared" si="13"/>
        <v>11.722571314555452</v>
      </c>
      <c r="AT66" t="str">
        <f t="shared" si="14"/>
        <v>45553C</v>
      </c>
    </row>
    <row r="67" spans="1:46" x14ac:dyDescent="0.3">
      <c r="A67" s="16">
        <v>45554</v>
      </c>
      <c r="B67" s="17" t="s">
        <v>21</v>
      </c>
      <c r="C67" s="14">
        <v>8.6</v>
      </c>
      <c r="D67" s="14">
        <v>39.428571428571431</v>
      </c>
      <c r="E67" s="14">
        <v>27.375714285714281</v>
      </c>
      <c r="F67" s="14">
        <v>56.21</v>
      </c>
      <c r="G67" s="14">
        <v>3.78</v>
      </c>
      <c r="H67" s="14">
        <v>3.6514285714285721</v>
      </c>
      <c r="I67" s="14">
        <v>152.85714285714289</v>
      </c>
      <c r="J67" s="14">
        <v>8.9164606163130191</v>
      </c>
      <c r="K67" s="14">
        <v>1.3435123440689881E-2</v>
      </c>
      <c r="L67" s="14">
        <v>0.11979374903421521</v>
      </c>
      <c r="M67" s="14">
        <f t="shared" si="5"/>
        <v>20</v>
      </c>
      <c r="N67" s="14">
        <v>2.5897768594644729E-3</v>
      </c>
      <c r="O67" s="14">
        <v>5225</v>
      </c>
      <c r="P67" s="14">
        <v>81.986261732458217</v>
      </c>
      <c r="Q67" s="14">
        <v>44188.44</v>
      </c>
      <c r="R67" s="14">
        <v>5490.8860000000004</v>
      </c>
      <c r="S67" s="14">
        <f t="shared" si="6"/>
        <v>20</v>
      </c>
      <c r="T67" s="14">
        <f t="shared" si="7"/>
        <v>17.889700088008894</v>
      </c>
      <c r="U67" s="14" t="e">
        <f t="shared" si="1"/>
        <v>#N/A</v>
      </c>
      <c r="V67" s="14">
        <f t="shared" si="8"/>
        <v>18.165989770548578</v>
      </c>
      <c r="W67" s="14">
        <f t="shared" si="9"/>
        <v>17.613410405469214</v>
      </c>
      <c r="X67" s="14">
        <f t="shared" si="2"/>
        <v>12.1</v>
      </c>
      <c r="Y67" s="14">
        <f t="shared" si="3"/>
        <v>11.03</v>
      </c>
      <c r="Z67" s="14"/>
      <c r="AA67" s="14"/>
      <c r="AB67" s="14"/>
      <c r="AC67" s="14"/>
      <c r="AG67">
        <f t="shared" si="18"/>
        <v>-2.2499999999999964</v>
      </c>
      <c r="AH67">
        <f t="shared" si="18"/>
        <v>0</v>
      </c>
      <c r="AI67">
        <f t="shared" si="17"/>
        <v>-2.3314285714285603</v>
      </c>
      <c r="AJ67">
        <f t="shared" si="17"/>
        <v>0.57000000000000028</v>
      </c>
      <c r="AK67">
        <f t="shared" si="17"/>
        <v>4.2857142857143211E-2</v>
      </c>
      <c r="AL67">
        <f t="shared" si="17"/>
        <v>0</v>
      </c>
      <c r="AM67">
        <f t="shared" si="17"/>
        <v>-1.7420634920636106E-2</v>
      </c>
      <c r="AN67">
        <f t="shared" si="10"/>
        <v>1.4188440000000002</v>
      </c>
      <c r="AO67">
        <f t="shared" si="11"/>
        <v>1.3670787673739611</v>
      </c>
      <c r="AQ67">
        <f t="shared" si="12"/>
        <v>18.165989770548578</v>
      </c>
      <c r="AR67">
        <f t="shared" si="13"/>
        <v>17.613410405469214</v>
      </c>
      <c r="AT67" t="str">
        <f t="shared" si="14"/>
        <v>45554A</v>
      </c>
    </row>
    <row r="69" spans="1:46" x14ac:dyDescent="0.3">
      <c r="AG69" s="1" t="s">
        <v>2</v>
      </c>
      <c r="AH69" s="1" t="s">
        <v>3</v>
      </c>
      <c r="AI69" s="1" t="s">
        <v>4</v>
      </c>
      <c r="AJ69" s="1" t="s">
        <v>5</v>
      </c>
      <c r="AK69" s="1" t="s">
        <v>6</v>
      </c>
      <c r="AL69" s="1" t="s">
        <v>7</v>
      </c>
      <c r="AM69" s="1" t="s">
        <v>8</v>
      </c>
      <c r="AN69" s="1" t="s">
        <v>16</v>
      </c>
      <c r="AO69" s="1" t="s">
        <v>9</v>
      </c>
    </row>
    <row r="70" spans="1:46" x14ac:dyDescent="0.3">
      <c r="F70">
        <f>CORREL(F36:F67,I36:I67)</f>
        <v>3.6965302435456551E-2</v>
      </c>
      <c r="AF70" t="s">
        <v>528</v>
      </c>
      <c r="AG70">
        <f>MIN(AG7:AG67)</f>
        <v>-4.4166666666666643</v>
      </c>
      <c r="AH70">
        <f t="shared" ref="AH70:AR70" si="19">MIN(AH7:AH67)</f>
        <v>0</v>
      </c>
      <c r="AI70">
        <f t="shared" si="19"/>
        <v>-5.4022222222222211</v>
      </c>
      <c r="AJ70">
        <f t="shared" si="19"/>
        <v>-0.93499999999999872</v>
      </c>
      <c r="AK70">
        <f t="shared" si="19"/>
        <v>-0.68571428571428561</v>
      </c>
      <c r="AL70">
        <f t="shared" si="19"/>
        <v>0</v>
      </c>
      <c r="AM70">
        <f t="shared" si="19"/>
        <v>-2.1388888888889172E-2</v>
      </c>
      <c r="AN70">
        <f t="shared" si="19"/>
        <v>-2.9970240000000001</v>
      </c>
      <c r="AO70">
        <f t="shared" si="19"/>
        <v>-6.3724228171442618</v>
      </c>
    </row>
    <row r="71" spans="1:46" x14ac:dyDescent="0.3">
      <c r="AF71" t="s">
        <v>529</v>
      </c>
      <c r="AG71">
        <f>MAX(AG7:AG67)</f>
        <v>2.0999999999999996</v>
      </c>
      <c r="AH71">
        <f t="shared" ref="AH71:AR71" si="20">MAX(AH7:AH67)</f>
        <v>0</v>
      </c>
      <c r="AI71">
        <f t="shared" si="20"/>
        <v>2.4200000000000017</v>
      </c>
      <c r="AJ71">
        <f t="shared" si="20"/>
        <v>1.3550000000000002</v>
      </c>
      <c r="AK71">
        <f t="shared" si="20"/>
        <v>0.42857142857142894</v>
      </c>
      <c r="AL71">
        <f t="shared" si="20"/>
        <v>0</v>
      </c>
      <c r="AM71">
        <f t="shared" si="20"/>
        <v>0.50638888888888867</v>
      </c>
      <c r="AN71">
        <f t="shared" si="20"/>
        <v>3.6133199999999999</v>
      </c>
      <c r="AO71">
        <f t="shared" si="20"/>
        <v>6.2547732674279999</v>
      </c>
    </row>
  </sheetData>
  <autoFilter ref="A6:AT67" xr:uid="{5241CB23-B685-4C82-965B-A677A9FC4A51}">
    <filterColumn colId="0">
      <filters>
        <dateGroupItem year="2024" month="9" dateTimeGrouping="month"/>
      </filters>
    </filterColumn>
  </autoFilter>
  <mergeCells count="1">
    <mergeCell ref="X5:Y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3EA7C-B2E6-4760-8203-ECF232D5AC76}">
  <dimension ref="A1:AN69"/>
  <sheetViews>
    <sheetView workbookViewId="0">
      <selection activeCell="C7" sqref="C7:AN69"/>
    </sheetView>
  </sheetViews>
  <sheetFormatPr defaultRowHeight="14.4" x14ac:dyDescent="0.3"/>
  <sheetData>
    <row r="1" spans="1:40" x14ac:dyDescent="0.3">
      <c r="A1" s="6" t="s">
        <v>41</v>
      </c>
      <c r="B1" s="7" t="s">
        <v>42</v>
      </c>
      <c r="C1" s="7"/>
      <c r="D1" s="6" t="s">
        <v>43</v>
      </c>
      <c r="E1" s="7"/>
      <c r="F1" s="6" t="s">
        <v>44</v>
      </c>
      <c r="G1" s="7" t="s">
        <v>45</v>
      </c>
      <c r="H1" s="6" t="s">
        <v>46</v>
      </c>
      <c r="I1" s="6">
        <v>45519</v>
      </c>
      <c r="J1" s="6" t="s">
        <v>47</v>
      </c>
      <c r="K1" s="6">
        <v>45553</v>
      </c>
      <c r="L1" s="6" t="s">
        <v>48</v>
      </c>
      <c r="M1" s="7">
        <v>10</v>
      </c>
      <c r="N1" s="6" t="s">
        <v>49</v>
      </c>
      <c r="O1" s="7">
        <v>6</v>
      </c>
      <c r="P1" s="6" t="s">
        <v>50</v>
      </c>
      <c r="Q1" s="7">
        <v>10</v>
      </c>
      <c r="R1" s="6" t="s">
        <v>51</v>
      </c>
      <c r="S1" s="7">
        <v>8</v>
      </c>
      <c r="T1" s="6" t="s">
        <v>52</v>
      </c>
      <c r="U1" s="7">
        <v>25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40" x14ac:dyDescent="0.3">
      <c r="A2" s="19" t="s">
        <v>53</v>
      </c>
      <c r="B2" s="19" t="s">
        <v>54</v>
      </c>
      <c r="C2" s="7"/>
      <c r="D2" s="18" t="s">
        <v>55</v>
      </c>
      <c r="E2" s="19"/>
      <c r="F2" s="19"/>
      <c r="G2" s="18" t="s">
        <v>56</v>
      </c>
      <c r="H2" s="19"/>
      <c r="I2" s="19"/>
      <c r="J2" s="18" t="s">
        <v>57</v>
      </c>
      <c r="K2" s="19"/>
      <c r="L2" s="19"/>
      <c r="M2" s="18" t="s">
        <v>58</v>
      </c>
      <c r="N2" s="19"/>
      <c r="O2" s="19"/>
      <c r="P2" s="19"/>
      <c r="Q2" s="18" t="s">
        <v>59</v>
      </c>
      <c r="R2" s="19"/>
      <c r="S2" s="19"/>
      <c r="T2" s="19"/>
      <c r="U2" s="18" t="s">
        <v>25</v>
      </c>
      <c r="V2" s="19"/>
      <c r="W2" s="19"/>
      <c r="X2" s="19"/>
      <c r="Y2" s="18" t="s">
        <v>60</v>
      </c>
      <c r="Z2" s="19"/>
      <c r="AA2" s="19"/>
      <c r="AB2" s="19"/>
      <c r="AC2" s="18" t="s">
        <v>27</v>
      </c>
      <c r="AD2" s="19"/>
      <c r="AE2" s="19"/>
      <c r="AF2" s="19"/>
      <c r="AG2" s="18" t="s">
        <v>26</v>
      </c>
      <c r="AH2" s="19"/>
      <c r="AI2" s="19"/>
      <c r="AJ2" s="19"/>
      <c r="AK2" s="18" t="s">
        <v>61</v>
      </c>
      <c r="AL2" s="19"/>
      <c r="AM2" s="19"/>
      <c r="AN2" s="19"/>
    </row>
    <row r="3" spans="1:40" x14ac:dyDescent="0.3">
      <c r="A3" s="19"/>
      <c r="B3" s="19"/>
      <c r="C3" s="7"/>
      <c r="D3" s="7" t="s">
        <v>62</v>
      </c>
      <c r="E3" s="7" t="s">
        <v>63</v>
      </c>
      <c r="F3" s="7" t="s">
        <v>64</v>
      </c>
      <c r="G3" s="7" t="s">
        <v>62</v>
      </c>
      <c r="H3" s="7" t="s">
        <v>63</v>
      </c>
      <c r="I3" s="7" t="s">
        <v>64</v>
      </c>
      <c r="J3" s="7" t="s">
        <v>62</v>
      </c>
      <c r="K3" s="7" t="s">
        <v>63</v>
      </c>
      <c r="L3" s="7" t="s">
        <v>64</v>
      </c>
      <c r="M3" s="7" t="s">
        <v>62</v>
      </c>
      <c r="N3" s="7" t="s">
        <v>63</v>
      </c>
      <c r="O3" s="7" t="s">
        <v>64</v>
      </c>
      <c r="P3" s="7" t="s">
        <v>65</v>
      </c>
      <c r="Q3" s="7" t="s">
        <v>62</v>
      </c>
      <c r="R3" s="7" t="s">
        <v>63</v>
      </c>
      <c r="S3" s="7" t="s">
        <v>64</v>
      </c>
      <c r="T3" s="7" t="s">
        <v>65</v>
      </c>
      <c r="U3" s="7" t="s">
        <v>62</v>
      </c>
      <c r="V3" s="7" t="s">
        <v>63</v>
      </c>
      <c r="W3" s="7" t="s">
        <v>64</v>
      </c>
      <c r="X3" s="7" t="s">
        <v>65</v>
      </c>
      <c r="Y3" s="7" t="s">
        <v>62</v>
      </c>
      <c r="Z3" s="7" t="s">
        <v>63</v>
      </c>
      <c r="AA3" s="7" t="s">
        <v>64</v>
      </c>
      <c r="AB3" s="7" t="s">
        <v>65</v>
      </c>
      <c r="AC3" s="7" t="s">
        <v>62</v>
      </c>
      <c r="AD3" s="7" t="s">
        <v>63</v>
      </c>
      <c r="AE3" s="7" t="s">
        <v>64</v>
      </c>
      <c r="AF3" s="7" t="s">
        <v>65</v>
      </c>
      <c r="AG3" s="7" t="s">
        <v>62</v>
      </c>
      <c r="AH3" s="7" t="s">
        <v>63</v>
      </c>
      <c r="AI3" s="7" t="s">
        <v>64</v>
      </c>
      <c r="AJ3" s="7" t="s">
        <v>65</v>
      </c>
      <c r="AK3" s="7" t="s">
        <v>62</v>
      </c>
      <c r="AL3" s="7" t="s">
        <v>63</v>
      </c>
      <c r="AM3" s="7" t="s">
        <v>64</v>
      </c>
      <c r="AN3" s="7" t="s">
        <v>65</v>
      </c>
    </row>
    <row r="4" spans="1:40" x14ac:dyDescent="0.3">
      <c r="A4" s="7" t="s">
        <v>66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>
        <v>8.15</v>
      </c>
      <c r="O4" s="7"/>
      <c r="P4" s="7"/>
      <c r="Q4" s="7"/>
      <c r="R4" s="7">
        <v>38.78</v>
      </c>
      <c r="S4" s="7"/>
      <c r="T4" s="7"/>
      <c r="U4" s="7"/>
      <c r="V4" s="7">
        <v>26.21</v>
      </c>
      <c r="W4" s="7"/>
      <c r="X4" s="7"/>
      <c r="Y4" s="7"/>
      <c r="Z4" s="7">
        <v>55.07</v>
      </c>
      <c r="AA4" s="7"/>
      <c r="AB4" s="7"/>
      <c r="AC4" s="7"/>
      <c r="AD4" s="7">
        <v>3.81</v>
      </c>
      <c r="AE4" s="7"/>
      <c r="AF4" s="7"/>
      <c r="AG4" s="7"/>
      <c r="AH4" s="7">
        <v>3.4</v>
      </c>
      <c r="AI4" s="7"/>
      <c r="AJ4" s="7"/>
      <c r="AK4" s="7"/>
      <c r="AL4" s="7">
        <v>152.22999999999999</v>
      </c>
      <c r="AM4" s="7"/>
      <c r="AN4" s="7"/>
    </row>
    <row r="5" spans="1:40" x14ac:dyDescent="0.3">
      <c r="A5" s="7" t="s">
        <v>67</v>
      </c>
      <c r="B5" s="7"/>
      <c r="C5" s="7"/>
      <c r="D5" s="7"/>
      <c r="E5" s="7">
        <v>3</v>
      </c>
      <c r="F5" s="7">
        <v>4</v>
      </c>
      <c r="G5" s="7">
        <v>5</v>
      </c>
      <c r="H5" s="7">
        <v>6</v>
      </c>
      <c r="I5" s="7">
        <v>7</v>
      </c>
      <c r="J5" s="7">
        <v>8</v>
      </c>
      <c r="K5" s="7">
        <v>9</v>
      </c>
      <c r="L5" s="7">
        <v>10</v>
      </c>
      <c r="M5" s="7">
        <v>11</v>
      </c>
      <c r="N5" s="7">
        <v>12</v>
      </c>
      <c r="O5" s="7">
        <v>13</v>
      </c>
      <c r="P5" s="7">
        <v>14</v>
      </c>
      <c r="Q5" s="7">
        <v>15</v>
      </c>
      <c r="R5" s="7">
        <v>16</v>
      </c>
      <c r="S5" s="7">
        <v>17</v>
      </c>
      <c r="T5" s="7">
        <v>18</v>
      </c>
      <c r="U5" s="7">
        <v>19</v>
      </c>
      <c r="V5" s="7">
        <v>20</v>
      </c>
      <c r="W5" s="7">
        <v>21</v>
      </c>
      <c r="X5" s="7">
        <v>22</v>
      </c>
      <c r="Y5" s="7">
        <v>23</v>
      </c>
      <c r="Z5" s="7">
        <v>24</v>
      </c>
      <c r="AA5" s="7">
        <v>25</v>
      </c>
      <c r="AB5" s="7">
        <v>26</v>
      </c>
      <c r="AC5" s="7">
        <v>27</v>
      </c>
      <c r="AD5" s="7">
        <v>28</v>
      </c>
      <c r="AE5" s="7">
        <v>29</v>
      </c>
      <c r="AF5" s="7">
        <v>30</v>
      </c>
      <c r="AG5" s="7">
        <v>31</v>
      </c>
      <c r="AH5" s="7">
        <v>32</v>
      </c>
      <c r="AI5" s="7">
        <v>33</v>
      </c>
      <c r="AJ5" s="7">
        <v>34</v>
      </c>
      <c r="AK5" s="7">
        <v>35</v>
      </c>
      <c r="AL5" s="7">
        <v>36</v>
      </c>
      <c r="AM5" s="7">
        <v>37</v>
      </c>
      <c r="AN5" s="7">
        <v>38</v>
      </c>
    </row>
    <row r="6" spans="1:40" x14ac:dyDescent="0.3">
      <c r="A6" s="7" t="s">
        <v>68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>
        <v>9.17</v>
      </c>
      <c r="O6" s="7"/>
      <c r="P6" s="7"/>
      <c r="Q6" s="7"/>
      <c r="R6" s="7">
        <v>41</v>
      </c>
      <c r="S6" s="7"/>
      <c r="T6" s="7"/>
      <c r="U6" s="7"/>
      <c r="V6" s="7">
        <v>28.52</v>
      </c>
      <c r="W6" s="7"/>
      <c r="X6" s="7"/>
      <c r="Y6" s="7"/>
      <c r="Z6" s="7">
        <v>57.56</v>
      </c>
      <c r="AA6" s="7"/>
      <c r="AB6" s="7"/>
      <c r="AC6" s="7"/>
      <c r="AD6" s="7">
        <v>4.95</v>
      </c>
      <c r="AE6" s="7"/>
      <c r="AF6" s="7"/>
      <c r="AG6" s="7"/>
      <c r="AH6" s="7">
        <v>3.5</v>
      </c>
      <c r="AI6" s="7"/>
      <c r="AJ6" s="7"/>
      <c r="AK6" s="7"/>
      <c r="AL6" s="7">
        <v>159.6</v>
      </c>
      <c r="AM6" s="7"/>
      <c r="AN6" s="7"/>
    </row>
    <row r="7" spans="1:40" x14ac:dyDescent="0.3">
      <c r="A7" s="8">
        <v>45519</v>
      </c>
      <c r="B7" s="7" t="s">
        <v>21</v>
      </c>
      <c r="C7" s="7" t="str">
        <f>A7&amp;B7</f>
        <v>45519A</v>
      </c>
      <c r="D7" s="7" t="s">
        <v>69</v>
      </c>
      <c r="E7" s="7">
        <v>15.56</v>
      </c>
      <c r="F7" s="9">
        <v>37.21</v>
      </c>
      <c r="G7" s="7" t="s">
        <v>70</v>
      </c>
      <c r="H7" s="7">
        <v>0</v>
      </c>
      <c r="I7" s="7"/>
      <c r="J7" s="7" t="s">
        <v>71</v>
      </c>
      <c r="K7" s="7">
        <v>67.81</v>
      </c>
      <c r="L7" s="9">
        <v>27.32</v>
      </c>
      <c r="M7" s="7" t="s">
        <v>72</v>
      </c>
      <c r="N7" s="7">
        <v>8</v>
      </c>
      <c r="O7" s="9">
        <v>3.49</v>
      </c>
      <c r="P7" s="10">
        <v>1.84</v>
      </c>
      <c r="Q7" s="7" t="s">
        <v>73</v>
      </c>
      <c r="R7" s="7">
        <v>37.67</v>
      </c>
      <c r="S7" s="10">
        <v>2.38</v>
      </c>
      <c r="T7" s="10">
        <v>2.86</v>
      </c>
      <c r="U7" s="7" t="s">
        <v>74</v>
      </c>
      <c r="V7" s="7">
        <v>27.77</v>
      </c>
      <c r="W7" s="10">
        <v>4.3499999999999996</v>
      </c>
      <c r="X7" s="9">
        <v>5.95</v>
      </c>
      <c r="Y7" s="7" t="s">
        <v>75</v>
      </c>
      <c r="Z7" s="11">
        <v>55.72</v>
      </c>
      <c r="AA7" s="10">
        <v>0.36</v>
      </c>
      <c r="AB7" s="10">
        <v>1.18</v>
      </c>
      <c r="AC7" s="7" t="s">
        <v>76</v>
      </c>
      <c r="AD7" s="11">
        <v>3.63</v>
      </c>
      <c r="AE7" s="10">
        <v>2.68</v>
      </c>
      <c r="AF7" s="10">
        <v>4.72</v>
      </c>
      <c r="AG7" s="7" t="s">
        <v>77</v>
      </c>
      <c r="AH7" s="7">
        <v>3.23</v>
      </c>
      <c r="AI7" s="10">
        <v>4.99</v>
      </c>
      <c r="AJ7" s="10">
        <v>4.99</v>
      </c>
      <c r="AK7" s="7" t="s">
        <v>78</v>
      </c>
      <c r="AL7" s="7">
        <v>140.33000000000001</v>
      </c>
      <c r="AM7" s="10">
        <v>3.57</v>
      </c>
      <c r="AN7" s="10">
        <v>7.81</v>
      </c>
    </row>
    <row r="8" spans="1:40" x14ac:dyDescent="0.3">
      <c r="A8" s="8">
        <v>45519</v>
      </c>
      <c r="B8" s="7" t="s">
        <v>19</v>
      </c>
      <c r="C8" s="7" t="str">
        <f t="shared" ref="C8:C69" si="0">A8&amp;B8</f>
        <v>45519B</v>
      </c>
      <c r="D8" s="7" t="s">
        <v>79</v>
      </c>
      <c r="E8" s="7">
        <v>15.31</v>
      </c>
      <c r="F8" s="9">
        <v>34.770000000000003</v>
      </c>
      <c r="G8" s="7" t="s">
        <v>70</v>
      </c>
      <c r="H8" s="7">
        <v>0</v>
      </c>
      <c r="I8" s="7"/>
      <c r="J8" s="7" t="s">
        <v>80</v>
      </c>
      <c r="K8" s="7">
        <v>82.91</v>
      </c>
      <c r="L8" s="10">
        <v>19.41</v>
      </c>
      <c r="M8" s="7" t="s">
        <v>81</v>
      </c>
      <c r="N8" s="7">
        <v>7.89</v>
      </c>
      <c r="O8" s="10">
        <v>1.37</v>
      </c>
      <c r="P8" s="9">
        <v>3.19</v>
      </c>
      <c r="Q8" s="7" t="s">
        <v>82</v>
      </c>
      <c r="R8" s="7">
        <v>39.25</v>
      </c>
      <c r="S8" s="10">
        <v>2.2400000000000002</v>
      </c>
      <c r="T8" s="10">
        <v>1.21</v>
      </c>
      <c r="U8" s="7" t="s">
        <v>83</v>
      </c>
      <c r="V8" s="7">
        <v>26.62</v>
      </c>
      <c r="W8" s="10">
        <v>0.96</v>
      </c>
      <c r="X8" s="10">
        <v>1.56</v>
      </c>
      <c r="Y8" s="7" t="s">
        <v>84</v>
      </c>
      <c r="Z8" s="7">
        <v>55.74</v>
      </c>
      <c r="AA8" s="10">
        <v>0.17</v>
      </c>
      <c r="AB8" s="10">
        <v>1.21</v>
      </c>
      <c r="AC8" s="7" t="s">
        <v>85</v>
      </c>
      <c r="AD8" s="7">
        <v>3.58</v>
      </c>
      <c r="AE8" s="10">
        <v>0.83</v>
      </c>
      <c r="AF8" s="10">
        <v>6.03</v>
      </c>
      <c r="AG8" s="7" t="s">
        <v>86</v>
      </c>
      <c r="AH8" s="7">
        <v>3.24</v>
      </c>
      <c r="AI8" s="10">
        <v>2.11</v>
      </c>
      <c r="AJ8" s="10">
        <v>4.7</v>
      </c>
      <c r="AK8" s="7" t="s">
        <v>87</v>
      </c>
      <c r="AL8" s="7">
        <v>146.25</v>
      </c>
      <c r="AM8" s="10">
        <v>0.03</v>
      </c>
      <c r="AN8" s="10">
        <v>3.92</v>
      </c>
    </row>
    <row r="9" spans="1:40" x14ac:dyDescent="0.3">
      <c r="A9" s="8">
        <v>45519</v>
      </c>
      <c r="B9" s="7" t="s">
        <v>20</v>
      </c>
      <c r="C9" s="7" t="str">
        <f t="shared" si="0"/>
        <v>45519C</v>
      </c>
      <c r="D9" s="7" t="s">
        <v>88</v>
      </c>
      <c r="E9" s="7">
        <v>15.86</v>
      </c>
      <c r="F9" s="9">
        <v>10.52</v>
      </c>
      <c r="G9" s="7" t="s">
        <v>70</v>
      </c>
      <c r="H9" s="7">
        <v>0</v>
      </c>
      <c r="I9" s="7"/>
      <c r="J9" s="7" t="s">
        <v>89</v>
      </c>
      <c r="K9" s="7">
        <v>98.33</v>
      </c>
      <c r="L9" s="9">
        <v>39.83</v>
      </c>
      <c r="M9" s="7" t="s">
        <v>90</v>
      </c>
      <c r="N9" s="7">
        <v>8.1999999999999993</v>
      </c>
      <c r="O9" s="9">
        <v>3.79</v>
      </c>
      <c r="P9" s="10">
        <v>0.61</v>
      </c>
      <c r="Q9" s="7" t="s">
        <v>91</v>
      </c>
      <c r="R9" s="7">
        <v>39</v>
      </c>
      <c r="S9" s="10">
        <v>1.48</v>
      </c>
      <c r="T9" s="10">
        <v>0.56000000000000005</v>
      </c>
      <c r="U9" s="7" t="s">
        <v>92</v>
      </c>
      <c r="V9" s="7">
        <v>25.44</v>
      </c>
      <c r="W9" s="10">
        <v>4.6399999999999997</v>
      </c>
      <c r="X9" s="10">
        <v>2.93</v>
      </c>
      <c r="Y9" s="7" t="s">
        <v>93</v>
      </c>
      <c r="Z9" s="7">
        <v>55.74</v>
      </c>
      <c r="AA9" s="10">
        <v>0.01</v>
      </c>
      <c r="AB9" s="10">
        <v>1.21</v>
      </c>
      <c r="AC9" s="7" t="s">
        <v>94</v>
      </c>
      <c r="AD9" s="7">
        <v>3.58</v>
      </c>
      <c r="AE9" s="10">
        <v>1.64</v>
      </c>
      <c r="AF9" s="10">
        <v>6.03</v>
      </c>
      <c r="AG9" s="7" t="s">
        <v>95</v>
      </c>
      <c r="AH9" s="7">
        <v>3.37</v>
      </c>
      <c r="AI9" s="10">
        <v>1.2</v>
      </c>
      <c r="AJ9" s="10">
        <v>0.88</v>
      </c>
      <c r="AK9" s="7" t="s">
        <v>96</v>
      </c>
      <c r="AL9" s="7">
        <v>149</v>
      </c>
      <c r="AM9" s="10">
        <v>0.44</v>
      </c>
      <c r="AN9" s="10">
        <v>2.12</v>
      </c>
    </row>
    <row r="10" spans="1:40" x14ac:dyDescent="0.3">
      <c r="A10" s="8">
        <v>45520</v>
      </c>
      <c r="B10" s="7" t="s">
        <v>21</v>
      </c>
      <c r="C10" s="7" t="str">
        <f t="shared" si="0"/>
        <v>45520A</v>
      </c>
      <c r="D10" s="7" t="s">
        <v>97</v>
      </c>
      <c r="E10" s="7">
        <v>20.079999999999998</v>
      </c>
      <c r="F10" s="9">
        <v>43.94</v>
      </c>
      <c r="G10" s="7" t="s">
        <v>70</v>
      </c>
      <c r="H10" s="7">
        <v>0</v>
      </c>
      <c r="I10" s="7"/>
      <c r="J10" s="7" t="s">
        <v>98</v>
      </c>
      <c r="K10" s="7">
        <v>74.790000000000006</v>
      </c>
      <c r="L10" s="10">
        <v>7.68</v>
      </c>
      <c r="M10" s="7" t="s">
        <v>99</v>
      </c>
      <c r="N10" s="7">
        <v>8.08</v>
      </c>
      <c r="O10" s="10">
        <v>0.49</v>
      </c>
      <c r="P10" s="10">
        <v>0.85</v>
      </c>
      <c r="Q10" s="7" t="s">
        <v>100</v>
      </c>
      <c r="R10" s="7">
        <v>37.67</v>
      </c>
      <c r="S10" s="10">
        <v>2.63</v>
      </c>
      <c r="T10" s="10">
        <v>2.86</v>
      </c>
      <c r="U10" s="7" t="s">
        <v>101</v>
      </c>
      <c r="V10" s="7">
        <v>25.77</v>
      </c>
      <c r="W10" s="10">
        <v>2.42</v>
      </c>
      <c r="X10" s="10">
        <v>1.67</v>
      </c>
      <c r="Y10" s="7" t="s">
        <v>102</v>
      </c>
      <c r="Z10" s="7">
        <v>55</v>
      </c>
      <c r="AA10" s="10">
        <v>1.23</v>
      </c>
      <c r="AB10" s="10">
        <v>0.12</v>
      </c>
      <c r="AC10" s="7" t="s">
        <v>76</v>
      </c>
      <c r="AD10" s="7">
        <v>3.58</v>
      </c>
      <c r="AE10" s="10">
        <v>4.0199999999999996</v>
      </c>
      <c r="AF10" s="10">
        <v>6.03</v>
      </c>
      <c r="AG10" s="7" t="s">
        <v>103</v>
      </c>
      <c r="AH10" s="7">
        <v>3.34</v>
      </c>
      <c r="AI10" s="10">
        <v>1.47</v>
      </c>
      <c r="AJ10" s="10">
        <v>1.76</v>
      </c>
      <c r="AK10" s="7" t="s">
        <v>104</v>
      </c>
      <c r="AL10" s="7">
        <v>144.33000000000001</v>
      </c>
      <c r="AM10" s="10">
        <v>2.97</v>
      </c>
      <c r="AN10" s="10">
        <v>5.18</v>
      </c>
    </row>
    <row r="11" spans="1:40" x14ac:dyDescent="0.3">
      <c r="A11" s="8">
        <v>45520</v>
      </c>
      <c r="B11" s="7" t="s">
        <v>19</v>
      </c>
      <c r="C11" s="7" t="str">
        <f t="shared" si="0"/>
        <v>45520B</v>
      </c>
      <c r="D11" s="7" t="s">
        <v>105</v>
      </c>
      <c r="E11" s="7">
        <v>18.809999999999999</v>
      </c>
      <c r="F11" s="9">
        <v>19.88</v>
      </c>
      <c r="G11" s="7" t="s">
        <v>70</v>
      </c>
      <c r="H11" s="7">
        <v>0</v>
      </c>
      <c r="I11" s="7"/>
      <c r="J11" s="7" t="s">
        <v>106</v>
      </c>
      <c r="K11" s="7">
        <v>75.8</v>
      </c>
      <c r="L11" s="10">
        <v>4.08</v>
      </c>
      <c r="M11" s="7" t="s">
        <v>107</v>
      </c>
      <c r="N11" s="7">
        <v>8.1</v>
      </c>
      <c r="O11" s="10">
        <v>0.49</v>
      </c>
      <c r="P11" s="10">
        <v>0.61</v>
      </c>
      <c r="Q11" s="7" t="s">
        <v>108</v>
      </c>
      <c r="R11" s="7">
        <v>37.67</v>
      </c>
      <c r="S11" s="10">
        <v>3.08</v>
      </c>
      <c r="T11" s="10">
        <v>2.86</v>
      </c>
      <c r="U11" s="7" t="s">
        <v>109</v>
      </c>
      <c r="V11" s="7">
        <v>27.27</v>
      </c>
      <c r="W11" s="10">
        <v>2.78</v>
      </c>
      <c r="X11" s="10">
        <v>4.04</v>
      </c>
      <c r="Y11" s="7" t="s">
        <v>110</v>
      </c>
      <c r="Z11" s="7">
        <v>55</v>
      </c>
      <c r="AA11" s="10">
        <v>0.21</v>
      </c>
      <c r="AB11" s="10">
        <v>0.12</v>
      </c>
      <c r="AC11" s="7" t="s">
        <v>111</v>
      </c>
      <c r="AD11" s="7">
        <v>3.7</v>
      </c>
      <c r="AE11" s="10">
        <v>0.53</v>
      </c>
      <c r="AF11" s="10">
        <v>2.88</v>
      </c>
      <c r="AG11" s="7" t="s">
        <v>103</v>
      </c>
      <c r="AH11" s="7">
        <v>3.34</v>
      </c>
      <c r="AI11" s="10">
        <v>1.47</v>
      </c>
      <c r="AJ11" s="10">
        <v>1.76</v>
      </c>
      <c r="AK11" s="7" t="s">
        <v>112</v>
      </c>
      <c r="AL11" s="7">
        <v>142</v>
      </c>
      <c r="AM11" s="10">
        <v>5.82</v>
      </c>
      <c r="AN11" s="10">
        <v>6.72</v>
      </c>
    </row>
    <row r="12" spans="1:40" x14ac:dyDescent="0.3">
      <c r="A12" s="8">
        <v>45520</v>
      </c>
      <c r="B12" s="7" t="s">
        <v>20</v>
      </c>
      <c r="C12" s="7" t="str">
        <f t="shared" si="0"/>
        <v>45520C</v>
      </c>
      <c r="D12" s="7" t="s">
        <v>79</v>
      </c>
      <c r="E12" s="7">
        <v>16.03</v>
      </c>
      <c r="F12" s="9">
        <v>41.1</v>
      </c>
      <c r="G12" s="7" t="s">
        <v>70</v>
      </c>
      <c r="H12" s="7">
        <v>0</v>
      </c>
      <c r="I12" s="7"/>
      <c r="J12" s="7" t="s">
        <v>113</v>
      </c>
      <c r="K12" s="7">
        <v>84.93</v>
      </c>
      <c r="L12" s="10">
        <v>18.54</v>
      </c>
      <c r="M12" s="7" t="s">
        <v>107</v>
      </c>
      <c r="N12" s="7">
        <v>8.4499999999999993</v>
      </c>
      <c r="O12" s="9">
        <v>4.83</v>
      </c>
      <c r="P12" s="9">
        <v>3.68</v>
      </c>
      <c r="Q12" s="7" t="s">
        <v>114</v>
      </c>
      <c r="R12" s="7">
        <v>39.200000000000003</v>
      </c>
      <c r="S12" s="10">
        <v>1.26</v>
      </c>
      <c r="T12" s="10">
        <v>1.08</v>
      </c>
      <c r="U12" s="7" t="s">
        <v>115</v>
      </c>
      <c r="V12" s="7">
        <v>26.6</v>
      </c>
      <c r="W12" s="10">
        <v>0.18</v>
      </c>
      <c r="X12" s="10">
        <v>1.48</v>
      </c>
      <c r="Y12" s="7" t="s">
        <v>116</v>
      </c>
      <c r="Z12" s="7">
        <v>55</v>
      </c>
      <c r="AA12" s="10">
        <v>0.41</v>
      </c>
      <c r="AB12" s="10">
        <v>0.12</v>
      </c>
      <c r="AC12" s="7" t="s">
        <v>117</v>
      </c>
      <c r="AD12" s="7">
        <v>3.7</v>
      </c>
      <c r="AE12" s="10">
        <v>0</v>
      </c>
      <c r="AF12" s="10">
        <v>2.88</v>
      </c>
      <c r="AG12" s="7" t="s">
        <v>118</v>
      </c>
      <c r="AH12" s="7">
        <v>3.44</v>
      </c>
      <c r="AI12" s="10">
        <v>2.68</v>
      </c>
      <c r="AJ12" s="10">
        <v>1.17</v>
      </c>
      <c r="AK12" s="7" t="s">
        <v>119</v>
      </c>
      <c r="AL12" s="7">
        <v>150.6</v>
      </c>
      <c r="AM12" s="10">
        <v>1.1200000000000001</v>
      </c>
      <c r="AN12" s="10">
        <v>1.07</v>
      </c>
    </row>
    <row r="13" spans="1:40" x14ac:dyDescent="0.3">
      <c r="A13" s="8">
        <v>45523</v>
      </c>
      <c r="B13" s="7" t="s">
        <v>21</v>
      </c>
      <c r="C13" s="7" t="str">
        <f t="shared" si="0"/>
        <v>45523A</v>
      </c>
      <c r="D13" s="7" t="s">
        <v>120</v>
      </c>
      <c r="E13" s="7">
        <v>15.37</v>
      </c>
      <c r="F13" s="9">
        <v>35.409999999999997</v>
      </c>
      <c r="G13" s="7" t="s">
        <v>70</v>
      </c>
      <c r="H13" s="7">
        <v>0</v>
      </c>
      <c r="I13" s="7"/>
      <c r="J13" s="7" t="s">
        <v>121</v>
      </c>
      <c r="K13" s="7">
        <v>67.959999999999994</v>
      </c>
      <c r="L13" s="9">
        <v>30.24</v>
      </c>
      <c r="M13" s="7" t="s">
        <v>122</v>
      </c>
      <c r="N13" s="7">
        <v>8.43</v>
      </c>
      <c r="O13" s="10">
        <v>2.8</v>
      </c>
      <c r="P13" s="9">
        <v>3.43</v>
      </c>
      <c r="Q13" s="7" t="s">
        <v>123</v>
      </c>
      <c r="R13" s="7">
        <v>37.17</v>
      </c>
      <c r="S13" s="10">
        <v>4.12</v>
      </c>
      <c r="T13" s="10">
        <v>4.1500000000000004</v>
      </c>
      <c r="U13" s="7" t="s">
        <v>124</v>
      </c>
      <c r="V13" s="7">
        <v>28.38</v>
      </c>
      <c r="W13" s="9">
        <v>7.62</v>
      </c>
      <c r="X13" s="9">
        <v>8.27</v>
      </c>
      <c r="Y13" s="7" t="s">
        <v>110</v>
      </c>
      <c r="Z13" s="11">
        <v>55.77</v>
      </c>
      <c r="AA13" s="10">
        <v>1.17</v>
      </c>
      <c r="AB13" s="10">
        <v>1.27</v>
      </c>
      <c r="AC13" s="7" t="s">
        <v>125</v>
      </c>
      <c r="AD13" s="7">
        <v>3.96</v>
      </c>
      <c r="AE13" s="10">
        <v>5.03</v>
      </c>
      <c r="AF13" s="10">
        <v>3.93</v>
      </c>
      <c r="AG13" s="7" t="s">
        <v>77</v>
      </c>
      <c r="AH13" s="12">
        <v>3.51</v>
      </c>
      <c r="AI13" s="10">
        <v>3.23</v>
      </c>
      <c r="AJ13" s="10">
        <v>3.23</v>
      </c>
      <c r="AK13" s="7" t="s">
        <v>126</v>
      </c>
      <c r="AL13" s="7">
        <v>142.16999999999999</v>
      </c>
      <c r="AM13" s="10">
        <v>5.22</v>
      </c>
      <c r="AN13" s="10">
        <v>6.6</v>
      </c>
    </row>
    <row r="14" spans="1:40" x14ac:dyDescent="0.3">
      <c r="A14" s="8">
        <v>45523</v>
      </c>
      <c r="B14" s="7" t="s">
        <v>19</v>
      </c>
      <c r="C14" s="7" t="str">
        <f t="shared" si="0"/>
        <v>45523B</v>
      </c>
      <c r="D14" s="7" t="s">
        <v>127</v>
      </c>
      <c r="E14" s="7">
        <v>13.68</v>
      </c>
      <c r="F14" s="9">
        <v>20.21</v>
      </c>
      <c r="G14" s="7" t="s">
        <v>70</v>
      </c>
      <c r="H14" s="7">
        <v>0</v>
      </c>
      <c r="I14" s="7"/>
      <c r="J14" s="7" t="s">
        <v>128</v>
      </c>
      <c r="K14" s="7">
        <v>77.75</v>
      </c>
      <c r="L14" s="9">
        <v>30.01</v>
      </c>
      <c r="M14" s="7" t="s">
        <v>129</v>
      </c>
      <c r="N14" s="7">
        <v>8.5</v>
      </c>
      <c r="O14" s="10">
        <v>0.59</v>
      </c>
      <c r="P14" s="9">
        <v>4.29</v>
      </c>
      <c r="Q14" s="7" t="s">
        <v>130</v>
      </c>
      <c r="R14" s="7">
        <v>39</v>
      </c>
      <c r="S14" s="10">
        <v>1.03</v>
      </c>
      <c r="T14" s="10">
        <v>0.56000000000000005</v>
      </c>
      <c r="U14" s="7" t="s">
        <v>101</v>
      </c>
      <c r="V14" s="7">
        <v>27</v>
      </c>
      <c r="W14" s="10">
        <v>2.23</v>
      </c>
      <c r="X14" s="10">
        <v>3.01</v>
      </c>
      <c r="Y14" s="7" t="s">
        <v>84</v>
      </c>
      <c r="Z14" s="11">
        <v>54.98</v>
      </c>
      <c r="AA14" s="10">
        <v>1.54</v>
      </c>
      <c r="AB14" s="10">
        <v>0.16</v>
      </c>
      <c r="AC14" s="7" t="s">
        <v>131</v>
      </c>
      <c r="AD14" s="11">
        <v>4.04</v>
      </c>
      <c r="AE14" s="10">
        <v>0.74</v>
      </c>
      <c r="AF14" s="10">
        <v>6.03</v>
      </c>
      <c r="AG14" s="7" t="s">
        <v>132</v>
      </c>
      <c r="AH14" s="12">
        <v>3.65</v>
      </c>
      <c r="AI14" s="10">
        <v>5.79</v>
      </c>
      <c r="AJ14" s="9">
        <v>7.35</v>
      </c>
      <c r="AK14" s="7" t="s">
        <v>133</v>
      </c>
      <c r="AL14" s="7">
        <v>147</v>
      </c>
      <c r="AM14" s="10">
        <v>0.73</v>
      </c>
      <c r="AN14" s="10">
        <v>3.43</v>
      </c>
    </row>
    <row r="15" spans="1:40" ht="18" x14ac:dyDescent="0.35">
      <c r="A15" s="8">
        <v>45523</v>
      </c>
      <c r="B15" s="7" t="s">
        <v>20</v>
      </c>
      <c r="C15" s="7" t="str">
        <f t="shared" si="0"/>
        <v>45523C</v>
      </c>
      <c r="D15" s="7" t="s">
        <v>134</v>
      </c>
      <c r="E15" s="7">
        <v>11.08</v>
      </c>
      <c r="F15" s="10">
        <v>2.8</v>
      </c>
      <c r="G15" s="7" t="s">
        <v>135</v>
      </c>
      <c r="H15" s="7">
        <v>0</v>
      </c>
      <c r="I15" s="9">
        <v>100</v>
      </c>
      <c r="J15" s="7" t="s">
        <v>136</v>
      </c>
      <c r="K15" s="7">
        <v>75.959999999999994</v>
      </c>
      <c r="L15" s="9">
        <v>31.75</v>
      </c>
      <c r="M15" s="7" t="s">
        <v>137</v>
      </c>
      <c r="N15" s="7">
        <v>8.57</v>
      </c>
      <c r="O15" s="10">
        <v>0.35</v>
      </c>
      <c r="P15" s="9">
        <v>5.15</v>
      </c>
      <c r="Q15" s="7" t="s">
        <v>138</v>
      </c>
      <c r="R15" s="7">
        <v>38.71</v>
      </c>
      <c r="S15" s="10">
        <v>0.85</v>
      </c>
      <c r="T15" s="10">
        <v>0.18</v>
      </c>
      <c r="U15" s="7" t="s">
        <v>139</v>
      </c>
      <c r="V15" s="7">
        <v>26.92</v>
      </c>
      <c r="W15" s="10">
        <v>1.31</v>
      </c>
      <c r="X15" s="10">
        <v>2.7</v>
      </c>
      <c r="Y15" s="7" t="s">
        <v>140</v>
      </c>
      <c r="Z15" s="7">
        <v>54.98</v>
      </c>
      <c r="AA15" s="10">
        <v>0.38</v>
      </c>
      <c r="AB15" s="10">
        <v>0.16</v>
      </c>
      <c r="AC15" s="7" t="s">
        <v>141</v>
      </c>
      <c r="AD15" s="7">
        <v>4.04</v>
      </c>
      <c r="AE15" s="10">
        <v>0</v>
      </c>
      <c r="AF15" s="10">
        <v>6.03</v>
      </c>
      <c r="AG15" s="7" t="s">
        <v>132</v>
      </c>
      <c r="AH15" s="7">
        <v>3.44</v>
      </c>
      <c r="AI15" s="10">
        <v>0.28000000000000003</v>
      </c>
      <c r="AJ15" s="10">
        <v>1.17</v>
      </c>
      <c r="AK15" s="7" t="s">
        <v>142</v>
      </c>
      <c r="AL15" s="7">
        <v>149.29</v>
      </c>
      <c r="AM15" s="10">
        <v>1.77</v>
      </c>
      <c r="AN15" s="10">
        <v>1.93</v>
      </c>
    </row>
    <row r="16" spans="1:40" x14ac:dyDescent="0.3">
      <c r="A16" s="8">
        <v>45524</v>
      </c>
      <c r="B16" s="7" t="s">
        <v>21</v>
      </c>
      <c r="C16" s="7" t="str">
        <f t="shared" si="0"/>
        <v>45524A</v>
      </c>
      <c r="D16" s="7" t="s">
        <v>143</v>
      </c>
      <c r="E16" s="7">
        <v>12.64</v>
      </c>
      <c r="F16" s="9">
        <v>11.16</v>
      </c>
      <c r="G16" s="7" t="s">
        <v>70</v>
      </c>
      <c r="H16" s="7">
        <v>0</v>
      </c>
      <c r="I16" s="7"/>
      <c r="J16" s="7" t="s">
        <v>144</v>
      </c>
      <c r="K16" s="7">
        <v>93.97</v>
      </c>
      <c r="L16" s="10">
        <v>10.38</v>
      </c>
      <c r="M16" s="7" t="s">
        <v>145</v>
      </c>
      <c r="N16" s="7">
        <v>8.15</v>
      </c>
      <c r="O16" s="10">
        <v>1.45</v>
      </c>
      <c r="P16" s="10">
        <v>0</v>
      </c>
      <c r="Q16" s="7" t="s">
        <v>146</v>
      </c>
      <c r="R16" s="7">
        <v>38.25</v>
      </c>
      <c r="S16" s="10">
        <v>0.64</v>
      </c>
      <c r="T16" s="10">
        <v>1.36</v>
      </c>
      <c r="U16" s="7" t="s">
        <v>147</v>
      </c>
      <c r="V16" s="7">
        <v>26.4</v>
      </c>
      <c r="W16" s="10">
        <v>0.99</v>
      </c>
      <c r="X16" s="10">
        <v>0.72</v>
      </c>
      <c r="Y16" s="7" t="s">
        <v>148</v>
      </c>
      <c r="Z16" s="7">
        <v>54.44</v>
      </c>
      <c r="AA16" s="10">
        <v>1.32</v>
      </c>
      <c r="AB16" s="10">
        <v>1.1399999999999999</v>
      </c>
      <c r="AC16" s="7" t="s">
        <v>149</v>
      </c>
      <c r="AD16" s="7">
        <v>4.0599999999999996</v>
      </c>
      <c r="AE16" s="10">
        <v>0.99</v>
      </c>
      <c r="AF16" s="10">
        <v>6.56</v>
      </c>
      <c r="AG16" s="7" t="s">
        <v>150</v>
      </c>
      <c r="AH16" s="7">
        <v>3.34</v>
      </c>
      <c r="AI16" s="10">
        <v>2.33</v>
      </c>
      <c r="AJ16" s="10">
        <v>1.76</v>
      </c>
      <c r="AK16" s="7" t="s">
        <v>151</v>
      </c>
      <c r="AL16" s="7">
        <v>140</v>
      </c>
      <c r="AM16" s="10">
        <v>5.3</v>
      </c>
      <c r="AN16" s="10">
        <v>8.0299999999999994</v>
      </c>
    </row>
    <row r="17" spans="1:40" x14ac:dyDescent="0.3">
      <c r="A17" s="8">
        <v>45524</v>
      </c>
      <c r="B17" s="7" t="s">
        <v>19</v>
      </c>
      <c r="C17" s="7" t="str">
        <f t="shared" si="0"/>
        <v>45524B</v>
      </c>
      <c r="D17" s="7" t="s">
        <v>120</v>
      </c>
      <c r="E17" s="7">
        <v>14.23</v>
      </c>
      <c r="F17" s="9">
        <v>25.37</v>
      </c>
      <c r="G17" s="7" t="s">
        <v>152</v>
      </c>
      <c r="H17" s="7">
        <v>0</v>
      </c>
      <c r="I17" s="9">
        <v>100</v>
      </c>
      <c r="J17" s="7" t="s">
        <v>153</v>
      </c>
      <c r="K17" s="7">
        <v>73.459999999999994</v>
      </c>
      <c r="L17" s="10">
        <v>22.94</v>
      </c>
      <c r="M17" s="7" t="s">
        <v>154</v>
      </c>
      <c r="N17" s="7">
        <v>8.07</v>
      </c>
      <c r="O17" s="10">
        <v>1.1000000000000001</v>
      </c>
      <c r="P17" s="10">
        <v>0.98</v>
      </c>
      <c r="Q17" s="7" t="s">
        <v>155</v>
      </c>
      <c r="R17" s="7">
        <v>38.5</v>
      </c>
      <c r="S17" s="10">
        <v>0.51</v>
      </c>
      <c r="T17" s="10">
        <v>0.72</v>
      </c>
      <c r="U17" s="7" t="s">
        <v>156</v>
      </c>
      <c r="V17" s="7">
        <v>26.9</v>
      </c>
      <c r="W17" s="10">
        <v>2.08</v>
      </c>
      <c r="X17" s="10">
        <v>2.63</v>
      </c>
      <c r="Y17" s="7" t="s">
        <v>157</v>
      </c>
      <c r="Z17" s="7">
        <v>56.44</v>
      </c>
      <c r="AA17" s="10">
        <v>2.89</v>
      </c>
      <c r="AB17" s="10">
        <v>2.48</v>
      </c>
      <c r="AC17" s="7" t="s">
        <v>141</v>
      </c>
      <c r="AD17" s="7">
        <v>4.0599999999999996</v>
      </c>
      <c r="AE17" s="10">
        <v>0.49</v>
      </c>
      <c r="AF17" s="10">
        <v>6.56</v>
      </c>
      <c r="AG17" s="7" t="s">
        <v>158</v>
      </c>
      <c r="AH17" s="7">
        <v>3.28</v>
      </c>
      <c r="AI17" s="10">
        <v>4.37</v>
      </c>
      <c r="AJ17" s="10">
        <v>3.52</v>
      </c>
      <c r="AK17" s="7" t="s">
        <v>159</v>
      </c>
      <c r="AL17" s="7">
        <v>154</v>
      </c>
      <c r="AM17" s="10">
        <v>4.6900000000000004</v>
      </c>
      <c r="AN17" s="10">
        <v>1.1599999999999999</v>
      </c>
    </row>
    <row r="18" spans="1:40" ht="18" x14ac:dyDescent="0.35">
      <c r="A18" s="8">
        <v>45524</v>
      </c>
      <c r="B18" s="7" t="s">
        <v>20</v>
      </c>
      <c r="C18" s="7" t="str">
        <f t="shared" si="0"/>
        <v>45524C</v>
      </c>
      <c r="D18" s="7" t="s">
        <v>160</v>
      </c>
      <c r="E18" s="7">
        <v>13.98</v>
      </c>
      <c r="F18" s="9">
        <v>27.93</v>
      </c>
      <c r="G18" s="7" t="s">
        <v>70</v>
      </c>
      <c r="H18" s="7">
        <v>0</v>
      </c>
      <c r="I18" s="7"/>
      <c r="J18" s="7" t="s">
        <v>161</v>
      </c>
      <c r="K18" s="7">
        <v>91.96</v>
      </c>
      <c r="L18" s="10">
        <v>3.33</v>
      </c>
      <c r="M18" s="7" t="s">
        <v>162</v>
      </c>
      <c r="N18" s="7">
        <v>8.11</v>
      </c>
      <c r="O18" s="10">
        <v>1.75</v>
      </c>
      <c r="P18" s="10">
        <v>0.49</v>
      </c>
      <c r="Q18" s="7" t="s">
        <v>138</v>
      </c>
      <c r="R18" s="7">
        <v>37.71</v>
      </c>
      <c r="S18" s="10">
        <v>1.74</v>
      </c>
      <c r="T18" s="10">
        <v>2.75</v>
      </c>
      <c r="U18" s="7" t="s">
        <v>101</v>
      </c>
      <c r="V18" s="7">
        <v>26.22</v>
      </c>
      <c r="W18" s="10">
        <v>0.71</v>
      </c>
      <c r="X18" s="10">
        <v>0.03</v>
      </c>
      <c r="Y18" s="7" t="s">
        <v>163</v>
      </c>
      <c r="Z18" s="7">
        <v>56.43</v>
      </c>
      <c r="AA18" s="10">
        <v>0.26</v>
      </c>
      <c r="AB18" s="10">
        <v>2.46</v>
      </c>
      <c r="AC18" s="7" t="s">
        <v>164</v>
      </c>
      <c r="AD18" s="7">
        <v>3.65</v>
      </c>
      <c r="AE18" s="10">
        <v>6.64</v>
      </c>
      <c r="AF18" s="10">
        <v>4.1900000000000004</v>
      </c>
      <c r="AG18" s="7" t="s">
        <v>165</v>
      </c>
      <c r="AH18" s="7">
        <v>3.25</v>
      </c>
      <c r="AI18" s="10">
        <v>1.51</v>
      </c>
      <c r="AJ18" s="10">
        <v>4.41</v>
      </c>
      <c r="AK18" s="7" t="s">
        <v>166</v>
      </c>
      <c r="AL18" s="7">
        <v>147.57</v>
      </c>
      <c r="AM18" s="10">
        <v>1.22</v>
      </c>
      <c r="AN18" s="10">
        <v>3.06</v>
      </c>
    </row>
    <row r="19" spans="1:40" x14ac:dyDescent="0.3">
      <c r="A19" s="8">
        <v>45525</v>
      </c>
      <c r="B19" s="7" t="s">
        <v>21</v>
      </c>
      <c r="C19" s="7" t="str">
        <f t="shared" si="0"/>
        <v>45525A</v>
      </c>
      <c r="D19" s="7" t="s">
        <v>167</v>
      </c>
      <c r="E19" s="7">
        <v>21.47</v>
      </c>
      <c r="F19" s="9">
        <v>44.09</v>
      </c>
      <c r="G19" s="7" t="s">
        <v>70</v>
      </c>
      <c r="H19" s="7">
        <v>0</v>
      </c>
      <c r="I19" s="7"/>
      <c r="J19" s="7" t="s">
        <v>168</v>
      </c>
      <c r="K19" s="7">
        <v>114.27</v>
      </c>
      <c r="L19" s="9">
        <v>65.099999999999994</v>
      </c>
      <c r="M19" s="7" t="s">
        <v>169</v>
      </c>
      <c r="N19" s="7">
        <v>7.9</v>
      </c>
      <c r="O19" s="10">
        <v>0.62</v>
      </c>
      <c r="P19" s="9">
        <v>3.06</v>
      </c>
      <c r="Q19" s="7" t="s">
        <v>170</v>
      </c>
      <c r="R19" s="7">
        <v>37.67</v>
      </c>
      <c r="S19" s="10">
        <v>1.79</v>
      </c>
      <c r="T19" s="10">
        <v>2.86</v>
      </c>
      <c r="U19" s="7" t="s">
        <v>171</v>
      </c>
      <c r="V19" s="7">
        <v>25.9</v>
      </c>
      <c r="W19" s="10">
        <v>2.63</v>
      </c>
      <c r="X19" s="10">
        <v>1.18</v>
      </c>
      <c r="Y19" s="7" t="s">
        <v>172</v>
      </c>
      <c r="Z19" s="11">
        <v>55.79</v>
      </c>
      <c r="AA19" s="10">
        <v>0.83</v>
      </c>
      <c r="AB19" s="10">
        <v>1.3</v>
      </c>
      <c r="AC19" s="7" t="s">
        <v>76</v>
      </c>
      <c r="AD19" s="7">
        <v>3.65</v>
      </c>
      <c r="AE19" s="10">
        <v>2.14</v>
      </c>
      <c r="AF19" s="10">
        <v>4.1900000000000004</v>
      </c>
      <c r="AG19" s="7" t="s">
        <v>173</v>
      </c>
      <c r="AH19" s="7">
        <v>3.32</v>
      </c>
      <c r="AI19" s="10">
        <v>0.59</v>
      </c>
      <c r="AJ19" s="10">
        <v>2.35</v>
      </c>
      <c r="AK19" s="7" t="s">
        <v>174</v>
      </c>
      <c r="AL19" s="7">
        <v>142.33000000000001</v>
      </c>
      <c r="AM19" s="10">
        <v>4.4000000000000004</v>
      </c>
      <c r="AN19" s="10">
        <v>6.5</v>
      </c>
    </row>
    <row r="20" spans="1:40" x14ac:dyDescent="0.3">
      <c r="A20" s="8">
        <v>45525</v>
      </c>
      <c r="B20" s="7" t="s">
        <v>19</v>
      </c>
      <c r="C20" s="7" t="str">
        <f t="shared" si="0"/>
        <v>45525B</v>
      </c>
      <c r="D20" s="7" t="s">
        <v>175</v>
      </c>
      <c r="E20" s="7">
        <v>20.350000000000001</v>
      </c>
      <c r="F20" s="10">
        <v>0.63</v>
      </c>
      <c r="G20" s="7" t="s">
        <v>70</v>
      </c>
      <c r="H20" s="7">
        <v>0</v>
      </c>
      <c r="I20" s="7"/>
      <c r="J20" s="7" t="s">
        <v>176</v>
      </c>
      <c r="K20" s="7">
        <v>63.12</v>
      </c>
      <c r="L20" s="9">
        <v>27.62</v>
      </c>
      <c r="M20" s="7" t="s">
        <v>177</v>
      </c>
      <c r="N20" s="7">
        <v>7.96</v>
      </c>
      <c r="O20" s="10">
        <v>2.33</v>
      </c>
      <c r="P20" s="10">
        <v>2.33</v>
      </c>
      <c r="Q20" s="7" t="s">
        <v>178</v>
      </c>
      <c r="R20" s="7">
        <v>38</v>
      </c>
      <c r="S20" s="10">
        <v>2.56</v>
      </c>
      <c r="T20" s="10">
        <v>2.0099999999999998</v>
      </c>
      <c r="U20" s="7" t="s">
        <v>179</v>
      </c>
      <c r="V20" s="7">
        <v>26.9</v>
      </c>
      <c r="W20" s="10">
        <v>1.28</v>
      </c>
      <c r="X20" s="10">
        <v>2.63</v>
      </c>
      <c r="Y20" s="7" t="s">
        <v>180</v>
      </c>
      <c r="Z20" s="7">
        <v>55.09</v>
      </c>
      <c r="AA20" s="10">
        <v>1.1399999999999999</v>
      </c>
      <c r="AB20" s="10">
        <v>0.03</v>
      </c>
      <c r="AC20" s="7" t="s">
        <v>76</v>
      </c>
      <c r="AD20" s="7">
        <v>3.65</v>
      </c>
      <c r="AE20" s="10">
        <v>2.14</v>
      </c>
      <c r="AF20" s="10">
        <v>4.1900000000000004</v>
      </c>
      <c r="AG20" s="7" t="s">
        <v>181</v>
      </c>
      <c r="AH20" s="7">
        <v>3.41</v>
      </c>
      <c r="AI20" s="10">
        <v>0.88</v>
      </c>
      <c r="AJ20" s="10">
        <v>0.28999999999999998</v>
      </c>
      <c r="AK20" s="7" t="s">
        <v>182</v>
      </c>
      <c r="AL20" s="7">
        <v>139</v>
      </c>
      <c r="AM20" s="10">
        <v>7.35</v>
      </c>
      <c r="AN20" s="10">
        <v>8.69</v>
      </c>
    </row>
    <row r="21" spans="1:40" x14ac:dyDescent="0.3">
      <c r="A21" s="8">
        <v>45525</v>
      </c>
      <c r="B21" s="7" t="s">
        <v>20</v>
      </c>
      <c r="C21" s="7" t="str">
        <f t="shared" si="0"/>
        <v>45525C</v>
      </c>
      <c r="D21" s="7" t="s">
        <v>183</v>
      </c>
      <c r="E21" s="7">
        <v>16.21</v>
      </c>
      <c r="F21" s="9">
        <v>43.32</v>
      </c>
      <c r="G21" s="7" t="s">
        <v>70</v>
      </c>
      <c r="H21" s="7">
        <v>0</v>
      </c>
      <c r="I21" s="7"/>
      <c r="J21" s="7" t="s">
        <v>184</v>
      </c>
      <c r="K21" s="7">
        <v>73.64</v>
      </c>
      <c r="L21" s="10">
        <v>7.91</v>
      </c>
      <c r="M21" s="7" t="s">
        <v>185</v>
      </c>
      <c r="N21" s="7">
        <v>8.3000000000000007</v>
      </c>
      <c r="O21" s="10">
        <v>2.59</v>
      </c>
      <c r="P21" s="10">
        <v>1.84</v>
      </c>
      <c r="Q21" s="7" t="s">
        <v>186</v>
      </c>
      <c r="R21" s="7">
        <v>38.5</v>
      </c>
      <c r="S21" s="10">
        <v>0.77</v>
      </c>
      <c r="T21" s="10">
        <v>0.72</v>
      </c>
      <c r="U21" s="7" t="s">
        <v>187</v>
      </c>
      <c r="V21" s="7">
        <v>26.5</v>
      </c>
      <c r="W21" s="10">
        <v>0.63</v>
      </c>
      <c r="X21" s="10">
        <v>1.1000000000000001</v>
      </c>
      <c r="Y21" s="7" t="s">
        <v>188</v>
      </c>
      <c r="Z21" s="7">
        <v>55.08</v>
      </c>
      <c r="AA21" s="10">
        <v>0.39</v>
      </c>
      <c r="AB21" s="10">
        <v>0.01</v>
      </c>
      <c r="AC21" s="7" t="s">
        <v>125</v>
      </c>
      <c r="AD21" s="7">
        <v>3.65</v>
      </c>
      <c r="AE21" s="10">
        <v>3.18</v>
      </c>
      <c r="AF21" s="10">
        <v>4.1900000000000004</v>
      </c>
      <c r="AG21" s="7" t="s">
        <v>77</v>
      </c>
      <c r="AH21" s="7">
        <v>3.43</v>
      </c>
      <c r="AI21" s="10">
        <v>0.88</v>
      </c>
      <c r="AJ21" s="10">
        <v>0.88</v>
      </c>
      <c r="AK21" s="7" t="s">
        <v>189</v>
      </c>
      <c r="AL21" s="7">
        <v>147.5</v>
      </c>
      <c r="AM21" s="10">
        <v>0.04</v>
      </c>
      <c r="AN21" s="10">
        <v>3.1</v>
      </c>
    </row>
    <row r="22" spans="1:40" x14ac:dyDescent="0.3">
      <c r="A22" s="8">
        <v>45526</v>
      </c>
      <c r="B22" s="7" t="s">
        <v>21</v>
      </c>
      <c r="C22" s="7" t="str">
        <f t="shared" si="0"/>
        <v>45526A</v>
      </c>
      <c r="D22" s="7" t="s">
        <v>69</v>
      </c>
      <c r="E22" s="7">
        <v>21.21</v>
      </c>
      <c r="F22" s="9">
        <v>87.03</v>
      </c>
      <c r="G22" s="7" t="s">
        <v>70</v>
      </c>
      <c r="H22" s="7">
        <v>0</v>
      </c>
      <c r="I22" s="7"/>
      <c r="J22" s="7" t="s">
        <v>190</v>
      </c>
      <c r="K22" s="7">
        <v>79.739999999999995</v>
      </c>
      <c r="L22" s="10">
        <v>13.2</v>
      </c>
      <c r="M22" s="7" t="s">
        <v>191</v>
      </c>
      <c r="N22" s="7">
        <v>7.85</v>
      </c>
      <c r="O22" s="9">
        <v>4.1500000000000004</v>
      </c>
      <c r="P22" s="9">
        <v>3.68</v>
      </c>
      <c r="Q22" s="7" t="s">
        <v>192</v>
      </c>
      <c r="R22" s="7">
        <v>39.33</v>
      </c>
      <c r="S22" s="10">
        <v>1.49</v>
      </c>
      <c r="T22" s="10">
        <v>1.41</v>
      </c>
      <c r="U22" s="7" t="s">
        <v>193</v>
      </c>
      <c r="V22" s="7">
        <v>25</v>
      </c>
      <c r="W22" s="9">
        <v>5.51</v>
      </c>
      <c r="X22" s="10">
        <v>4.6100000000000003</v>
      </c>
      <c r="Y22" s="7" t="s">
        <v>194</v>
      </c>
      <c r="Z22" s="7">
        <v>55.08</v>
      </c>
      <c r="AA22" s="10">
        <v>0.25</v>
      </c>
      <c r="AB22" s="10">
        <v>0.01</v>
      </c>
      <c r="AC22" s="7" t="s">
        <v>195</v>
      </c>
      <c r="AD22" s="7">
        <v>3.65</v>
      </c>
      <c r="AE22" s="10">
        <v>2.92</v>
      </c>
      <c r="AF22" s="10">
        <v>4.1900000000000004</v>
      </c>
      <c r="AG22" s="7" t="s">
        <v>196</v>
      </c>
      <c r="AH22" s="7">
        <v>3.37</v>
      </c>
      <c r="AI22" s="10">
        <v>1.17</v>
      </c>
      <c r="AJ22" s="10">
        <v>0.88</v>
      </c>
      <c r="AK22" s="7" t="s">
        <v>197</v>
      </c>
      <c r="AL22" s="7">
        <v>147.33000000000001</v>
      </c>
      <c r="AM22" s="10">
        <v>1.1200000000000001</v>
      </c>
      <c r="AN22" s="10">
        <v>3.21</v>
      </c>
    </row>
    <row r="23" spans="1:40" ht="18" x14ac:dyDescent="0.35">
      <c r="A23" s="8">
        <v>45526</v>
      </c>
      <c r="B23" s="7" t="s">
        <v>19</v>
      </c>
      <c r="C23" s="7" t="str">
        <f t="shared" si="0"/>
        <v>45526B</v>
      </c>
      <c r="D23" s="7" t="s">
        <v>198</v>
      </c>
      <c r="E23" s="7">
        <v>19.45</v>
      </c>
      <c r="F23" s="9">
        <v>30.71</v>
      </c>
      <c r="G23" s="7" t="s">
        <v>70</v>
      </c>
      <c r="H23" s="7">
        <v>0</v>
      </c>
      <c r="I23" s="7"/>
      <c r="J23" s="7" t="s">
        <v>199</v>
      </c>
      <c r="K23" s="7">
        <v>67.91</v>
      </c>
      <c r="L23" s="10">
        <v>1.76</v>
      </c>
      <c r="M23" s="7" t="s">
        <v>200</v>
      </c>
      <c r="N23" s="7">
        <v>7.98</v>
      </c>
      <c r="O23" s="10">
        <v>0.74</v>
      </c>
      <c r="P23" s="10">
        <v>2.08</v>
      </c>
      <c r="Q23" s="7" t="s">
        <v>201</v>
      </c>
      <c r="R23" s="12">
        <v>36</v>
      </c>
      <c r="S23" s="9">
        <v>7.45</v>
      </c>
      <c r="T23" s="9">
        <v>7.16</v>
      </c>
      <c r="U23" s="7" t="s">
        <v>202</v>
      </c>
      <c r="V23" s="7">
        <v>27.9</v>
      </c>
      <c r="W23" s="9">
        <v>5.48</v>
      </c>
      <c r="X23" s="9">
        <v>6.44</v>
      </c>
      <c r="Y23" s="7" t="s">
        <v>116</v>
      </c>
      <c r="Z23" s="7">
        <v>55.88</v>
      </c>
      <c r="AA23" s="10">
        <v>1.17</v>
      </c>
      <c r="AB23" s="10">
        <v>1.47</v>
      </c>
      <c r="AC23" s="7" t="s">
        <v>203</v>
      </c>
      <c r="AD23" s="11">
        <v>3.84</v>
      </c>
      <c r="AE23" s="10">
        <v>1.05</v>
      </c>
      <c r="AF23" s="10">
        <v>0.78</v>
      </c>
      <c r="AG23" s="7" t="s">
        <v>196</v>
      </c>
      <c r="AH23" s="7">
        <v>3.42</v>
      </c>
      <c r="AI23" s="10">
        <v>0.28999999999999998</v>
      </c>
      <c r="AJ23" s="10">
        <v>0.57999999999999996</v>
      </c>
      <c r="AK23" s="7" t="s">
        <v>204</v>
      </c>
      <c r="AL23" s="7">
        <v>142</v>
      </c>
      <c r="AM23" s="10">
        <v>4.92</v>
      </c>
      <c r="AN23" s="10">
        <v>6.72</v>
      </c>
    </row>
    <row r="24" spans="1:40" x14ac:dyDescent="0.3">
      <c r="A24" s="8">
        <v>45526</v>
      </c>
      <c r="B24" s="7" t="s">
        <v>20</v>
      </c>
      <c r="C24" s="7" t="str">
        <f t="shared" si="0"/>
        <v>45526C</v>
      </c>
      <c r="D24" s="7" t="s">
        <v>205</v>
      </c>
      <c r="E24" s="7">
        <v>16.95</v>
      </c>
      <c r="F24" s="9">
        <v>49.6</v>
      </c>
      <c r="G24" s="7" t="s">
        <v>70</v>
      </c>
      <c r="H24" s="7">
        <v>0</v>
      </c>
      <c r="I24" s="7"/>
      <c r="J24" s="7" t="s">
        <v>206</v>
      </c>
      <c r="K24" s="7">
        <v>86.76</v>
      </c>
      <c r="L24" s="10">
        <v>2.16</v>
      </c>
      <c r="M24" s="7" t="s">
        <v>207</v>
      </c>
      <c r="N24" s="7">
        <v>8.5500000000000007</v>
      </c>
      <c r="O24" s="9">
        <v>4.6500000000000004</v>
      </c>
      <c r="P24" s="9">
        <v>4.9000000000000004</v>
      </c>
      <c r="Q24" s="7" t="s">
        <v>123</v>
      </c>
      <c r="R24" s="7">
        <v>38.67</v>
      </c>
      <c r="S24" s="10">
        <v>0.25</v>
      </c>
      <c r="T24" s="10">
        <v>0.28000000000000003</v>
      </c>
      <c r="U24" s="7" t="s">
        <v>109</v>
      </c>
      <c r="V24" s="7">
        <v>25.61</v>
      </c>
      <c r="W24" s="10">
        <v>3.46</v>
      </c>
      <c r="X24" s="10">
        <v>2.2799999999999998</v>
      </c>
      <c r="Y24" s="7" t="s">
        <v>208</v>
      </c>
      <c r="Z24" s="7">
        <v>55.24</v>
      </c>
      <c r="AA24" s="10">
        <v>0.61</v>
      </c>
      <c r="AB24" s="10">
        <v>0.3</v>
      </c>
      <c r="AC24" s="7" t="s">
        <v>209</v>
      </c>
      <c r="AD24" s="7">
        <v>3.84</v>
      </c>
      <c r="AE24" s="10">
        <v>2.29</v>
      </c>
      <c r="AF24" s="10">
        <v>0.78</v>
      </c>
      <c r="AG24" s="7" t="s">
        <v>196</v>
      </c>
      <c r="AH24" s="12">
        <v>3.59</v>
      </c>
      <c r="AI24" s="10">
        <v>5.27</v>
      </c>
      <c r="AJ24" s="10">
        <v>5.58</v>
      </c>
      <c r="AK24" s="7" t="s">
        <v>210</v>
      </c>
      <c r="AL24" s="7">
        <v>147.33000000000001</v>
      </c>
      <c r="AM24" s="10">
        <v>0.62</v>
      </c>
      <c r="AN24" s="10">
        <v>3.21</v>
      </c>
    </row>
    <row r="25" spans="1:40" x14ac:dyDescent="0.3">
      <c r="A25" s="8">
        <v>45530</v>
      </c>
      <c r="B25" s="7" t="s">
        <v>21</v>
      </c>
      <c r="C25" s="7" t="str">
        <f t="shared" si="0"/>
        <v>45530A</v>
      </c>
      <c r="D25" s="7" t="s">
        <v>69</v>
      </c>
      <c r="E25" s="7">
        <v>16.440000000000001</v>
      </c>
      <c r="F25" s="9">
        <v>44.97</v>
      </c>
      <c r="G25" s="7" t="s">
        <v>211</v>
      </c>
      <c r="H25" s="7">
        <v>17.75</v>
      </c>
      <c r="I25" s="9">
        <v>69.040000000000006</v>
      </c>
      <c r="J25" s="7" t="s">
        <v>212</v>
      </c>
      <c r="K25" s="7">
        <v>73.59</v>
      </c>
      <c r="L25" s="10">
        <v>13.1</v>
      </c>
      <c r="M25" s="7" t="s">
        <v>213</v>
      </c>
      <c r="N25" s="11">
        <v>8.41</v>
      </c>
      <c r="O25" s="10">
        <v>0</v>
      </c>
      <c r="P25" s="9">
        <v>3.19</v>
      </c>
      <c r="Q25" s="7" t="s">
        <v>214</v>
      </c>
      <c r="R25" s="11">
        <v>38.4</v>
      </c>
      <c r="S25" s="10">
        <v>0.64</v>
      </c>
      <c r="T25" s="10">
        <v>0.97</v>
      </c>
      <c r="U25" s="7" t="s">
        <v>215</v>
      </c>
      <c r="V25" s="11">
        <v>26.08</v>
      </c>
      <c r="W25" s="10">
        <v>0.34</v>
      </c>
      <c r="X25" s="10">
        <v>0.49</v>
      </c>
      <c r="Y25" s="7" t="s">
        <v>216</v>
      </c>
      <c r="Z25" s="11">
        <v>56.12</v>
      </c>
      <c r="AA25" s="10">
        <v>1.4</v>
      </c>
      <c r="AB25" s="10">
        <v>1.9</v>
      </c>
      <c r="AC25" s="7" t="s">
        <v>217</v>
      </c>
      <c r="AD25" s="11">
        <v>3.75</v>
      </c>
      <c r="AE25" s="10">
        <v>6.01</v>
      </c>
      <c r="AF25" s="10">
        <v>1.57</v>
      </c>
      <c r="AG25" s="7" t="s">
        <v>218</v>
      </c>
      <c r="AH25" s="13">
        <v>3.55</v>
      </c>
      <c r="AI25" s="10">
        <v>1.71</v>
      </c>
      <c r="AJ25" s="10">
        <v>4.41</v>
      </c>
      <c r="AK25" s="7" t="s">
        <v>219</v>
      </c>
      <c r="AL25" s="11">
        <v>134</v>
      </c>
      <c r="AM25" s="10">
        <v>8.48</v>
      </c>
      <c r="AN25" s="9">
        <v>11.97</v>
      </c>
    </row>
    <row r="26" spans="1:40" ht="18" x14ac:dyDescent="0.35">
      <c r="A26" s="8">
        <v>45530</v>
      </c>
      <c r="B26" s="7" t="s">
        <v>19</v>
      </c>
      <c r="C26" s="7" t="str">
        <f t="shared" si="0"/>
        <v>45530B</v>
      </c>
      <c r="D26" s="7" t="s">
        <v>120</v>
      </c>
      <c r="E26" s="7">
        <v>11.12</v>
      </c>
      <c r="F26" s="10">
        <v>2.02</v>
      </c>
      <c r="G26" s="7" t="s">
        <v>220</v>
      </c>
      <c r="H26" s="7">
        <v>9.81</v>
      </c>
      <c r="I26" s="10">
        <v>4.1399999999999997</v>
      </c>
      <c r="J26" s="7" t="s">
        <v>221</v>
      </c>
      <c r="K26" s="7">
        <v>80.28</v>
      </c>
      <c r="L26" s="10">
        <v>9.93</v>
      </c>
      <c r="M26" s="7" t="s">
        <v>222</v>
      </c>
      <c r="N26" s="7">
        <v>8.86</v>
      </c>
      <c r="O26" s="9">
        <v>3.86</v>
      </c>
      <c r="P26" s="9">
        <v>8.7100000000000009</v>
      </c>
      <c r="Q26" s="7" t="s">
        <v>223</v>
      </c>
      <c r="R26" s="7">
        <v>41</v>
      </c>
      <c r="S26" s="9">
        <v>5.37</v>
      </c>
      <c r="T26" s="9">
        <v>5.72</v>
      </c>
      <c r="U26" s="7" t="s">
        <v>224</v>
      </c>
      <c r="V26" s="7">
        <v>27.15</v>
      </c>
      <c r="W26" s="10">
        <v>2.41</v>
      </c>
      <c r="X26" s="10">
        <v>3.58</v>
      </c>
      <c r="Y26" s="7" t="s">
        <v>225</v>
      </c>
      <c r="Z26" s="7">
        <v>56.47</v>
      </c>
      <c r="AA26" s="10">
        <v>0.49</v>
      </c>
      <c r="AB26" s="10">
        <v>2.54</v>
      </c>
      <c r="AC26" s="7" t="s">
        <v>209</v>
      </c>
      <c r="AD26" s="7">
        <v>4.29</v>
      </c>
      <c r="AE26" s="9">
        <v>9.16</v>
      </c>
      <c r="AF26" s="9">
        <v>12.59</v>
      </c>
      <c r="AG26" s="12" t="s">
        <v>226</v>
      </c>
      <c r="AH26" s="12">
        <v>3.68</v>
      </c>
      <c r="AI26" s="10">
        <v>4.54</v>
      </c>
      <c r="AJ26" s="9">
        <v>8.23</v>
      </c>
      <c r="AK26" s="7" t="s">
        <v>227</v>
      </c>
      <c r="AL26" s="7">
        <v>145.5</v>
      </c>
      <c r="AM26" s="10">
        <v>1.94</v>
      </c>
      <c r="AN26" s="10">
        <v>4.42</v>
      </c>
    </row>
    <row r="27" spans="1:40" ht="18" x14ac:dyDescent="0.35">
      <c r="A27" s="8">
        <v>45530</v>
      </c>
      <c r="B27" s="7" t="s">
        <v>20</v>
      </c>
      <c r="C27" s="7" t="str">
        <f t="shared" si="0"/>
        <v>45530C</v>
      </c>
      <c r="D27" s="7" t="s">
        <v>228</v>
      </c>
      <c r="E27" s="7">
        <v>9.32</v>
      </c>
      <c r="F27" s="9">
        <v>18.38</v>
      </c>
      <c r="G27" s="7" t="s">
        <v>229</v>
      </c>
      <c r="H27" s="7">
        <v>11.4</v>
      </c>
      <c r="I27" s="9">
        <v>36.729999999999997</v>
      </c>
      <c r="J27" s="7" t="s">
        <v>230</v>
      </c>
      <c r="K27" s="7">
        <v>87.47</v>
      </c>
      <c r="L27" s="10">
        <v>21.53</v>
      </c>
      <c r="M27" s="7" t="s">
        <v>231</v>
      </c>
      <c r="N27" s="7">
        <v>8.5</v>
      </c>
      <c r="O27" s="10">
        <v>2.96</v>
      </c>
      <c r="P27" s="9">
        <v>4.29</v>
      </c>
      <c r="Q27" s="7" t="s">
        <v>232</v>
      </c>
      <c r="R27" s="7">
        <v>38.33</v>
      </c>
      <c r="S27" s="10">
        <v>0.02</v>
      </c>
      <c r="T27" s="10">
        <v>1.1599999999999999</v>
      </c>
      <c r="U27" s="7" t="s">
        <v>233</v>
      </c>
      <c r="V27" s="7">
        <v>25.75</v>
      </c>
      <c r="W27" s="10">
        <v>2.12</v>
      </c>
      <c r="X27" s="10">
        <v>1.75</v>
      </c>
      <c r="Y27" s="7" t="s">
        <v>234</v>
      </c>
      <c r="Z27" s="7">
        <v>56.46</v>
      </c>
      <c r="AA27" s="10">
        <v>7.0000000000000007E-2</v>
      </c>
      <c r="AB27" s="10">
        <v>2.52</v>
      </c>
      <c r="AC27" s="7" t="s">
        <v>235</v>
      </c>
      <c r="AD27" s="7">
        <v>4.29</v>
      </c>
      <c r="AE27" s="10">
        <v>0.46</v>
      </c>
      <c r="AF27" s="9">
        <v>12.59</v>
      </c>
      <c r="AG27" s="12" t="s">
        <v>236</v>
      </c>
      <c r="AH27" s="12">
        <v>3.58</v>
      </c>
      <c r="AI27" s="10">
        <v>1.99</v>
      </c>
      <c r="AJ27" s="10">
        <v>5.29</v>
      </c>
      <c r="AK27" s="7" t="s">
        <v>237</v>
      </c>
      <c r="AL27" s="7">
        <v>144.83000000000001</v>
      </c>
      <c r="AM27" s="10">
        <v>1.41</v>
      </c>
      <c r="AN27" s="10">
        <v>4.8600000000000003</v>
      </c>
    </row>
    <row r="28" spans="1:40" x14ac:dyDescent="0.3">
      <c r="A28" s="8">
        <v>45531</v>
      </c>
      <c r="B28" s="7" t="s">
        <v>21</v>
      </c>
      <c r="C28" s="7" t="str">
        <f t="shared" si="0"/>
        <v>45531A</v>
      </c>
      <c r="D28" s="7" t="s">
        <v>143</v>
      </c>
      <c r="E28" s="7">
        <v>15.69</v>
      </c>
      <c r="F28" s="9">
        <v>37.99</v>
      </c>
      <c r="G28" s="7" t="s">
        <v>238</v>
      </c>
      <c r="H28" s="7">
        <v>17.27</v>
      </c>
      <c r="I28" s="10">
        <v>3.73</v>
      </c>
      <c r="J28" s="7" t="s">
        <v>239</v>
      </c>
      <c r="K28" s="7">
        <v>107.54</v>
      </c>
      <c r="L28" s="10">
        <v>21.78</v>
      </c>
      <c r="M28" s="7" t="s">
        <v>240</v>
      </c>
      <c r="N28" s="11">
        <v>8.4</v>
      </c>
      <c r="O28" s="10">
        <v>0.47</v>
      </c>
      <c r="P28" s="9">
        <v>3.06</v>
      </c>
      <c r="Q28" s="7" t="s">
        <v>241</v>
      </c>
      <c r="R28" s="12">
        <v>36</v>
      </c>
      <c r="S28" s="9">
        <v>6.39</v>
      </c>
      <c r="T28" s="9">
        <v>7.16</v>
      </c>
      <c r="U28" s="7" t="s">
        <v>242</v>
      </c>
      <c r="V28" s="7">
        <v>25.46</v>
      </c>
      <c r="W28" s="10">
        <v>2.37</v>
      </c>
      <c r="X28" s="10">
        <v>2.86</v>
      </c>
      <c r="Y28" s="7" t="s">
        <v>234</v>
      </c>
      <c r="Z28" s="11">
        <v>57.09</v>
      </c>
      <c r="AA28" s="10">
        <v>1.18</v>
      </c>
      <c r="AB28" s="10">
        <v>3.66</v>
      </c>
      <c r="AC28" s="7" t="s">
        <v>243</v>
      </c>
      <c r="AD28" s="11">
        <v>4.29</v>
      </c>
      <c r="AE28" s="10">
        <v>0.7</v>
      </c>
      <c r="AF28" s="9">
        <v>12.59</v>
      </c>
      <c r="AG28" s="7" t="s">
        <v>244</v>
      </c>
      <c r="AH28" s="7">
        <v>3.2</v>
      </c>
      <c r="AI28" s="9">
        <v>7.78</v>
      </c>
      <c r="AJ28" s="10">
        <v>5.88</v>
      </c>
      <c r="AK28" s="7" t="s">
        <v>245</v>
      </c>
      <c r="AL28" s="12">
        <v>121</v>
      </c>
      <c r="AM28" s="9">
        <v>16.22</v>
      </c>
      <c r="AN28" s="9">
        <v>20.51</v>
      </c>
    </row>
    <row r="29" spans="1:40" x14ac:dyDescent="0.3">
      <c r="A29" s="8">
        <v>45531</v>
      </c>
      <c r="B29" s="7" t="s">
        <v>19</v>
      </c>
      <c r="C29" s="7" t="str">
        <f t="shared" si="0"/>
        <v>45531B</v>
      </c>
      <c r="D29" s="7" t="s">
        <v>246</v>
      </c>
      <c r="E29" s="7">
        <v>14.72</v>
      </c>
      <c r="F29" s="9">
        <v>30.03</v>
      </c>
      <c r="G29" s="7" t="s">
        <v>247</v>
      </c>
      <c r="H29" s="7">
        <v>17.649999999999999</v>
      </c>
      <c r="I29" s="9">
        <v>140.79</v>
      </c>
      <c r="J29" s="7" t="s">
        <v>248</v>
      </c>
      <c r="K29" s="7">
        <v>75.78</v>
      </c>
      <c r="L29" s="10">
        <v>0.85</v>
      </c>
      <c r="M29" s="7" t="s">
        <v>191</v>
      </c>
      <c r="N29" s="7">
        <v>8.4499999999999993</v>
      </c>
      <c r="O29" s="9">
        <v>3.17</v>
      </c>
      <c r="P29" s="9">
        <v>3.68</v>
      </c>
      <c r="Q29" s="7" t="s">
        <v>73</v>
      </c>
      <c r="R29" s="7">
        <v>37.799999999999997</v>
      </c>
      <c r="S29" s="10">
        <v>2.04</v>
      </c>
      <c r="T29" s="10">
        <v>2.52</v>
      </c>
      <c r="U29" s="7" t="s">
        <v>249</v>
      </c>
      <c r="V29" s="7">
        <v>27.46</v>
      </c>
      <c r="W29" s="10">
        <v>3.74</v>
      </c>
      <c r="X29" s="10">
        <v>4.76</v>
      </c>
      <c r="Y29" s="7" t="s">
        <v>250</v>
      </c>
      <c r="Z29" s="12">
        <v>57.78</v>
      </c>
      <c r="AA29" s="10">
        <v>1.26</v>
      </c>
      <c r="AB29" s="10">
        <v>4.92</v>
      </c>
      <c r="AC29" s="7" t="s">
        <v>243</v>
      </c>
      <c r="AD29" s="7">
        <v>4.29</v>
      </c>
      <c r="AE29" s="10">
        <v>0.7</v>
      </c>
      <c r="AF29" s="9">
        <v>12.59</v>
      </c>
      <c r="AG29" s="7" t="s">
        <v>132</v>
      </c>
      <c r="AH29" s="7">
        <v>3.38</v>
      </c>
      <c r="AI29" s="10">
        <v>2.02</v>
      </c>
      <c r="AJ29" s="10">
        <v>0.57999999999999996</v>
      </c>
      <c r="AK29" s="7" t="s">
        <v>251</v>
      </c>
      <c r="AL29" s="7">
        <v>144</v>
      </c>
      <c r="AM29" s="10">
        <v>1.24</v>
      </c>
      <c r="AN29" s="10">
        <v>5.4</v>
      </c>
    </row>
    <row r="30" spans="1:40" x14ac:dyDescent="0.3">
      <c r="A30" s="8">
        <v>45531</v>
      </c>
      <c r="B30" s="7" t="s">
        <v>20</v>
      </c>
      <c r="C30" s="7" t="str">
        <f t="shared" si="0"/>
        <v>45531C</v>
      </c>
      <c r="D30" s="7" t="s">
        <v>252</v>
      </c>
      <c r="E30" s="7">
        <v>13.62</v>
      </c>
      <c r="F30" s="9">
        <v>12.09</v>
      </c>
      <c r="G30" s="7" t="s">
        <v>70</v>
      </c>
      <c r="H30" s="7">
        <v>12.74</v>
      </c>
      <c r="I30" s="7"/>
      <c r="J30" s="7" t="s">
        <v>253</v>
      </c>
      <c r="K30" s="7">
        <v>98.94</v>
      </c>
      <c r="L30" s="10">
        <v>1.64</v>
      </c>
      <c r="M30" s="7" t="s">
        <v>177</v>
      </c>
      <c r="N30" s="7">
        <v>8.32</v>
      </c>
      <c r="O30" s="10">
        <v>2.08</v>
      </c>
      <c r="P30" s="10">
        <v>2.08</v>
      </c>
      <c r="Q30" s="7" t="s">
        <v>254</v>
      </c>
      <c r="R30" s="7">
        <v>38.43</v>
      </c>
      <c r="S30" s="10">
        <v>0.33</v>
      </c>
      <c r="T30" s="10">
        <v>0.9</v>
      </c>
      <c r="U30" s="7" t="s">
        <v>255</v>
      </c>
      <c r="V30" s="7">
        <v>26.34</v>
      </c>
      <c r="W30" s="10">
        <v>7.0000000000000007E-2</v>
      </c>
      <c r="X30" s="10">
        <v>0.49</v>
      </c>
      <c r="Y30" s="12" t="s">
        <v>256</v>
      </c>
      <c r="Z30" s="12">
        <v>57.78</v>
      </c>
      <c r="AA30" s="10">
        <v>0.53</v>
      </c>
      <c r="AB30" s="10">
        <v>4.92</v>
      </c>
      <c r="AC30" s="7" t="s">
        <v>257</v>
      </c>
      <c r="AD30" s="7">
        <v>4.29</v>
      </c>
      <c r="AE30" s="10">
        <v>3.12</v>
      </c>
      <c r="AF30" s="9">
        <v>12.59</v>
      </c>
      <c r="AG30" s="7" t="s">
        <v>258</v>
      </c>
      <c r="AH30" s="7">
        <v>3.41</v>
      </c>
      <c r="AI30" s="10">
        <v>1.18</v>
      </c>
      <c r="AJ30" s="10">
        <v>0.28999999999999998</v>
      </c>
      <c r="AK30" s="7" t="s">
        <v>259</v>
      </c>
      <c r="AL30" s="7">
        <v>144.71</v>
      </c>
      <c r="AM30" s="10">
        <v>1.06</v>
      </c>
      <c r="AN30" s="10">
        <v>4.93</v>
      </c>
    </row>
    <row r="31" spans="1:40" x14ac:dyDescent="0.3">
      <c r="A31" s="8">
        <v>45532</v>
      </c>
      <c r="B31" s="7" t="s">
        <v>21</v>
      </c>
      <c r="C31" s="7" t="str">
        <f t="shared" si="0"/>
        <v>45532A</v>
      </c>
      <c r="D31" s="7" t="s">
        <v>260</v>
      </c>
      <c r="E31" s="7">
        <v>19.82</v>
      </c>
      <c r="F31" s="9">
        <v>66.83</v>
      </c>
      <c r="G31" s="7" t="s">
        <v>70</v>
      </c>
      <c r="H31" s="7">
        <v>17.04</v>
      </c>
      <c r="I31" s="7"/>
      <c r="J31" s="7" t="s">
        <v>261</v>
      </c>
      <c r="K31" s="7">
        <v>86.19</v>
      </c>
      <c r="L31" s="10">
        <v>11.76</v>
      </c>
      <c r="M31" s="7" t="s">
        <v>262</v>
      </c>
      <c r="N31" s="7">
        <v>8.33</v>
      </c>
      <c r="O31" s="10">
        <v>2.33</v>
      </c>
      <c r="P31" s="10">
        <v>2.2000000000000002</v>
      </c>
      <c r="Q31" s="7" t="s">
        <v>263</v>
      </c>
      <c r="R31" s="7">
        <v>38</v>
      </c>
      <c r="S31" s="10">
        <v>1.17</v>
      </c>
      <c r="T31" s="10">
        <v>2.0099999999999998</v>
      </c>
      <c r="U31" s="7" t="s">
        <v>264</v>
      </c>
      <c r="V31" s="7">
        <v>25.6</v>
      </c>
      <c r="W31" s="10">
        <v>2.4700000000000002</v>
      </c>
      <c r="X31" s="10">
        <v>2.3199999999999998</v>
      </c>
      <c r="Y31" s="12" t="s">
        <v>265</v>
      </c>
      <c r="Z31" s="11">
        <v>56.04</v>
      </c>
      <c r="AA31" s="10">
        <v>2.5</v>
      </c>
      <c r="AB31" s="10">
        <v>1.76</v>
      </c>
      <c r="AC31" s="7" t="s">
        <v>266</v>
      </c>
      <c r="AD31" s="11">
        <v>4.0199999999999996</v>
      </c>
      <c r="AE31" s="10">
        <v>5.18</v>
      </c>
      <c r="AF31" s="10">
        <v>5.51</v>
      </c>
      <c r="AG31" s="7" t="s">
        <v>196</v>
      </c>
      <c r="AH31" s="7">
        <v>3.41</v>
      </c>
      <c r="AI31" s="10">
        <v>0</v>
      </c>
      <c r="AJ31" s="10">
        <v>0.28999999999999998</v>
      </c>
      <c r="AK31" s="7" t="s">
        <v>267</v>
      </c>
      <c r="AL31" s="7">
        <v>139.33000000000001</v>
      </c>
      <c r="AM31" s="10">
        <v>4.28</v>
      </c>
      <c r="AN31" s="10">
        <v>8.4700000000000006</v>
      </c>
    </row>
    <row r="32" spans="1:40" x14ac:dyDescent="0.3">
      <c r="A32" s="8">
        <v>45532</v>
      </c>
      <c r="B32" s="7" t="s">
        <v>19</v>
      </c>
      <c r="C32" s="7" t="str">
        <f t="shared" si="0"/>
        <v>45532B</v>
      </c>
      <c r="D32" s="7" t="s">
        <v>183</v>
      </c>
      <c r="E32" s="7">
        <v>20.47</v>
      </c>
      <c r="F32" s="9">
        <v>80.989999999999995</v>
      </c>
      <c r="G32" s="7" t="s">
        <v>70</v>
      </c>
      <c r="H32" s="7">
        <v>16.440000000000001</v>
      </c>
      <c r="I32" s="7"/>
      <c r="J32" s="7" t="s">
        <v>268</v>
      </c>
      <c r="K32" s="7">
        <v>92.98</v>
      </c>
      <c r="L32" s="10">
        <v>17.100000000000001</v>
      </c>
      <c r="M32" s="7" t="s">
        <v>207</v>
      </c>
      <c r="N32" s="11">
        <v>8.36</v>
      </c>
      <c r="O32" s="10">
        <v>2.3199999999999998</v>
      </c>
      <c r="P32" s="10">
        <v>2.57</v>
      </c>
      <c r="Q32" s="7" t="s">
        <v>114</v>
      </c>
      <c r="R32" s="7">
        <v>39</v>
      </c>
      <c r="S32" s="10">
        <v>0.74</v>
      </c>
      <c r="T32" s="10">
        <v>0.56000000000000005</v>
      </c>
      <c r="U32" s="7" t="s">
        <v>139</v>
      </c>
      <c r="V32" s="7">
        <v>26.6</v>
      </c>
      <c r="W32" s="10">
        <v>0.11</v>
      </c>
      <c r="X32" s="10">
        <v>1.48</v>
      </c>
      <c r="Y32" s="7" t="s">
        <v>269</v>
      </c>
      <c r="Z32" s="7">
        <v>56.03</v>
      </c>
      <c r="AA32" s="10">
        <v>0.17</v>
      </c>
      <c r="AB32" s="10">
        <v>1.74</v>
      </c>
      <c r="AC32" s="7" t="s">
        <v>270</v>
      </c>
      <c r="AD32" s="11">
        <v>4.0199999999999996</v>
      </c>
      <c r="AE32" s="10">
        <v>1.22</v>
      </c>
      <c r="AF32" s="10">
        <v>5.51</v>
      </c>
      <c r="AG32" s="7" t="s">
        <v>158</v>
      </c>
      <c r="AH32" s="12">
        <v>3.52</v>
      </c>
      <c r="AI32" s="10">
        <v>2.62</v>
      </c>
      <c r="AJ32" s="10">
        <v>3.52</v>
      </c>
      <c r="AK32" s="7" t="s">
        <v>271</v>
      </c>
      <c r="AL32" s="7">
        <v>145</v>
      </c>
      <c r="AM32" s="10">
        <v>0.65</v>
      </c>
      <c r="AN32" s="10">
        <v>4.74</v>
      </c>
    </row>
    <row r="33" spans="1:40" x14ac:dyDescent="0.3">
      <c r="A33" s="8">
        <v>45532</v>
      </c>
      <c r="B33" s="7" t="s">
        <v>20</v>
      </c>
      <c r="C33" s="7" t="str">
        <f t="shared" si="0"/>
        <v>45532C</v>
      </c>
      <c r="D33" s="7" t="s">
        <v>272</v>
      </c>
      <c r="E33" s="7">
        <v>14.23</v>
      </c>
      <c r="F33" s="9">
        <v>24.71</v>
      </c>
      <c r="G33" s="7" t="s">
        <v>273</v>
      </c>
      <c r="H33" s="7">
        <v>17.190000000000001</v>
      </c>
      <c r="I33" s="10">
        <v>6.24</v>
      </c>
      <c r="J33" s="7" t="s">
        <v>274</v>
      </c>
      <c r="K33" s="7">
        <v>63.25</v>
      </c>
      <c r="L33" s="9">
        <v>43.24</v>
      </c>
      <c r="M33" s="7" t="s">
        <v>72</v>
      </c>
      <c r="N33" s="7">
        <v>9</v>
      </c>
      <c r="O33" s="9">
        <v>8.56</v>
      </c>
      <c r="P33" s="9">
        <v>10.42</v>
      </c>
      <c r="Q33" s="7" t="s">
        <v>275</v>
      </c>
      <c r="R33" s="7">
        <v>39</v>
      </c>
      <c r="S33" s="10">
        <v>0.93</v>
      </c>
      <c r="T33" s="10">
        <v>0.56000000000000005</v>
      </c>
      <c r="U33" s="7" t="s">
        <v>276</v>
      </c>
      <c r="V33" s="7">
        <v>25.85</v>
      </c>
      <c r="W33" s="10">
        <v>1.86</v>
      </c>
      <c r="X33" s="10">
        <v>1.37</v>
      </c>
      <c r="Y33" s="7" t="s">
        <v>277</v>
      </c>
      <c r="Z33" s="11">
        <v>56.84</v>
      </c>
      <c r="AA33" s="10">
        <v>0.85</v>
      </c>
      <c r="AB33" s="10">
        <v>3.21</v>
      </c>
      <c r="AC33" s="7" t="s">
        <v>278</v>
      </c>
      <c r="AD33" s="11">
        <v>4.0199999999999996</v>
      </c>
      <c r="AE33" s="10">
        <v>1.77</v>
      </c>
      <c r="AF33" s="10">
        <v>5.51</v>
      </c>
      <c r="AG33" s="7" t="s">
        <v>77</v>
      </c>
      <c r="AH33" s="12">
        <v>3.78</v>
      </c>
      <c r="AI33" s="9">
        <v>11.17</v>
      </c>
      <c r="AJ33" s="9">
        <v>11.17</v>
      </c>
      <c r="AK33" s="7" t="s">
        <v>166</v>
      </c>
      <c r="AL33" s="7">
        <v>152</v>
      </c>
      <c r="AM33" s="10">
        <v>1.74</v>
      </c>
      <c r="AN33" s="10">
        <v>0.15</v>
      </c>
    </row>
    <row r="34" spans="1:40" x14ac:dyDescent="0.3">
      <c r="A34" s="8">
        <v>45533</v>
      </c>
      <c r="B34" s="7" t="s">
        <v>21</v>
      </c>
      <c r="C34" s="7" t="str">
        <f t="shared" si="0"/>
        <v>45533A</v>
      </c>
      <c r="D34" s="7" t="s">
        <v>272</v>
      </c>
      <c r="E34" s="7">
        <v>10.57</v>
      </c>
      <c r="F34" s="9">
        <v>7.36</v>
      </c>
      <c r="G34" s="7" t="s">
        <v>279</v>
      </c>
      <c r="H34" s="7">
        <v>16.899999999999999</v>
      </c>
      <c r="I34" s="10">
        <v>6.11</v>
      </c>
      <c r="J34" s="7" t="s">
        <v>280</v>
      </c>
      <c r="K34" s="7">
        <v>73.11</v>
      </c>
      <c r="L34" s="9">
        <v>31.83</v>
      </c>
      <c r="M34" s="7" t="s">
        <v>281</v>
      </c>
      <c r="N34" s="11">
        <v>8.65</v>
      </c>
      <c r="O34" s="10">
        <v>2.14</v>
      </c>
      <c r="P34" s="9">
        <v>6.13</v>
      </c>
      <c r="Q34" s="7" t="s">
        <v>282</v>
      </c>
      <c r="R34" s="7">
        <v>38</v>
      </c>
      <c r="S34" s="10">
        <v>2.08</v>
      </c>
      <c r="T34" s="10">
        <v>2.0099999999999998</v>
      </c>
      <c r="U34" s="7" t="s">
        <v>283</v>
      </c>
      <c r="V34" s="7">
        <v>25.4</v>
      </c>
      <c r="W34" s="10">
        <v>1.66</v>
      </c>
      <c r="X34" s="10">
        <v>3.09</v>
      </c>
      <c r="Y34" s="7" t="s">
        <v>284</v>
      </c>
      <c r="Z34" s="13">
        <v>53.2</v>
      </c>
      <c r="AA34" s="10">
        <v>6</v>
      </c>
      <c r="AB34" s="10">
        <v>3.39</v>
      </c>
      <c r="AC34" s="7" t="s">
        <v>285</v>
      </c>
      <c r="AD34" s="11">
        <v>4.0199999999999996</v>
      </c>
      <c r="AE34" s="10">
        <v>3.82</v>
      </c>
      <c r="AF34" s="10">
        <v>5.51</v>
      </c>
      <c r="AG34" s="12" t="s">
        <v>286</v>
      </c>
      <c r="AH34" s="7">
        <v>3.36</v>
      </c>
      <c r="AI34" s="10">
        <v>5.88</v>
      </c>
      <c r="AJ34" s="10">
        <v>1.17</v>
      </c>
      <c r="AK34" s="7" t="s">
        <v>287</v>
      </c>
      <c r="AL34" s="7">
        <v>148</v>
      </c>
      <c r="AM34" s="10">
        <v>2.54</v>
      </c>
      <c r="AN34" s="10">
        <v>2.77</v>
      </c>
    </row>
    <row r="35" spans="1:40" x14ac:dyDescent="0.3">
      <c r="A35" s="8">
        <v>45533</v>
      </c>
      <c r="B35" s="7" t="s">
        <v>19</v>
      </c>
      <c r="C35" s="7" t="str">
        <f t="shared" si="0"/>
        <v>45533B</v>
      </c>
      <c r="D35" s="7" t="s">
        <v>288</v>
      </c>
      <c r="E35" s="7">
        <v>11.84</v>
      </c>
      <c r="F35" s="10">
        <v>3.95</v>
      </c>
      <c r="G35" s="7" t="s">
        <v>289</v>
      </c>
      <c r="H35" s="7">
        <v>17.89</v>
      </c>
      <c r="I35" s="9">
        <v>167.81</v>
      </c>
      <c r="J35" s="7" t="s">
        <v>290</v>
      </c>
      <c r="K35" s="7">
        <v>104.85</v>
      </c>
      <c r="L35" s="10">
        <v>5.73</v>
      </c>
      <c r="M35" s="7" t="s">
        <v>291</v>
      </c>
      <c r="N35" s="7">
        <v>8.2799999999999994</v>
      </c>
      <c r="O35" s="10">
        <v>2.58</v>
      </c>
      <c r="P35" s="10">
        <v>1.59</v>
      </c>
      <c r="Q35" s="7" t="s">
        <v>254</v>
      </c>
      <c r="R35" s="12">
        <v>36</v>
      </c>
      <c r="S35" s="9">
        <v>6.63</v>
      </c>
      <c r="T35" s="9">
        <v>7.16</v>
      </c>
      <c r="U35" s="7" t="s">
        <v>249</v>
      </c>
      <c r="V35" s="7">
        <v>26.87</v>
      </c>
      <c r="W35" s="10">
        <v>1.51</v>
      </c>
      <c r="X35" s="10">
        <v>2.5099999999999998</v>
      </c>
      <c r="Y35" s="12" t="s">
        <v>292</v>
      </c>
      <c r="Z35" s="7">
        <v>54.98</v>
      </c>
      <c r="AA35" s="10">
        <v>2.09</v>
      </c>
      <c r="AB35" s="10">
        <v>0.16</v>
      </c>
      <c r="AC35" s="7" t="s">
        <v>293</v>
      </c>
      <c r="AD35" s="7">
        <v>4.0199999999999996</v>
      </c>
      <c r="AE35" s="10">
        <v>0.24</v>
      </c>
      <c r="AF35" s="10">
        <v>5.51</v>
      </c>
      <c r="AG35" s="7" t="s">
        <v>218</v>
      </c>
      <c r="AH35" s="7">
        <v>3.23</v>
      </c>
      <c r="AI35" s="9">
        <v>7.44</v>
      </c>
      <c r="AJ35" s="10">
        <v>4.99</v>
      </c>
      <c r="AK35" s="7" t="s">
        <v>294</v>
      </c>
      <c r="AL35" s="7">
        <v>142.66999999999999</v>
      </c>
      <c r="AM35" s="10">
        <v>1.61</v>
      </c>
      <c r="AN35" s="10">
        <v>6.27</v>
      </c>
    </row>
    <row r="36" spans="1:40" x14ac:dyDescent="0.3">
      <c r="A36" s="8">
        <v>45533</v>
      </c>
      <c r="B36" s="7" t="s">
        <v>20</v>
      </c>
      <c r="C36" s="7" t="str">
        <f t="shared" si="0"/>
        <v>45533C</v>
      </c>
      <c r="D36" s="7" t="s">
        <v>120</v>
      </c>
      <c r="E36" s="7">
        <v>14.83</v>
      </c>
      <c r="F36" s="9">
        <v>30.66</v>
      </c>
      <c r="G36" s="7" t="s">
        <v>70</v>
      </c>
      <c r="H36" s="7">
        <v>9.58</v>
      </c>
      <c r="I36" s="7"/>
      <c r="J36" s="7" t="s">
        <v>295</v>
      </c>
      <c r="K36" s="7">
        <v>98.92</v>
      </c>
      <c r="L36" s="10">
        <v>0.06</v>
      </c>
      <c r="M36" s="7" t="s">
        <v>296</v>
      </c>
      <c r="N36" s="7">
        <v>8.1</v>
      </c>
      <c r="O36" s="10">
        <v>1.75</v>
      </c>
      <c r="P36" s="10">
        <v>0.61</v>
      </c>
      <c r="Q36" s="7" t="s">
        <v>138</v>
      </c>
      <c r="R36" s="7">
        <v>37.71</v>
      </c>
      <c r="S36" s="10">
        <v>1.74</v>
      </c>
      <c r="T36" s="10">
        <v>2.75</v>
      </c>
      <c r="U36" s="7" t="s">
        <v>297</v>
      </c>
      <c r="V36" s="7">
        <v>26.17</v>
      </c>
      <c r="W36" s="10">
        <v>1.39</v>
      </c>
      <c r="X36" s="10">
        <v>0.15</v>
      </c>
      <c r="Y36" s="7" t="s">
        <v>298</v>
      </c>
      <c r="Z36" s="7">
        <v>56.77</v>
      </c>
      <c r="AA36" s="10">
        <v>2.71</v>
      </c>
      <c r="AB36" s="10">
        <v>3.08</v>
      </c>
      <c r="AC36" s="7" t="s">
        <v>209</v>
      </c>
      <c r="AD36" s="7">
        <v>4.0199999999999996</v>
      </c>
      <c r="AE36" s="10">
        <v>2.29</v>
      </c>
      <c r="AF36" s="10">
        <v>5.51</v>
      </c>
      <c r="AG36" s="7" t="s">
        <v>173</v>
      </c>
      <c r="AH36" s="7">
        <v>3.29</v>
      </c>
      <c r="AI36" s="10">
        <v>1.49</v>
      </c>
      <c r="AJ36" s="10">
        <v>3.23</v>
      </c>
      <c r="AK36" s="7" t="s">
        <v>299</v>
      </c>
      <c r="AL36" s="7">
        <v>142.71</v>
      </c>
      <c r="AM36" s="10">
        <v>3.02</v>
      </c>
      <c r="AN36" s="10">
        <v>6.25</v>
      </c>
    </row>
    <row r="37" spans="1:40" ht="18" x14ac:dyDescent="0.35">
      <c r="A37" s="8">
        <v>45538</v>
      </c>
      <c r="B37" s="7" t="s">
        <v>21</v>
      </c>
      <c r="C37" s="7" t="str">
        <f t="shared" si="0"/>
        <v>45538A</v>
      </c>
      <c r="D37" s="7" t="s">
        <v>300</v>
      </c>
      <c r="E37" s="7">
        <v>21.41</v>
      </c>
      <c r="F37" s="9">
        <v>58.35</v>
      </c>
      <c r="G37" s="7" t="s">
        <v>70</v>
      </c>
      <c r="H37" s="7">
        <v>16.329999999999998</v>
      </c>
      <c r="I37" s="7"/>
      <c r="J37" s="7" t="s">
        <v>301</v>
      </c>
      <c r="K37" s="7">
        <v>69.78</v>
      </c>
      <c r="L37" s="10">
        <v>1.8</v>
      </c>
      <c r="M37" s="7" t="s">
        <v>302</v>
      </c>
      <c r="N37" s="7">
        <v>8.09</v>
      </c>
      <c r="O37" s="10">
        <v>2.5299999999999998</v>
      </c>
      <c r="P37" s="10">
        <v>0.73</v>
      </c>
      <c r="Q37" s="7" t="s">
        <v>303</v>
      </c>
      <c r="R37" s="7">
        <v>38.67</v>
      </c>
      <c r="S37" s="10">
        <v>0.7</v>
      </c>
      <c r="T37" s="10">
        <v>0.28000000000000003</v>
      </c>
      <c r="U37" s="7" t="s">
        <v>115</v>
      </c>
      <c r="V37" s="7">
        <v>26.23</v>
      </c>
      <c r="W37" s="10">
        <v>1.57</v>
      </c>
      <c r="X37" s="10">
        <v>7.0000000000000007E-2</v>
      </c>
      <c r="Y37" s="7" t="s">
        <v>304</v>
      </c>
      <c r="Z37" s="7">
        <v>55.8</v>
      </c>
      <c r="AA37" s="10">
        <v>1.51</v>
      </c>
      <c r="AB37" s="10">
        <v>1.32</v>
      </c>
      <c r="AC37" s="7" t="s">
        <v>305</v>
      </c>
      <c r="AD37" s="7">
        <v>4.0199999999999996</v>
      </c>
      <c r="AE37" s="10">
        <v>1.25</v>
      </c>
      <c r="AF37" s="10">
        <v>5.51</v>
      </c>
      <c r="AG37" s="7" t="s">
        <v>95</v>
      </c>
      <c r="AH37" s="7">
        <v>3.41</v>
      </c>
      <c r="AI37" s="10">
        <v>2.4</v>
      </c>
      <c r="AJ37" s="10">
        <v>0.28999999999999998</v>
      </c>
      <c r="AK37" s="7" t="s">
        <v>306</v>
      </c>
      <c r="AL37" s="7">
        <v>143.5</v>
      </c>
      <c r="AM37" s="10">
        <v>1.95</v>
      </c>
      <c r="AN37" s="10">
        <v>5.73</v>
      </c>
    </row>
    <row r="38" spans="1:40" x14ac:dyDescent="0.3">
      <c r="A38" s="8">
        <v>45538</v>
      </c>
      <c r="B38" s="7" t="s">
        <v>19</v>
      </c>
      <c r="C38" s="7" t="str">
        <f t="shared" si="0"/>
        <v>45538B</v>
      </c>
      <c r="D38" s="7" t="s">
        <v>143</v>
      </c>
      <c r="E38" s="7">
        <v>18.22</v>
      </c>
      <c r="F38" s="9">
        <v>60.24</v>
      </c>
      <c r="G38" s="7" t="s">
        <v>307</v>
      </c>
      <c r="H38" s="7">
        <v>17.91</v>
      </c>
      <c r="I38" s="10">
        <v>0</v>
      </c>
      <c r="J38" s="7" t="s">
        <v>308</v>
      </c>
      <c r="K38" s="7">
        <v>73.239999999999995</v>
      </c>
      <c r="L38" s="10">
        <v>16.22</v>
      </c>
      <c r="M38" s="7" t="s">
        <v>177</v>
      </c>
      <c r="N38" s="7">
        <v>8.3000000000000007</v>
      </c>
      <c r="O38" s="10">
        <v>1.84</v>
      </c>
      <c r="P38" s="10">
        <v>1.84</v>
      </c>
      <c r="Q38" s="7" t="s">
        <v>309</v>
      </c>
      <c r="R38" s="7">
        <v>38.4</v>
      </c>
      <c r="S38" s="10">
        <v>0.72</v>
      </c>
      <c r="T38" s="10">
        <v>0.97</v>
      </c>
      <c r="U38" s="7" t="s">
        <v>310</v>
      </c>
      <c r="V38" s="7">
        <v>28.1</v>
      </c>
      <c r="W38" s="9">
        <v>6.92</v>
      </c>
      <c r="X38" s="9">
        <v>7.21</v>
      </c>
      <c r="Y38" s="7" t="s">
        <v>311</v>
      </c>
      <c r="Z38" s="11">
        <v>56</v>
      </c>
      <c r="AA38" s="10">
        <v>0.17</v>
      </c>
      <c r="AB38" s="10">
        <v>1.68</v>
      </c>
      <c r="AC38" s="7" t="s">
        <v>217</v>
      </c>
      <c r="AD38" s="7">
        <v>3.97</v>
      </c>
      <c r="AE38" s="10">
        <v>0.5</v>
      </c>
      <c r="AF38" s="10">
        <v>4.1900000000000004</v>
      </c>
      <c r="AG38" s="7" t="s">
        <v>158</v>
      </c>
      <c r="AH38" s="7">
        <v>3.44</v>
      </c>
      <c r="AI38" s="10">
        <v>0.28999999999999998</v>
      </c>
      <c r="AJ38" s="10">
        <v>1.17</v>
      </c>
      <c r="AK38" s="7" t="s">
        <v>312</v>
      </c>
      <c r="AL38" s="7">
        <v>144.4</v>
      </c>
      <c r="AM38" s="10">
        <v>2.95</v>
      </c>
      <c r="AN38" s="10">
        <v>5.14</v>
      </c>
    </row>
    <row r="39" spans="1:40" ht="18" x14ac:dyDescent="0.35">
      <c r="A39" s="8">
        <v>45538</v>
      </c>
      <c r="B39" s="7" t="s">
        <v>20</v>
      </c>
      <c r="C39" s="7" t="str">
        <f t="shared" si="0"/>
        <v>45538C</v>
      </c>
      <c r="D39" s="7" t="s">
        <v>79</v>
      </c>
      <c r="E39" s="7">
        <v>16.36</v>
      </c>
      <c r="F39" s="9">
        <v>44.01</v>
      </c>
      <c r="G39" s="7" t="s">
        <v>70</v>
      </c>
      <c r="H39" s="7">
        <v>6.99</v>
      </c>
      <c r="I39" s="7"/>
      <c r="J39" s="7" t="s">
        <v>313</v>
      </c>
      <c r="K39" s="7">
        <v>87.2</v>
      </c>
      <c r="L39" s="10">
        <v>14.94</v>
      </c>
      <c r="M39" s="7" t="s">
        <v>191</v>
      </c>
      <c r="N39" s="7">
        <v>8.4700000000000006</v>
      </c>
      <c r="O39" s="9">
        <v>3.41</v>
      </c>
      <c r="P39" s="9">
        <v>3.92</v>
      </c>
      <c r="Q39" s="7" t="s">
        <v>314</v>
      </c>
      <c r="R39" s="7">
        <v>37.25</v>
      </c>
      <c r="S39" s="10">
        <v>3.02</v>
      </c>
      <c r="T39" s="10">
        <v>3.94</v>
      </c>
      <c r="U39" s="7" t="s">
        <v>315</v>
      </c>
      <c r="V39" s="7">
        <v>26.52</v>
      </c>
      <c r="W39" s="10">
        <v>7.0000000000000007E-2</v>
      </c>
      <c r="X39" s="10">
        <v>1.18</v>
      </c>
      <c r="Y39" s="7" t="s">
        <v>316</v>
      </c>
      <c r="Z39" s="7">
        <v>55.99</v>
      </c>
      <c r="AA39" s="10">
        <v>0.03</v>
      </c>
      <c r="AB39" s="10">
        <v>1.67</v>
      </c>
      <c r="AC39" s="7" t="s">
        <v>317</v>
      </c>
      <c r="AD39" s="7">
        <v>3.91</v>
      </c>
      <c r="AE39" s="10">
        <v>0.51</v>
      </c>
      <c r="AF39" s="10">
        <v>2.62</v>
      </c>
      <c r="AG39" s="7" t="s">
        <v>258</v>
      </c>
      <c r="AH39" s="7">
        <v>3.5</v>
      </c>
      <c r="AI39" s="10">
        <v>3.85</v>
      </c>
      <c r="AJ39" s="10">
        <v>2.94</v>
      </c>
      <c r="AK39" s="7" t="s">
        <v>318</v>
      </c>
      <c r="AL39" s="7">
        <v>141.75</v>
      </c>
      <c r="AM39" s="10">
        <v>2.62</v>
      </c>
      <c r="AN39" s="10">
        <v>6.88</v>
      </c>
    </row>
    <row r="40" spans="1:40" ht="18" x14ac:dyDescent="0.35">
      <c r="A40" s="8">
        <v>45539</v>
      </c>
      <c r="B40" s="7" t="s">
        <v>21</v>
      </c>
      <c r="C40" s="7" t="str">
        <f t="shared" si="0"/>
        <v>45539A</v>
      </c>
      <c r="D40" s="7" t="s">
        <v>246</v>
      </c>
      <c r="E40" s="7">
        <v>19.89</v>
      </c>
      <c r="F40" s="9">
        <v>75.7</v>
      </c>
      <c r="G40" s="7" t="s">
        <v>70</v>
      </c>
      <c r="H40" s="7">
        <v>18.010000000000002</v>
      </c>
      <c r="I40" s="7"/>
      <c r="J40" s="7" t="s">
        <v>319</v>
      </c>
      <c r="K40" s="7">
        <v>66.72</v>
      </c>
      <c r="L40" s="10">
        <v>21.5</v>
      </c>
      <c r="M40" s="7" t="s">
        <v>122</v>
      </c>
      <c r="N40" s="7">
        <v>8.32</v>
      </c>
      <c r="O40" s="10">
        <v>1.46</v>
      </c>
      <c r="P40" s="10">
        <v>2.08</v>
      </c>
      <c r="Q40" s="7" t="s">
        <v>320</v>
      </c>
      <c r="R40" s="7">
        <v>38.14</v>
      </c>
      <c r="S40" s="10">
        <v>0.26</v>
      </c>
      <c r="T40" s="10">
        <v>1.65</v>
      </c>
      <c r="U40" s="7" t="s">
        <v>321</v>
      </c>
      <c r="V40" s="7">
        <v>27.31</v>
      </c>
      <c r="W40" s="10">
        <v>2.4300000000000002</v>
      </c>
      <c r="X40" s="10">
        <v>4.1900000000000004</v>
      </c>
      <c r="Y40" s="7" t="s">
        <v>322</v>
      </c>
      <c r="Z40" s="7">
        <v>54.89</v>
      </c>
      <c r="AA40" s="10">
        <v>1.98</v>
      </c>
      <c r="AB40" s="10">
        <v>0.32</v>
      </c>
      <c r="AC40" s="7" t="s">
        <v>323</v>
      </c>
      <c r="AD40" s="7">
        <v>4.05</v>
      </c>
      <c r="AE40" s="10">
        <v>2.0099999999999998</v>
      </c>
      <c r="AF40" s="10">
        <v>6.29</v>
      </c>
      <c r="AG40" s="7" t="s">
        <v>181</v>
      </c>
      <c r="AH40" s="12">
        <v>3.51</v>
      </c>
      <c r="AI40" s="10">
        <v>3.84</v>
      </c>
      <c r="AJ40" s="10">
        <v>3.23</v>
      </c>
      <c r="AK40" s="7" t="s">
        <v>324</v>
      </c>
      <c r="AL40" s="7">
        <v>147.43</v>
      </c>
      <c r="AM40" s="10">
        <v>4.2</v>
      </c>
      <c r="AN40" s="10">
        <v>3.15</v>
      </c>
    </row>
    <row r="41" spans="1:40" x14ac:dyDescent="0.3">
      <c r="A41" s="8">
        <v>45539</v>
      </c>
      <c r="B41" s="7" t="s">
        <v>19</v>
      </c>
      <c r="C41" s="7" t="str">
        <f t="shared" si="0"/>
        <v>45539B</v>
      </c>
      <c r="D41" s="7" t="s">
        <v>288</v>
      </c>
      <c r="E41" s="7">
        <v>17.64</v>
      </c>
      <c r="F41" s="9">
        <v>54.87</v>
      </c>
      <c r="G41" s="7" t="s">
        <v>325</v>
      </c>
      <c r="H41" s="7">
        <v>16.47</v>
      </c>
      <c r="I41" s="9">
        <v>110.88</v>
      </c>
      <c r="J41" s="7" t="s">
        <v>326</v>
      </c>
      <c r="K41" s="7">
        <v>76.55</v>
      </c>
      <c r="L41" s="9">
        <v>30.28</v>
      </c>
      <c r="M41" s="7" t="s">
        <v>327</v>
      </c>
      <c r="N41" s="7">
        <v>8.32</v>
      </c>
      <c r="O41" s="10">
        <v>0.84</v>
      </c>
      <c r="P41" s="10">
        <v>2.08</v>
      </c>
      <c r="Q41" s="7" t="s">
        <v>328</v>
      </c>
      <c r="R41" s="7">
        <v>38.25</v>
      </c>
      <c r="S41" s="10">
        <v>0.98</v>
      </c>
      <c r="T41" s="10">
        <v>1.36</v>
      </c>
      <c r="U41" s="7" t="s">
        <v>329</v>
      </c>
      <c r="V41" s="7">
        <v>27.45</v>
      </c>
      <c r="W41" s="10">
        <v>4.97</v>
      </c>
      <c r="X41" s="10">
        <v>4.7300000000000004</v>
      </c>
      <c r="Y41" s="7" t="s">
        <v>330</v>
      </c>
      <c r="Z41" s="7">
        <v>55.24</v>
      </c>
      <c r="AA41" s="10">
        <v>0.19</v>
      </c>
      <c r="AB41" s="10">
        <v>0.3</v>
      </c>
      <c r="AC41" s="7" t="s">
        <v>149</v>
      </c>
      <c r="AD41" s="7">
        <v>4.05</v>
      </c>
      <c r="AE41" s="10">
        <v>0.74</v>
      </c>
      <c r="AF41" s="10">
        <v>6.29</v>
      </c>
      <c r="AG41" s="7" t="s">
        <v>150</v>
      </c>
      <c r="AH41" s="12">
        <v>3.53</v>
      </c>
      <c r="AI41" s="10">
        <v>3.21</v>
      </c>
      <c r="AJ41" s="10">
        <v>3.82</v>
      </c>
      <c r="AK41" s="7" t="s">
        <v>331</v>
      </c>
      <c r="AL41" s="7">
        <v>146.5</v>
      </c>
      <c r="AM41" s="10">
        <v>1.39</v>
      </c>
      <c r="AN41" s="10">
        <v>3.76</v>
      </c>
    </row>
    <row r="42" spans="1:40" x14ac:dyDescent="0.3">
      <c r="A42" s="8">
        <v>45539</v>
      </c>
      <c r="B42" s="7" t="s">
        <v>20</v>
      </c>
      <c r="C42" s="7" t="str">
        <f t="shared" si="0"/>
        <v>45539C</v>
      </c>
      <c r="D42" s="7" t="s">
        <v>79</v>
      </c>
      <c r="E42" s="7">
        <v>13.39</v>
      </c>
      <c r="F42" s="9">
        <v>17.86</v>
      </c>
      <c r="G42" s="7" t="s">
        <v>70</v>
      </c>
      <c r="H42" s="7">
        <v>9.5299999999999994</v>
      </c>
      <c r="I42" s="7"/>
      <c r="J42" s="7" t="s">
        <v>332</v>
      </c>
      <c r="K42" s="7">
        <v>82.54</v>
      </c>
      <c r="L42" s="10">
        <v>20.25</v>
      </c>
      <c r="M42" s="7" t="s">
        <v>333</v>
      </c>
      <c r="N42" s="7">
        <v>8.5</v>
      </c>
      <c r="O42" s="9">
        <v>3.4</v>
      </c>
      <c r="P42" s="9">
        <v>4.29</v>
      </c>
      <c r="Q42" s="7" t="s">
        <v>138</v>
      </c>
      <c r="R42" s="7">
        <v>38.71</v>
      </c>
      <c r="S42" s="10">
        <v>0.85</v>
      </c>
      <c r="T42" s="10">
        <v>0.18</v>
      </c>
      <c r="U42" s="7" t="s">
        <v>334</v>
      </c>
      <c r="V42" s="7">
        <v>26.89</v>
      </c>
      <c r="W42" s="10">
        <v>2.0099999999999998</v>
      </c>
      <c r="X42" s="10">
        <v>2.59</v>
      </c>
      <c r="Y42" s="7" t="s">
        <v>335</v>
      </c>
      <c r="Z42" s="7">
        <v>54.89</v>
      </c>
      <c r="AA42" s="10">
        <v>0.9</v>
      </c>
      <c r="AB42" s="10">
        <v>0.32</v>
      </c>
      <c r="AC42" s="7" t="s">
        <v>293</v>
      </c>
      <c r="AD42" s="7">
        <v>4.05</v>
      </c>
      <c r="AE42" s="10">
        <v>0.49</v>
      </c>
      <c r="AF42" s="10">
        <v>6.29</v>
      </c>
      <c r="AG42" s="7" t="s">
        <v>181</v>
      </c>
      <c r="AH42" s="12">
        <v>3.51</v>
      </c>
      <c r="AI42" s="10">
        <v>3.84</v>
      </c>
      <c r="AJ42" s="10">
        <v>3.23</v>
      </c>
      <c r="AK42" s="7" t="s">
        <v>336</v>
      </c>
      <c r="AL42" s="7">
        <v>145.86000000000001</v>
      </c>
      <c r="AM42" s="10">
        <v>0.53</v>
      </c>
      <c r="AN42" s="10">
        <v>4.18</v>
      </c>
    </row>
    <row r="43" spans="1:40" x14ac:dyDescent="0.3">
      <c r="A43" s="8">
        <v>45540</v>
      </c>
      <c r="B43" s="7" t="s">
        <v>21</v>
      </c>
      <c r="C43" s="7" t="str">
        <f t="shared" si="0"/>
        <v>45540A</v>
      </c>
      <c r="D43" s="7" t="s">
        <v>127</v>
      </c>
      <c r="E43" s="7">
        <v>16.13</v>
      </c>
      <c r="F43" s="9">
        <v>41.73</v>
      </c>
      <c r="G43" s="7" t="s">
        <v>337</v>
      </c>
      <c r="H43" s="7">
        <v>16.91</v>
      </c>
      <c r="I43" s="9">
        <v>538.11</v>
      </c>
      <c r="J43" s="7" t="s">
        <v>338</v>
      </c>
      <c r="K43" s="7">
        <v>56.98</v>
      </c>
      <c r="L43" s="9">
        <v>47.86</v>
      </c>
      <c r="M43" s="7" t="s">
        <v>240</v>
      </c>
      <c r="N43" s="7">
        <v>8.4</v>
      </c>
      <c r="O43" s="10">
        <v>0.47</v>
      </c>
      <c r="P43" s="9">
        <v>3.06</v>
      </c>
      <c r="Q43" s="7" t="s">
        <v>275</v>
      </c>
      <c r="R43" s="12">
        <v>36.33</v>
      </c>
      <c r="S43" s="9">
        <v>5.97</v>
      </c>
      <c r="T43" s="9">
        <v>6.31</v>
      </c>
      <c r="U43" s="7" t="s">
        <v>339</v>
      </c>
      <c r="V43" s="7">
        <v>27.73</v>
      </c>
      <c r="W43" s="9">
        <v>6</v>
      </c>
      <c r="X43" s="9">
        <v>5.79</v>
      </c>
      <c r="Y43" s="7" t="s">
        <v>330</v>
      </c>
      <c r="Z43" s="12">
        <v>54.1</v>
      </c>
      <c r="AA43" s="10">
        <v>1.86</v>
      </c>
      <c r="AB43" s="10">
        <v>1.76</v>
      </c>
      <c r="AC43" s="7" t="s">
        <v>340</v>
      </c>
      <c r="AD43" s="7">
        <v>4.05</v>
      </c>
      <c r="AE43" s="10">
        <v>0</v>
      </c>
      <c r="AF43" s="10">
        <v>6.29</v>
      </c>
      <c r="AG43" s="7" t="s">
        <v>132</v>
      </c>
      <c r="AH43" s="7">
        <v>3.5</v>
      </c>
      <c r="AI43" s="10">
        <v>1.44</v>
      </c>
      <c r="AJ43" s="10">
        <v>2.94</v>
      </c>
      <c r="AK43" s="7" t="s">
        <v>341</v>
      </c>
      <c r="AL43" s="7">
        <v>138.66999999999999</v>
      </c>
      <c r="AM43" s="10">
        <v>5.45</v>
      </c>
      <c r="AN43" s="10">
        <v>8.9</v>
      </c>
    </row>
    <row r="44" spans="1:40" ht="18" x14ac:dyDescent="0.35">
      <c r="A44" s="8">
        <v>45540</v>
      </c>
      <c r="B44" s="7" t="s">
        <v>19</v>
      </c>
      <c r="C44" s="7" t="str">
        <f t="shared" si="0"/>
        <v>45540B</v>
      </c>
      <c r="D44" s="7" t="s">
        <v>127</v>
      </c>
      <c r="E44" s="7">
        <v>14.98</v>
      </c>
      <c r="F44" s="9">
        <v>31.63</v>
      </c>
      <c r="G44" s="7" t="s">
        <v>342</v>
      </c>
      <c r="H44" s="7">
        <v>18.170000000000002</v>
      </c>
      <c r="I44" s="9">
        <v>1014.72</v>
      </c>
      <c r="J44" s="7" t="s">
        <v>343</v>
      </c>
      <c r="K44" s="7">
        <v>81.48</v>
      </c>
      <c r="L44" s="9">
        <v>26.68</v>
      </c>
      <c r="M44" s="7" t="s">
        <v>344</v>
      </c>
      <c r="N44" s="7">
        <v>8.35</v>
      </c>
      <c r="O44" s="10">
        <v>1.41</v>
      </c>
      <c r="P44" s="10">
        <v>2.4500000000000002</v>
      </c>
      <c r="Q44" s="7" t="s">
        <v>345</v>
      </c>
      <c r="R44" s="7">
        <v>37.67</v>
      </c>
      <c r="S44" s="10">
        <v>2.25</v>
      </c>
      <c r="T44" s="10">
        <v>2.86</v>
      </c>
      <c r="U44" s="7" t="s">
        <v>346</v>
      </c>
      <c r="V44" s="7">
        <v>26.5</v>
      </c>
      <c r="W44" s="10">
        <v>0.74</v>
      </c>
      <c r="X44" s="10">
        <v>1.1000000000000001</v>
      </c>
      <c r="Y44" s="7" t="s">
        <v>347</v>
      </c>
      <c r="Z44" s="11">
        <v>56.24</v>
      </c>
      <c r="AA44" s="10">
        <v>3.06</v>
      </c>
      <c r="AB44" s="10">
        <v>2.12</v>
      </c>
      <c r="AC44" s="7" t="s">
        <v>270</v>
      </c>
      <c r="AD44" s="7">
        <v>4</v>
      </c>
      <c r="AE44" s="10">
        <v>1.71</v>
      </c>
      <c r="AF44" s="10">
        <v>4.9800000000000004</v>
      </c>
      <c r="AG44" s="7" t="s">
        <v>132</v>
      </c>
      <c r="AH44" s="7">
        <v>3.46</v>
      </c>
      <c r="AI44" s="10">
        <v>0.28000000000000003</v>
      </c>
      <c r="AJ44" s="10">
        <v>1.76</v>
      </c>
      <c r="AK44" s="7" t="s">
        <v>348</v>
      </c>
      <c r="AL44" s="7">
        <v>147.33000000000001</v>
      </c>
      <c r="AM44" s="10">
        <v>1.8</v>
      </c>
      <c r="AN44" s="10">
        <v>3.21</v>
      </c>
    </row>
    <row r="45" spans="1:40" x14ac:dyDescent="0.3">
      <c r="A45" s="8">
        <v>45540</v>
      </c>
      <c r="B45" s="7" t="s">
        <v>20</v>
      </c>
      <c r="C45" s="7" t="str">
        <f t="shared" si="0"/>
        <v>45540C</v>
      </c>
      <c r="D45" s="7" t="s">
        <v>79</v>
      </c>
      <c r="E45" s="7">
        <v>11.36</v>
      </c>
      <c r="F45" s="10">
        <v>0</v>
      </c>
      <c r="G45" s="7" t="s">
        <v>349</v>
      </c>
      <c r="H45" s="7">
        <v>16.71</v>
      </c>
      <c r="I45" s="9">
        <v>636.12</v>
      </c>
      <c r="J45" s="7" t="s">
        <v>350</v>
      </c>
      <c r="K45" s="7">
        <v>87.68</v>
      </c>
      <c r="L45" s="10">
        <v>10.78</v>
      </c>
      <c r="M45" s="7" t="s">
        <v>351</v>
      </c>
      <c r="N45" s="7">
        <v>8.5</v>
      </c>
      <c r="O45" s="9">
        <v>3.15</v>
      </c>
      <c r="P45" s="9">
        <v>4.29</v>
      </c>
      <c r="Q45" s="7" t="s">
        <v>114</v>
      </c>
      <c r="R45" s="7">
        <v>38.75</v>
      </c>
      <c r="S45" s="10">
        <v>0.1</v>
      </c>
      <c r="T45" s="10">
        <v>7.0000000000000007E-2</v>
      </c>
      <c r="U45" s="7" t="s">
        <v>255</v>
      </c>
      <c r="V45" s="7">
        <v>25.43</v>
      </c>
      <c r="W45" s="10">
        <v>3.38</v>
      </c>
      <c r="X45" s="10">
        <v>2.97</v>
      </c>
      <c r="Y45" s="7" t="s">
        <v>352</v>
      </c>
      <c r="Z45" s="7">
        <v>56.24</v>
      </c>
      <c r="AA45" s="10">
        <v>0.03</v>
      </c>
      <c r="AB45" s="10">
        <v>2.12</v>
      </c>
      <c r="AC45" s="7" t="s">
        <v>149</v>
      </c>
      <c r="AD45" s="7">
        <v>4</v>
      </c>
      <c r="AE45" s="10">
        <v>0.49</v>
      </c>
      <c r="AF45" s="10">
        <v>4.9800000000000004</v>
      </c>
      <c r="AG45" s="7" t="s">
        <v>150</v>
      </c>
      <c r="AH45" s="7">
        <v>3.47</v>
      </c>
      <c r="AI45" s="10">
        <v>1.46</v>
      </c>
      <c r="AJ45" s="10">
        <v>2.0499999999999998</v>
      </c>
      <c r="AK45" s="7" t="s">
        <v>353</v>
      </c>
      <c r="AL45" s="7">
        <v>144.25</v>
      </c>
      <c r="AM45" s="10">
        <v>1.88</v>
      </c>
      <c r="AN45" s="10">
        <v>5.24</v>
      </c>
    </row>
    <row r="46" spans="1:40" x14ac:dyDescent="0.3">
      <c r="A46" s="8">
        <v>45541</v>
      </c>
      <c r="B46" s="7" t="s">
        <v>21</v>
      </c>
      <c r="C46" s="7" t="str">
        <f t="shared" si="0"/>
        <v>45541A</v>
      </c>
      <c r="D46" s="7" t="s">
        <v>354</v>
      </c>
      <c r="E46" s="7">
        <v>12.05</v>
      </c>
      <c r="F46" s="9">
        <v>6.63</v>
      </c>
      <c r="G46" s="7" t="s">
        <v>70</v>
      </c>
      <c r="H46" s="7">
        <v>16.87</v>
      </c>
      <c r="I46" s="7"/>
      <c r="J46" s="7" t="s">
        <v>355</v>
      </c>
      <c r="K46" s="7">
        <v>77.63</v>
      </c>
      <c r="L46" s="10">
        <v>3.19</v>
      </c>
      <c r="M46" s="7" t="s">
        <v>333</v>
      </c>
      <c r="N46" s="7">
        <v>8.1999999999999993</v>
      </c>
      <c r="O46" s="10">
        <v>0.24</v>
      </c>
      <c r="P46" s="10">
        <v>0.61</v>
      </c>
      <c r="Q46" s="7" t="s">
        <v>214</v>
      </c>
      <c r="R46" s="7">
        <v>37.67</v>
      </c>
      <c r="S46" s="10">
        <v>2.5299999999999998</v>
      </c>
      <c r="T46" s="10">
        <v>2.86</v>
      </c>
      <c r="U46" s="7" t="s">
        <v>356</v>
      </c>
      <c r="V46" s="7">
        <v>25.74</v>
      </c>
      <c r="W46" s="10">
        <v>2.64</v>
      </c>
      <c r="X46" s="10">
        <v>1.79</v>
      </c>
      <c r="Y46" s="7" t="s">
        <v>352</v>
      </c>
      <c r="Z46" s="7">
        <v>56.56</v>
      </c>
      <c r="AA46" s="10">
        <v>0.6</v>
      </c>
      <c r="AB46" s="10">
        <v>2.7</v>
      </c>
      <c r="AC46" s="7" t="s">
        <v>270</v>
      </c>
      <c r="AD46" s="7">
        <v>3.89</v>
      </c>
      <c r="AE46" s="10">
        <v>4.42</v>
      </c>
      <c r="AF46" s="10">
        <v>2.09</v>
      </c>
      <c r="AG46" s="7" t="s">
        <v>158</v>
      </c>
      <c r="AH46" s="7">
        <v>3.42</v>
      </c>
      <c r="AI46" s="10">
        <v>0.28999999999999998</v>
      </c>
      <c r="AJ46" s="10">
        <v>0.57999999999999996</v>
      </c>
      <c r="AK46" s="7" t="s">
        <v>357</v>
      </c>
      <c r="AL46" s="7">
        <v>142.16999999999999</v>
      </c>
      <c r="AM46" s="10">
        <v>1.82</v>
      </c>
      <c r="AN46" s="10">
        <v>6.6</v>
      </c>
    </row>
    <row r="47" spans="1:40" x14ac:dyDescent="0.3">
      <c r="A47" s="8">
        <v>45541</v>
      </c>
      <c r="B47" s="7" t="s">
        <v>19</v>
      </c>
      <c r="C47" s="7" t="str">
        <f t="shared" si="0"/>
        <v>45541B</v>
      </c>
      <c r="D47" s="7" t="s">
        <v>183</v>
      </c>
      <c r="E47" s="7">
        <v>14.94</v>
      </c>
      <c r="F47" s="9">
        <v>32.090000000000003</v>
      </c>
      <c r="G47" s="7" t="s">
        <v>70</v>
      </c>
      <c r="H47" s="7">
        <v>16.559999999999999</v>
      </c>
      <c r="I47" s="7"/>
      <c r="J47" s="7" t="s">
        <v>358</v>
      </c>
      <c r="K47" s="7">
        <v>77.09</v>
      </c>
      <c r="L47" s="10">
        <v>2.71</v>
      </c>
      <c r="M47" s="7" t="s">
        <v>177</v>
      </c>
      <c r="N47" s="7">
        <v>8</v>
      </c>
      <c r="O47" s="10">
        <v>1.84</v>
      </c>
      <c r="P47" s="10">
        <v>1.84</v>
      </c>
      <c r="Q47" s="7" t="s">
        <v>155</v>
      </c>
      <c r="R47" s="7">
        <v>37.4</v>
      </c>
      <c r="S47" s="10">
        <v>3.35</v>
      </c>
      <c r="T47" s="10">
        <v>3.55</v>
      </c>
      <c r="U47" s="7" t="s">
        <v>359</v>
      </c>
      <c r="V47" s="7">
        <v>26.98</v>
      </c>
      <c r="W47" s="10">
        <v>1.88</v>
      </c>
      <c r="X47" s="10">
        <v>2.93</v>
      </c>
      <c r="Y47" s="7" t="s">
        <v>360</v>
      </c>
      <c r="Z47" s="7">
        <v>56.56</v>
      </c>
      <c r="AA47" s="10">
        <v>0.14000000000000001</v>
      </c>
      <c r="AB47" s="10">
        <v>2.7</v>
      </c>
      <c r="AC47" s="7" t="s">
        <v>305</v>
      </c>
      <c r="AD47" s="7">
        <v>3.7</v>
      </c>
      <c r="AE47" s="10">
        <v>6.8</v>
      </c>
      <c r="AF47" s="10">
        <v>2.88</v>
      </c>
      <c r="AG47" s="7" t="s">
        <v>150</v>
      </c>
      <c r="AH47" s="7">
        <v>3.25</v>
      </c>
      <c r="AI47" s="10">
        <v>4.97</v>
      </c>
      <c r="AJ47" s="10">
        <v>4.41</v>
      </c>
      <c r="AK47" s="7" t="s">
        <v>361</v>
      </c>
      <c r="AL47" s="7">
        <v>144.6</v>
      </c>
      <c r="AM47" s="10">
        <v>1.38</v>
      </c>
      <c r="AN47" s="10">
        <v>5.01</v>
      </c>
    </row>
    <row r="48" spans="1:40" ht="18" x14ac:dyDescent="0.35">
      <c r="A48" s="8">
        <v>45541</v>
      </c>
      <c r="B48" s="7" t="s">
        <v>20</v>
      </c>
      <c r="C48" s="7" t="str">
        <f t="shared" si="0"/>
        <v>45541C</v>
      </c>
      <c r="D48" s="7" t="s">
        <v>362</v>
      </c>
      <c r="E48" s="7">
        <v>16.91</v>
      </c>
      <c r="F48" s="9">
        <v>31.9</v>
      </c>
      <c r="G48" s="7" t="s">
        <v>70</v>
      </c>
      <c r="H48" s="7">
        <v>12.37</v>
      </c>
      <c r="I48" s="7"/>
      <c r="J48" s="7" t="s">
        <v>363</v>
      </c>
      <c r="K48" s="7">
        <v>84.71</v>
      </c>
      <c r="L48" s="10">
        <v>13.93</v>
      </c>
      <c r="M48" s="7" t="s">
        <v>364</v>
      </c>
      <c r="N48" s="7">
        <v>8.1999999999999993</v>
      </c>
      <c r="O48" s="9">
        <v>3.92</v>
      </c>
      <c r="P48" s="10">
        <v>0.61</v>
      </c>
      <c r="Q48" s="7" t="s">
        <v>82</v>
      </c>
      <c r="R48" s="7">
        <v>37.880000000000003</v>
      </c>
      <c r="S48" s="10">
        <v>1.32</v>
      </c>
      <c r="T48" s="10">
        <v>2.3199999999999998</v>
      </c>
      <c r="U48" s="7" t="s">
        <v>365</v>
      </c>
      <c r="V48" s="7">
        <v>27.12</v>
      </c>
      <c r="W48" s="10">
        <v>1.42</v>
      </c>
      <c r="X48" s="10">
        <v>3.47</v>
      </c>
      <c r="Y48" s="7" t="s">
        <v>366</v>
      </c>
      <c r="Z48" s="7">
        <v>56.56</v>
      </c>
      <c r="AA48" s="10">
        <v>0.23</v>
      </c>
      <c r="AB48" s="10">
        <v>2.7</v>
      </c>
      <c r="AC48" s="7" t="s">
        <v>367</v>
      </c>
      <c r="AD48" s="7">
        <v>3.7</v>
      </c>
      <c r="AE48" s="10">
        <v>0.8</v>
      </c>
      <c r="AF48" s="10">
        <v>2.88</v>
      </c>
      <c r="AG48" s="7" t="s">
        <v>368</v>
      </c>
      <c r="AH48" s="7">
        <v>3.3</v>
      </c>
      <c r="AI48" s="10">
        <v>0.6</v>
      </c>
      <c r="AJ48" s="10">
        <v>2.94</v>
      </c>
      <c r="AK48" s="7" t="s">
        <v>369</v>
      </c>
      <c r="AL48" s="7">
        <v>146.75</v>
      </c>
      <c r="AM48" s="10">
        <v>0.79</v>
      </c>
      <c r="AN48" s="10">
        <v>3.59</v>
      </c>
    </row>
    <row r="49" spans="1:40" x14ac:dyDescent="0.3">
      <c r="A49" s="8">
        <v>45544</v>
      </c>
      <c r="B49" s="7" t="s">
        <v>21</v>
      </c>
      <c r="C49" s="7" t="str">
        <f t="shared" si="0"/>
        <v>45544A</v>
      </c>
      <c r="D49" s="7" t="s">
        <v>183</v>
      </c>
      <c r="E49" s="7">
        <v>19.64</v>
      </c>
      <c r="F49" s="9">
        <v>73.650000000000006</v>
      </c>
      <c r="G49" s="7" t="s">
        <v>70</v>
      </c>
      <c r="H49" s="7">
        <v>15.06</v>
      </c>
      <c r="I49" s="7"/>
      <c r="J49" s="7" t="s">
        <v>370</v>
      </c>
      <c r="K49" s="7">
        <v>61</v>
      </c>
      <c r="L49" s="10">
        <v>21.89</v>
      </c>
      <c r="M49" s="7" t="s">
        <v>162</v>
      </c>
      <c r="N49" s="7">
        <v>8.6</v>
      </c>
      <c r="O49" s="9">
        <v>7.9</v>
      </c>
      <c r="P49" s="9">
        <v>5.52</v>
      </c>
      <c r="Q49" s="7" t="s">
        <v>371</v>
      </c>
      <c r="R49" s="7">
        <v>37.14</v>
      </c>
      <c r="S49" s="10">
        <v>2.95</v>
      </c>
      <c r="T49" s="10">
        <v>4.22</v>
      </c>
      <c r="U49" s="7" t="s">
        <v>372</v>
      </c>
      <c r="V49" s="12">
        <v>30.01</v>
      </c>
      <c r="W49" s="9">
        <v>12.73</v>
      </c>
      <c r="X49" s="9">
        <v>14.49</v>
      </c>
      <c r="Y49" s="7" t="s">
        <v>373</v>
      </c>
      <c r="Z49" s="11">
        <v>56.2</v>
      </c>
      <c r="AA49" s="10">
        <v>0.37</v>
      </c>
      <c r="AB49" s="10">
        <v>2.0499999999999998</v>
      </c>
      <c r="AC49" s="7" t="s">
        <v>374</v>
      </c>
      <c r="AD49" s="11">
        <v>3.7</v>
      </c>
      <c r="AE49" s="10">
        <v>1.33</v>
      </c>
      <c r="AF49" s="10">
        <v>2.88</v>
      </c>
      <c r="AG49" s="7" t="s">
        <v>95</v>
      </c>
      <c r="AH49" s="12">
        <v>3.59</v>
      </c>
      <c r="AI49" s="9">
        <v>7.8</v>
      </c>
      <c r="AJ49" s="10">
        <v>5.58</v>
      </c>
      <c r="AK49" s="7" t="s">
        <v>375</v>
      </c>
      <c r="AL49" s="7">
        <v>131.71</v>
      </c>
      <c r="AM49" s="9">
        <v>10.77</v>
      </c>
      <c r="AN49" s="9">
        <v>13.47</v>
      </c>
    </row>
    <row r="50" spans="1:40" x14ac:dyDescent="0.3">
      <c r="A50" s="8">
        <v>45544</v>
      </c>
      <c r="B50" s="7" t="s">
        <v>19</v>
      </c>
      <c r="C50" s="7" t="str">
        <f t="shared" si="0"/>
        <v>45544B</v>
      </c>
      <c r="D50" s="7" t="s">
        <v>127</v>
      </c>
      <c r="E50" s="7">
        <v>17.36</v>
      </c>
      <c r="F50" s="9">
        <v>52.54</v>
      </c>
      <c r="G50" s="7" t="s">
        <v>70</v>
      </c>
      <c r="H50" s="7">
        <v>15.71</v>
      </c>
      <c r="I50" s="7"/>
      <c r="J50" s="7" t="s">
        <v>128</v>
      </c>
      <c r="K50" s="7">
        <v>66.260000000000005</v>
      </c>
      <c r="L50" s="9">
        <v>40.35</v>
      </c>
      <c r="M50" s="7" t="s">
        <v>376</v>
      </c>
      <c r="N50" s="7">
        <v>8.64</v>
      </c>
      <c r="O50" s="10">
        <v>0.46</v>
      </c>
      <c r="P50" s="9">
        <v>6.01</v>
      </c>
      <c r="Q50" s="7" t="s">
        <v>241</v>
      </c>
      <c r="R50" s="12">
        <v>44</v>
      </c>
      <c r="S50" s="9">
        <v>14.4</v>
      </c>
      <c r="T50" s="9">
        <v>13.46</v>
      </c>
      <c r="U50" s="7" t="s">
        <v>377</v>
      </c>
      <c r="V50" s="7">
        <v>26.75</v>
      </c>
      <c r="W50" s="10">
        <v>0.28999999999999998</v>
      </c>
      <c r="X50" s="10">
        <v>2.06</v>
      </c>
      <c r="Y50" s="7" t="s">
        <v>225</v>
      </c>
      <c r="Z50" s="12">
        <v>57.41</v>
      </c>
      <c r="AA50" s="10">
        <v>2.17</v>
      </c>
      <c r="AB50" s="10">
        <v>4.24</v>
      </c>
      <c r="AC50" s="7" t="s">
        <v>378</v>
      </c>
      <c r="AD50" s="7">
        <v>4.1900000000000004</v>
      </c>
      <c r="AE50" s="9">
        <v>8.5399999999999991</v>
      </c>
      <c r="AF50" s="9">
        <v>9.9700000000000006</v>
      </c>
      <c r="AG50" s="7" t="s">
        <v>244</v>
      </c>
      <c r="AH50" s="12">
        <v>3.85</v>
      </c>
      <c r="AI50" s="9">
        <v>10.95</v>
      </c>
      <c r="AJ50" s="9">
        <v>13.23</v>
      </c>
      <c r="AK50" s="7" t="s">
        <v>379</v>
      </c>
      <c r="AL50" s="7">
        <v>157</v>
      </c>
      <c r="AM50" s="9">
        <v>10.24</v>
      </c>
      <c r="AN50" s="10">
        <v>3.13</v>
      </c>
    </row>
    <row r="51" spans="1:40" ht="18" x14ac:dyDescent="0.35">
      <c r="A51" s="8">
        <v>45547</v>
      </c>
      <c r="B51" s="7" t="s">
        <v>21</v>
      </c>
      <c r="C51" s="7" t="str">
        <f t="shared" si="0"/>
        <v>45547A</v>
      </c>
      <c r="D51" s="7" t="s">
        <v>288</v>
      </c>
      <c r="E51" s="7">
        <v>11.92</v>
      </c>
      <c r="F51" s="10">
        <v>4.6500000000000004</v>
      </c>
      <c r="G51" s="7" t="s">
        <v>380</v>
      </c>
      <c r="H51" s="7">
        <v>16.45</v>
      </c>
      <c r="I51" s="10">
        <v>8.4</v>
      </c>
      <c r="J51" s="7" t="s">
        <v>381</v>
      </c>
      <c r="K51" s="7">
        <v>62.22</v>
      </c>
      <c r="L51" s="9">
        <v>35.9</v>
      </c>
      <c r="M51" s="7" t="s">
        <v>382</v>
      </c>
      <c r="N51" s="7">
        <v>8.5500000000000007</v>
      </c>
      <c r="O51" s="10">
        <v>0.46</v>
      </c>
      <c r="P51" s="9">
        <v>4.9000000000000004</v>
      </c>
      <c r="Q51" s="7" t="s">
        <v>345</v>
      </c>
      <c r="R51" s="7">
        <v>38.67</v>
      </c>
      <c r="S51" s="10">
        <v>0.33</v>
      </c>
      <c r="T51" s="10">
        <v>0.28000000000000003</v>
      </c>
      <c r="U51" s="7" t="s">
        <v>383</v>
      </c>
      <c r="V51" s="7">
        <v>26.77</v>
      </c>
      <c r="W51" s="10">
        <v>2.84</v>
      </c>
      <c r="X51" s="10">
        <v>2.13</v>
      </c>
      <c r="Y51" s="7" t="s">
        <v>384</v>
      </c>
      <c r="Z51" s="11">
        <v>56.59</v>
      </c>
      <c r="AA51" s="10">
        <v>0.91</v>
      </c>
      <c r="AB51" s="10">
        <v>2.76</v>
      </c>
      <c r="AC51" s="7" t="s">
        <v>385</v>
      </c>
      <c r="AD51" s="7">
        <v>4.2300000000000004</v>
      </c>
      <c r="AE51" s="10">
        <v>2.91</v>
      </c>
      <c r="AF51" s="9">
        <v>11.02</v>
      </c>
      <c r="AG51" s="7" t="s">
        <v>218</v>
      </c>
      <c r="AH51" s="12">
        <v>3.67</v>
      </c>
      <c r="AI51" s="10">
        <v>5.15</v>
      </c>
      <c r="AJ51" s="9">
        <v>7.94</v>
      </c>
      <c r="AK51" s="7" t="s">
        <v>386</v>
      </c>
      <c r="AL51" s="7">
        <v>135.66999999999999</v>
      </c>
      <c r="AM51" s="10">
        <v>6.21</v>
      </c>
      <c r="AN51" s="9">
        <v>10.87</v>
      </c>
    </row>
    <row r="52" spans="1:40" ht="18" x14ac:dyDescent="0.35">
      <c r="A52" s="8">
        <v>45547</v>
      </c>
      <c r="B52" s="7" t="s">
        <v>19</v>
      </c>
      <c r="C52" s="7" t="str">
        <f t="shared" si="0"/>
        <v>45547B</v>
      </c>
      <c r="D52" s="7" t="s">
        <v>272</v>
      </c>
      <c r="E52" s="7">
        <v>10.71</v>
      </c>
      <c r="F52" s="9">
        <v>6.13</v>
      </c>
      <c r="G52" s="7" t="s">
        <v>279</v>
      </c>
      <c r="H52" s="7">
        <v>14.43</v>
      </c>
      <c r="I52" s="9">
        <v>19.829999999999998</v>
      </c>
      <c r="J52" s="7" t="s">
        <v>387</v>
      </c>
      <c r="K52" s="7">
        <v>80.63</v>
      </c>
      <c r="L52" s="10">
        <v>24.37</v>
      </c>
      <c r="M52" s="7" t="s">
        <v>388</v>
      </c>
      <c r="N52" s="7">
        <v>8.36</v>
      </c>
      <c r="O52" s="9">
        <v>3.24</v>
      </c>
      <c r="P52" s="10">
        <v>2.57</v>
      </c>
      <c r="Q52" s="7" t="s">
        <v>214</v>
      </c>
      <c r="R52" s="7">
        <v>37.33</v>
      </c>
      <c r="S52" s="10">
        <v>3.41</v>
      </c>
      <c r="T52" s="10">
        <v>3.73</v>
      </c>
      <c r="U52" s="7" t="s">
        <v>389</v>
      </c>
      <c r="V52" s="7">
        <v>27.63</v>
      </c>
      <c r="W52" s="9">
        <v>6.1</v>
      </c>
      <c r="X52" s="9">
        <v>5.41</v>
      </c>
      <c r="Y52" s="7" t="s">
        <v>390</v>
      </c>
      <c r="Z52" s="7">
        <v>57.07</v>
      </c>
      <c r="AA52" s="10">
        <v>0.91</v>
      </c>
      <c r="AB52" s="10">
        <v>3.63</v>
      </c>
      <c r="AC52" s="7" t="s">
        <v>391</v>
      </c>
      <c r="AD52" s="7">
        <v>3.99</v>
      </c>
      <c r="AE52" s="10">
        <v>6.11</v>
      </c>
      <c r="AF52" s="10">
        <v>4.72</v>
      </c>
      <c r="AG52" s="12" t="s">
        <v>226</v>
      </c>
      <c r="AH52" s="7">
        <v>3.49</v>
      </c>
      <c r="AI52" s="10">
        <v>0.85</v>
      </c>
      <c r="AJ52" s="10">
        <v>2.64</v>
      </c>
      <c r="AK52" s="7" t="s">
        <v>392</v>
      </c>
      <c r="AL52" s="7">
        <v>135.25</v>
      </c>
      <c r="AM52" s="10">
        <v>5.12</v>
      </c>
      <c r="AN52" s="9">
        <v>11.15</v>
      </c>
    </row>
    <row r="53" spans="1:40" x14ac:dyDescent="0.3">
      <c r="A53" s="8">
        <v>45547</v>
      </c>
      <c r="B53" s="7" t="s">
        <v>20</v>
      </c>
      <c r="C53" s="7" t="str">
        <f t="shared" si="0"/>
        <v>45547C</v>
      </c>
      <c r="D53" s="7" t="s">
        <v>79</v>
      </c>
      <c r="E53" s="7">
        <v>7.4</v>
      </c>
      <c r="F53" s="9">
        <v>34.85</v>
      </c>
      <c r="G53" s="7" t="s">
        <v>70</v>
      </c>
      <c r="H53" s="7">
        <v>6.89</v>
      </c>
      <c r="I53" s="7"/>
      <c r="J53" s="7" t="s">
        <v>393</v>
      </c>
      <c r="K53" s="7">
        <v>95.03</v>
      </c>
      <c r="L53" s="10">
        <v>5.12</v>
      </c>
      <c r="M53" s="7" t="s">
        <v>394</v>
      </c>
      <c r="N53" s="7">
        <v>8.32</v>
      </c>
      <c r="O53" s="10">
        <v>0.83</v>
      </c>
      <c r="P53" s="10">
        <v>2.08</v>
      </c>
      <c r="Q53" s="7" t="s">
        <v>241</v>
      </c>
      <c r="R53" s="7">
        <v>39</v>
      </c>
      <c r="S53" s="10">
        <v>1.4</v>
      </c>
      <c r="T53" s="10">
        <v>0.56000000000000005</v>
      </c>
      <c r="U53" s="7" t="s">
        <v>315</v>
      </c>
      <c r="V53" s="7">
        <v>26.43</v>
      </c>
      <c r="W53" s="10">
        <v>0.26</v>
      </c>
      <c r="X53" s="10">
        <v>0.83</v>
      </c>
      <c r="Y53" s="7" t="s">
        <v>395</v>
      </c>
      <c r="Z53" s="7">
        <v>57.07</v>
      </c>
      <c r="AA53" s="10">
        <v>0.54</v>
      </c>
      <c r="AB53" s="10">
        <v>3.63</v>
      </c>
      <c r="AC53" s="7" t="s">
        <v>141</v>
      </c>
      <c r="AD53" s="7">
        <v>3.99</v>
      </c>
      <c r="AE53" s="10">
        <v>1.23</v>
      </c>
      <c r="AF53" s="10">
        <v>4.72</v>
      </c>
      <c r="AG53" s="7" t="s">
        <v>396</v>
      </c>
      <c r="AH53" s="7">
        <v>3.41</v>
      </c>
      <c r="AI53" s="10">
        <v>0.87</v>
      </c>
      <c r="AJ53" s="10">
        <v>0.28999999999999998</v>
      </c>
      <c r="AK53" s="7" t="s">
        <v>397</v>
      </c>
      <c r="AL53" s="7">
        <v>140.29</v>
      </c>
      <c r="AM53" s="10">
        <v>0.81</v>
      </c>
      <c r="AN53" s="10">
        <v>7.84</v>
      </c>
    </row>
    <row r="54" spans="1:40" ht="18" x14ac:dyDescent="0.35">
      <c r="A54" s="8">
        <v>45548</v>
      </c>
      <c r="B54" s="7" t="s">
        <v>19</v>
      </c>
      <c r="C54" s="7" t="str">
        <f t="shared" si="0"/>
        <v>45548B</v>
      </c>
      <c r="D54" s="7" t="s">
        <v>354</v>
      </c>
      <c r="E54" s="7">
        <v>13.64</v>
      </c>
      <c r="F54" s="9">
        <v>20.7</v>
      </c>
      <c r="G54" s="7" t="s">
        <v>70</v>
      </c>
      <c r="H54" s="7">
        <v>16.03</v>
      </c>
      <c r="I54" s="7"/>
      <c r="J54" s="7" t="s">
        <v>398</v>
      </c>
      <c r="K54" s="7">
        <v>79.010000000000005</v>
      </c>
      <c r="L54" s="10">
        <v>9.2200000000000006</v>
      </c>
      <c r="M54" s="7" t="s">
        <v>154</v>
      </c>
      <c r="N54" s="7">
        <v>7.7</v>
      </c>
      <c r="O54" s="9">
        <v>5.63</v>
      </c>
      <c r="P54" s="9">
        <v>5.52</v>
      </c>
      <c r="Q54" s="7" t="s">
        <v>303</v>
      </c>
      <c r="R54" s="7">
        <v>38</v>
      </c>
      <c r="S54" s="10">
        <v>1.04</v>
      </c>
      <c r="T54" s="10">
        <v>2.0099999999999998</v>
      </c>
      <c r="U54" s="7" t="s">
        <v>399</v>
      </c>
      <c r="V54" s="7">
        <v>26.54</v>
      </c>
      <c r="W54" s="10">
        <v>0.18</v>
      </c>
      <c r="X54" s="10">
        <v>1.25</v>
      </c>
      <c r="Y54" s="7" t="s">
        <v>400</v>
      </c>
      <c r="Z54" s="11">
        <v>57.13</v>
      </c>
      <c r="AA54" s="10">
        <v>0.36</v>
      </c>
      <c r="AB54" s="10">
        <v>3.74</v>
      </c>
      <c r="AC54" s="7" t="s">
        <v>149</v>
      </c>
      <c r="AD54" s="11">
        <v>3.6</v>
      </c>
      <c r="AE54" s="9">
        <v>10.44</v>
      </c>
      <c r="AF54" s="10">
        <v>5.51</v>
      </c>
      <c r="AG54" s="7" t="s">
        <v>77</v>
      </c>
      <c r="AH54" s="7">
        <v>3.28</v>
      </c>
      <c r="AI54" s="10">
        <v>3.52</v>
      </c>
      <c r="AJ54" s="10">
        <v>3.52</v>
      </c>
      <c r="AK54" s="7" t="s">
        <v>401</v>
      </c>
      <c r="AL54" s="7">
        <v>145.75</v>
      </c>
      <c r="AM54" s="10">
        <v>1.78</v>
      </c>
      <c r="AN54" s="10">
        <v>4.25</v>
      </c>
    </row>
    <row r="55" spans="1:40" x14ac:dyDescent="0.3">
      <c r="A55" s="8">
        <v>45548</v>
      </c>
      <c r="B55" s="7" t="s">
        <v>20</v>
      </c>
      <c r="C55" s="7" t="str">
        <f t="shared" si="0"/>
        <v>45548C</v>
      </c>
      <c r="D55" s="7" t="s">
        <v>402</v>
      </c>
      <c r="E55" s="7">
        <v>14.34</v>
      </c>
      <c r="F55" s="9">
        <v>37.020000000000003</v>
      </c>
      <c r="G55" s="7" t="s">
        <v>70</v>
      </c>
      <c r="H55" s="7">
        <v>12</v>
      </c>
      <c r="I55" s="7"/>
      <c r="J55" s="7" t="s">
        <v>403</v>
      </c>
      <c r="K55" s="7">
        <v>95.07</v>
      </c>
      <c r="L55" s="9">
        <v>32.06</v>
      </c>
      <c r="M55" s="7" t="s">
        <v>162</v>
      </c>
      <c r="N55" s="7">
        <v>8.08</v>
      </c>
      <c r="O55" s="10">
        <v>1.38</v>
      </c>
      <c r="P55" s="10">
        <v>0.85</v>
      </c>
      <c r="Q55" s="7" t="s">
        <v>263</v>
      </c>
      <c r="R55" s="7">
        <v>38.44</v>
      </c>
      <c r="S55" s="10">
        <v>0.02</v>
      </c>
      <c r="T55" s="10">
        <v>0.87</v>
      </c>
      <c r="U55" s="7" t="s">
        <v>365</v>
      </c>
      <c r="V55" s="7">
        <v>25.8</v>
      </c>
      <c r="W55" s="10">
        <v>3.51</v>
      </c>
      <c r="X55" s="10">
        <v>1.56</v>
      </c>
      <c r="Y55" s="7" t="s">
        <v>395</v>
      </c>
      <c r="Z55" s="7">
        <v>57.13</v>
      </c>
      <c r="AA55" s="10">
        <v>0.65</v>
      </c>
      <c r="AB55" s="10">
        <v>3.74</v>
      </c>
      <c r="AC55" s="7" t="s">
        <v>404</v>
      </c>
      <c r="AD55" s="7">
        <v>3.6</v>
      </c>
      <c r="AE55" s="10">
        <v>1.36</v>
      </c>
      <c r="AF55" s="10">
        <v>5.51</v>
      </c>
      <c r="AG55" s="7" t="s">
        <v>405</v>
      </c>
      <c r="AH55" s="7">
        <v>3.33</v>
      </c>
      <c r="AI55" s="10">
        <v>0.9</v>
      </c>
      <c r="AJ55" s="10">
        <v>2.0499999999999998</v>
      </c>
      <c r="AK55" s="7" t="s">
        <v>406</v>
      </c>
      <c r="AL55" s="7">
        <v>149.78</v>
      </c>
      <c r="AM55" s="10">
        <v>0.89</v>
      </c>
      <c r="AN55" s="10">
        <v>1.6</v>
      </c>
    </row>
    <row r="56" spans="1:40" ht="18" x14ac:dyDescent="0.35">
      <c r="A56" s="8">
        <v>45549</v>
      </c>
      <c r="B56" s="7" t="s">
        <v>21</v>
      </c>
      <c r="C56" s="7" t="str">
        <f t="shared" si="0"/>
        <v>45549A</v>
      </c>
      <c r="D56" s="7" t="s">
        <v>407</v>
      </c>
      <c r="E56" s="7">
        <v>22.96</v>
      </c>
      <c r="F56" s="9">
        <v>34.82</v>
      </c>
      <c r="G56" s="7" t="s">
        <v>70</v>
      </c>
      <c r="H56" s="7">
        <v>16.93</v>
      </c>
      <c r="I56" s="7"/>
      <c r="J56" s="7" t="s">
        <v>408</v>
      </c>
      <c r="K56" s="7">
        <v>85.92</v>
      </c>
      <c r="L56" s="10">
        <v>24.23</v>
      </c>
      <c r="M56" s="7" t="s">
        <v>409</v>
      </c>
      <c r="N56" s="7">
        <v>7.7</v>
      </c>
      <c r="O56" s="10">
        <v>2.16</v>
      </c>
      <c r="P56" s="9">
        <v>5.52</v>
      </c>
      <c r="Q56" s="7" t="s">
        <v>263</v>
      </c>
      <c r="R56" s="7">
        <v>37</v>
      </c>
      <c r="S56" s="10">
        <v>3.77</v>
      </c>
      <c r="T56" s="10">
        <v>4.58</v>
      </c>
      <c r="U56" s="7" t="s">
        <v>315</v>
      </c>
      <c r="V56" s="7">
        <v>26.77</v>
      </c>
      <c r="W56" s="10">
        <v>1.01</v>
      </c>
      <c r="X56" s="10">
        <v>2.13</v>
      </c>
      <c r="Y56" s="7" t="s">
        <v>410</v>
      </c>
      <c r="Z56" s="11">
        <v>54.95</v>
      </c>
      <c r="AA56" s="10">
        <v>3.17</v>
      </c>
      <c r="AB56" s="10">
        <v>0.21</v>
      </c>
      <c r="AC56" s="7" t="s">
        <v>411</v>
      </c>
      <c r="AD56" s="7">
        <v>3.51</v>
      </c>
      <c r="AE56" s="10">
        <v>4.09</v>
      </c>
      <c r="AF56" s="10">
        <v>7.87</v>
      </c>
      <c r="AG56" s="7" t="s">
        <v>412</v>
      </c>
      <c r="AH56" s="7">
        <v>3.23</v>
      </c>
      <c r="AI56" s="10">
        <v>1.82</v>
      </c>
      <c r="AJ56" s="10">
        <v>4.99</v>
      </c>
      <c r="AK56" s="7" t="s">
        <v>413</v>
      </c>
      <c r="AL56" s="7">
        <v>141</v>
      </c>
      <c r="AM56" s="10">
        <v>3.97</v>
      </c>
      <c r="AN56" s="10">
        <v>7.37</v>
      </c>
    </row>
    <row r="57" spans="1:40" ht="18" x14ac:dyDescent="0.35">
      <c r="A57" s="8">
        <v>45549</v>
      </c>
      <c r="B57" s="7" t="s">
        <v>19</v>
      </c>
      <c r="C57" s="7" t="str">
        <f t="shared" si="0"/>
        <v>45549B</v>
      </c>
      <c r="D57" s="7" t="s">
        <v>414</v>
      </c>
      <c r="E57" s="7">
        <v>23.18</v>
      </c>
      <c r="F57" s="9">
        <v>104.77</v>
      </c>
      <c r="G57" s="7" t="s">
        <v>70</v>
      </c>
      <c r="H57" s="7">
        <v>15.4</v>
      </c>
      <c r="I57" s="7"/>
      <c r="J57" s="7" t="s">
        <v>415</v>
      </c>
      <c r="K57" s="7">
        <v>94.12</v>
      </c>
      <c r="L57" s="10">
        <v>14.18</v>
      </c>
      <c r="M57" s="7" t="s">
        <v>416</v>
      </c>
      <c r="N57" s="7">
        <v>8.1</v>
      </c>
      <c r="O57" s="10">
        <v>2.92</v>
      </c>
      <c r="P57" s="10">
        <v>0.61</v>
      </c>
      <c r="Q57" s="7" t="s">
        <v>146</v>
      </c>
      <c r="R57" s="7">
        <v>38.25</v>
      </c>
      <c r="S57" s="10">
        <v>0.64</v>
      </c>
      <c r="T57" s="10">
        <v>1.36</v>
      </c>
      <c r="U57" s="7" t="s">
        <v>417</v>
      </c>
      <c r="V57" s="7">
        <v>26.9</v>
      </c>
      <c r="W57" s="10">
        <v>0.14000000000000001</v>
      </c>
      <c r="X57" s="10">
        <v>2.63</v>
      </c>
      <c r="Y57" s="7" t="s">
        <v>140</v>
      </c>
      <c r="Z57" s="7">
        <v>54.95</v>
      </c>
      <c r="AA57" s="10">
        <v>0.43</v>
      </c>
      <c r="AB57" s="10">
        <v>0.21</v>
      </c>
      <c r="AC57" s="7" t="s">
        <v>418</v>
      </c>
      <c r="AD57" s="7">
        <v>3.82</v>
      </c>
      <c r="AE57" s="10">
        <v>6.7</v>
      </c>
      <c r="AF57" s="10">
        <v>0.26</v>
      </c>
      <c r="AG57" s="7" t="s">
        <v>419</v>
      </c>
      <c r="AH57" s="7">
        <v>3.38</v>
      </c>
      <c r="AI57" s="10">
        <v>1.8</v>
      </c>
      <c r="AJ57" s="10">
        <v>0.57999999999999996</v>
      </c>
      <c r="AK57" s="7" t="s">
        <v>420</v>
      </c>
      <c r="AL57" s="7">
        <v>146.75</v>
      </c>
      <c r="AM57" s="10">
        <v>1.4</v>
      </c>
      <c r="AN57" s="10">
        <v>3.59</v>
      </c>
    </row>
    <row r="58" spans="1:40" ht="18" x14ac:dyDescent="0.35">
      <c r="A58" s="8">
        <v>45549</v>
      </c>
      <c r="B58" s="7" t="s">
        <v>20</v>
      </c>
      <c r="C58" s="7" t="str">
        <f t="shared" si="0"/>
        <v>45549C</v>
      </c>
      <c r="D58" s="7" t="s">
        <v>421</v>
      </c>
      <c r="E58" s="7">
        <v>22.04</v>
      </c>
      <c r="F58" s="9">
        <v>94.18</v>
      </c>
      <c r="G58" s="7" t="s">
        <v>70</v>
      </c>
      <c r="H58" s="7">
        <v>8.75</v>
      </c>
      <c r="I58" s="7"/>
      <c r="J58" s="7" t="s">
        <v>422</v>
      </c>
      <c r="K58" s="7">
        <v>102.68</v>
      </c>
      <c r="L58" s="10">
        <v>5.84</v>
      </c>
      <c r="M58" s="7" t="s">
        <v>81</v>
      </c>
      <c r="N58" s="7">
        <v>8.3000000000000007</v>
      </c>
      <c r="O58" s="9">
        <v>3.75</v>
      </c>
      <c r="P58" s="10">
        <v>1.84</v>
      </c>
      <c r="Q58" s="7" t="s">
        <v>91</v>
      </c>
      <c r="R58" s="7">
        <v>39.33</v>
      </c>
      <c r="S58" s="10">
        <v>2.34</v>
      </c>
      <c r="T58" s="10">
        <v>1.41</v>
      </c>
      <c r="U58" s="7" t="s">
        <v>171</v>
      </c>
      <c r="V58" s="7">
        <v>27.23</v>
      </c>
      <c r="W58" s="10">
        <v>2.36</v>
      </c>
      <c r="X58" s="10">
        <v>3.89</v>
      </c>
      <c r="Y58" s="7" t="s">
        <v>148</v>
      </c>
      <c r="Z58" s="7">
        <v>54.95</v>
      </c>
      <c r="AA58" s="10">
        <v>0.39</v>
      </c>
      <c r="AB58" s="10">
        <v>0.21</v>
      </c>
      <c r="AC58" s="7" t="s">
        <v>423</v>
      </c>
      <c r="AD58" s="7">
        <v>3.82</v>
      </c>
      <c r="AE58" s="10">
        <v>0.79</v>
      </c>
      <c r="AF58" s="10">
        <v>0.26</v>
      </c>
      <c r="AG58" s="7" t="s">
        <v>95</v>
      </c>
      <c r="AH58" s="7">
        <v>3.44</v>
      </c>
      <c r="AI58" s="10">
        <v>3.3</v>
      </c>
      <c r="AJ58" s="10">
        <v>1.17</v>
      </c>
      <c r="AK58" s="7" t="s">
        <v>424</v>
      </c>
      <c r="AL58" s="7">
        <v>145.16999999999999</v>
      </c>
      <c r="AM58" s="10">
        <v>1.84</v>
      </c>
      <c r="AN58" s="10">
        <v>4.63</v>
      </c>
    </row>
    <row r="59" spans="1:40" x14ac:dyDescent="0.3">
      <c r="A59" s="8">
        <v>45551</v>
      </c>
      <c r="B59" s="7" t="s">
        <v>21</v>
      </c>
      <c r="C59" s="7" t="str">
        <f t="shared" si="0"/>
        <v>45551A</v>
      </c>
      <c r="D59" s="7" t="s">
        <v>79</v>
      </c>
      <c r="E59" s="7">
        <v>16.39</v>
      </c>
      <c r="F59" s="9">
        <v>44.27</v>
      </c>
      <c r="G59" s="7" t="s">
        <v>70</v>
      </c>
      <c r="H59" s="7">
        <v>12.27</v>
      </c>
      <c r="I59" s="7"/>
      <c r="J59" s="7" t="s">
        <v>425</v>
      </c>
      <c r="K59" s="7">
        <v>64.16</v>
      </c>
      <c r="L59" s="9">
        <v>36.49</v>
      </c>
      <c r="M59" s="7" t="s">
        <v>145</v>
      </c>
      <c r="N59" s="7">
        <v>8.31</v>
      </c>
      <c r="O59" s="10">
        <v>0.48</v>
      </c>
      <c r="P59" s="10">
        <v>1.96</v>
      </c>
      <c r="Q59" s="7" t="s">
        <v>426</v>
      </c>
      <c r="R59" s="7">
        <v>38</v>
      </c>
      <c r="S59" s="10">
        <v>1.0900000000000001</v>
      </c>
      <c r="T59" s="10">
        <v>2.0099999999999998</v>
      </c>
      <c r="U59" s="7" t="s">
        <v>427</v>
      </c>
      <c r="V59" s="7">
        <v>27.63</v>
      </c>
      <c r="W59" s="10">
        <v>4.6500000000000004</v>
      </c>
      <c r="X59" s="9">
        <v>5.41</v>
      </c>
      <c r="Y59" s="7" t="s">
        <v>148</v>
      </c>
      <c r="Z59" s="7">
        <v>55.87</v>
      </c>
      <c r="AA59" s="10">
        <v>1.26</v>
      </c>
      <c r="AB59" s="10">
        <v>1.45</v>
      </c>
      <c r="AC59" s="7" t="s">
        <v>378</v>
      </c>
      <c r="AD59" s="7">
        <v>3.82</v>
      </c>
      <c r="AE59" s="10">
        <v>1.03</v>
      </c>
      <c r="AF59" s="10">
        <v>0.26</v>
      </c>
      <c r="AG59" s="7" t="s">
        <v>196</v>
      </c>
      <c r="AH59" s="12">
        <v>3.64</v>
      </c>
      <c r="AI59" s="10">
        <v>6.74</v>
      </c>
      <c r="AJ59" s="9">
        <v>7.05</v>
      </c>
      <c r="AK59" s="7" t="s">
        <v>428</v>
      </c>
      <c r="AL59" s="7">
        <v>142</v>
      </c>
      <c r="AM59" s="10">
        <v>2.69</v>
      </c>
      <c r="AN59" s="10">
        <v>6.72</v>
      </c>
    </row>
    <row r="60" spans="1:40" ht="18" x14ac:dyDescent="0.35">
      <c r="A60" s="8">
        <v>45551</v>
      </c>
      <c r="B60" s="7" t="s">
        <v>19</v>
      </c>
      <c r="C60" s="7" t="str">
        <f t="shared" si="0"/>
        <v>45551B</v>
      </c>
      <c r="D60" s="7" t="s">
        <v>143</v>
      </c>
      <c r="E60" s="7">
        <v>12.2</v>
      </c>
      <c r="F60" s="9">
        <v>7.29</v>
      </c>
      <c r="G60" s="7" t="s">
        <v>70</v>
      </c>
      <c r="H60" s="7">
        <v>10.55</v>
      </c>
      <c r="I60" s="7"/>
      <c r="J60" s="7" t="s">
        <v>429</v>
      </c>
      <c r="K60" s="7">
        <v>79.08</v>
      </c>
      <c r="L60" s="9">
        <v>25.83</v>
      </c>
      <c r="M60" s="7" t="s">
        <v>430</v>
      </c>
      <c r="N60" s="7">
        <v>8.5</v>
      </c>
      <c r="O60" s="10">
        <v>0.35</v>
      </c>
      <c r="P60" s="9">
        <v>4.29</v>
      </c>
      <c r="Q60" s="7" t="s">
        <v>431</v>
      </c>
      <c r="R60" s="7">
        <v>39</v>
      </c>
      <c r="S60" s="10">
        <v>0.56000000000000005</v>
      </c>
      <c r="T60" s="10">
        <v>0.56000000000000005</v>
      </c>
      <c r="U60" s="7" t="s">
        <v>427</v>
      </c>
      <c r="V60" s="7">
        <v>27.78</v>
      </c>
      <c r="W60" s="9">
        <v>5.22</v>
      </c>
      <c r="X60" s="9">
        <v>5.99</v>
      </c>
      <c r="Y60" s="7" t="s">
        <v>432</v>
      </c>
      <c r="Z60" s="12">
        <v>57.41</v>
      </c>
      <c r="AA60" s="10">
        <v>2.64</v>
      </c>
      <c r="AB60" s="10">
        <v>4.24</v>
      </c>
      <c r="AC60" s="7" t="s">
        <v>433</v>
      </c>
      <c r="AD60" s="7">
        <v>4.28</v>
      </c>
      <c r="AE60" s="9">
        <v>8.08</v>
      </c>
      <c r="AF60" s="9">
        <v>12.33</v>
      </c>
      <c r="AG60" s="7" t="s">
        <v>434</v>
      </c>
      <c r="AH60" s="12">
        <v>3.74</v>
      </c>
      <c r="AI60" s="9">
        <v>7.78</v>
      </c>
      <c r="AJ60" s="9">
        <v>10</v>
      </c>
      <c r="AK60" s="7" t="s">
        <v>435</v>
      </c>
      <c r="AL60" s="7">
        <v>151.19999999999999</v>
      </c>
      <c r="AM60" s="10">
        <v>4.9400000000000004</v>
      </c>
      <c r="AN60" s="10">
        <v>0.67</v>
      </c>
    </row>
    <row r="61" spans="1:40" ht="18" x14ac:dyDescent="0.35">
      <c r="A61" s="8">
        <v>45551</v>
      </c>
      <c r="B61" s="7" t="s">
        <v>20</v>
      </c>
      <c r="C61" s="7" t="str">
        <f t="shared" si="0"/>
        <v>45551C</v>
      </c>
      <c r="D61" s="7" t="s">
        <v>228</v>
      </c>
      <c r="E61" s="7">
        <v>7.61</v>
      </c>
      <c r="F61" s="9">
        <v>33.36</v>
      </c>
      <c r="G61" s="7" t="s">
        <v>436</v>
      </c>
      <c r="H61" s="7">
        <v>7.1</v>
      </c>
      <c r="I61" s="9">
        <v>60.57</v>
      </c>
      <c r="J61" s="7" t="s">
        <v>437</v>
      </c>
      <c r="K61" s="7">
        <v>96.75</v>
      </c>
      <c r="L61" s="10">
        <v>13.14</v>
      </c>
      <c r="M61" s="7" t="s">
        <v>291</v>
      </c>
      <c r="N61" s="7">
        <v>8.1999999999999993</v>
      </c>
      <c r="O61" s="9">
        <v>3.52</v>
      </c>
      <c r="P61" s="10">
        <v>0.61</v>
      </c>
      <c r="Q61" s="7" t="s">
        <v>438</v>
      </c>
      <c r="R61" s="7">
        <v>38.17</v>
      </c>
      <c r="S61" s="10">
        <v>0.98</v>
      </c>
      <c r="T61" s="10">
        <v>1.57</v>
      </c>
      <c r="U61" s="7" t="s">
        <v>439</v>
      </c>
      <c r="V61" s="7">
        <v>25.9</v>
      </c>
      <c r="W61" s="10">
        <v>0.26</v>
      </c>
      <c r="X61" s="10">
        <v>1.18</v>
      </c>
      <c r="Y61" s="7" t="s">
        <v>250</v>
      </c>
      <c r="Z61" s="7">
        <v>57.4</v>
      </c>
      <c r="AA61" s="10">
        <v>0.59</v>
      </c>
      <c r="AB61" s="10">
        <v>4.2300000000000004</v>
      </c>
      <c r="AC61" s="7" t="s">
        <v>440</v>
      </c>
      <c r="AD61" s="7">
        <v>4.1399999999999997</v>
      </c>
      <c r="AE61" s="10">
        <v>0.48</v>
      </c>
      <c r="AF61" s="9">
        <v>8.66</v>
      </c>
      <c r="AG61" s="7" t="s">
        <v>441</v>
      </c>
      <c r="AH61" s="7">
        <v>3.46</v>
      </c>
      <c r="AI61" s="10">
        <v>0.28000000000000003</v>
      </c>
      <c r="AJ61" s="10">
        <v>1.76</v>
      </c>
      <c r="AK61" s="7" t="s">
        <v>442</v>
      </c>
      <c r="AL61" s="7">
        <v>146.5</v>
      </c>
      <c r="AM61" s="10">
        <v>0.04</v>
      </c>
      <c r="AN61" s="10">
        <v>3.76</v>
      </c>
    </row>
    <row r="62" spans="1:40" ht="18" x14ac:dyDescent="0.35">
      <c r="A62" s="8">
        <v>45552</v>
      </c>
      <c r="B62" s="7" t="s">
        <v>21</v>
      </c>
      <c r="C62" s="7" t="str">
        <f t="shared" si="0"/>
        <v>45552A</v>
      </c>
      <c r="D62" s="7" t="s">
        <v>443</v>
      </c>
      <c r="E62" s="7">
        <v>14.21</v>
      </c>
      <c r="F62" s="10">
        <v>0.85</v>
      </c>
      <c r="G62" s="7" t="s">
        <v>444</v>
      </c>
      <c r="H62" s="7">
        <v>15.93</v>
      </c>
      <c r="I62" s="9">
        <v>494.4</v>
      </c>
      <c r="J62" s="7" t="s">
        <v>445</v>
      </c>
      <c r="K62" s="7">
        <v>96.16</v>
      </c>
      <c r="L62" s="9">
        <v>28.45</v>
      </c>
      <c r="M62" s="7" t="s">
        <v>154</v>
      </c>
      <c r="N62" s="7">
        <v>8.02</v>
      </c>
      <c r="O62" s="10">
        <v>1.71</v>
      </c>
      <c r="P62" s="10">
        <v>1.59</v>
      </c>
      <c r="Q62" s="7" t="s">
        <v>345</v>
      </c>
      <c r="R62" s="7">
        <v>37.17</v>
      </c>
      <c r="S62" s="10">
        <v>3.55</v>
      </c>
      <c r="T62" s="10">
        <v>4.1500000000000004</v>
      </c>
      <c r="U62" s="7" t="s">
        <v>264</v>
      </c>
      <c r="V62" s="7">
        <v>27.38</v>
      </c>
      <c r="W62" s="10">
        <v>4.3</v>
      </c>
      <c r="X62" s="10">
        <v>4.46</v>
      </c>
      <c r="Y62" s="7" t="s">
        <v>446</v>
      </c>
      <c r="Z62" s="7">
        <v>56.15</v>
      </c>
      <c r="AA62" s="10">
        <v>1.68</v>
      </c>
      <c r="AB62" s="10">
        <v>1.96</v>
      </c>
      <c r="AC62" s="7" t="s">
        <v>447</v>
      </c>
      <c r="AD62" s="7">
        <v>4.1399999999999997</v>
      </c>
      <c r="AE62" s="10">
        <v>0.24</v>
      </c>
      <c r="AF62" s="9">
        <v>8.66</v>
      </c>
      <c r="AG62" s="7" t="s">
        <v>196</v>
      </c>
      <c r="AH62" s="7">
        <v>3.23</v>
      </c>
      <c r="AI62" s="10">
        <v>5.27</v>
      </c>
      <c r="AJ62" s="10">
        <v>4.99</v>
      </c>
      <c r="AK62" s="7" t="s">
        <v>448</v>
      </c>
      <c r="AL62" s="7">
        <v>140.5</v>
      </c>
      <c r="AM62" s="10">
        <v>4.21</v>
      </c>
      <c r="AN62" s="10">
        <v>7.7</v>
      </c>
    </row>
    <row r="63" spans="1:40" x14ac:dyDescent="0.3">
      <c r="A63" s="8">
        <v>45552</v>
      </c>
      <c r="B63" s="7" t="s">
        <v>19</v>
      </c>
      <c r="C63" s="7" t="str">
        <f t="shared" si="0"/>
        <v>45552B</v>
      </c>
      <c r="D63" s="7" t="s">
        <v>205</v>
      </c>
      <c r="E63" s="7">
        <v>16.16</v>
      </c>
      <c r="F63" s="9">
        <v>42.63</v>
      </c>
      <c r="G63" s="7" t="s">
        <v>70</v>
      </c>
      <c r="H63" s="7">
        <v>17</v>
      </c>
      <c r="I63" s="7"/>
      <c r="J63" s="7" t="s">
        <v>449</v>
      </c>
      <c r="K63" s="7">
        <v>90.3</v>
      </c>
      <c r="L63" s="10">
        <v>0.74</v>
      </c>
      <c r="M63" s="7" t="s">
        <v>450</v>
      </c>
      <c r="N63" s="7">
        <v>7.75</v>
      </c>
      <c r="O63" s="10">
        <v>2.2599999999999998</v>
      </c>
      <c r="P63" s="9">
        <v>4.9000000000000004</v>
      </c>
      <c r="Q63" s="7" t="s">
        <v>451</v>
      </c>
      <c r="R63" s="7">
        <v>38.71</v>
      </c>
      <c r="S63" s="10">
        <v>0.88</v>
      </c>
      <c r="T63" s="10">
        <v>0.18</v>
      </c>
      <c r="U63" s="7" t="s">
        <v>179</v>
      </c>
      <c r="V63" s="7">
        <v>25.94</v>
      </c>
      <c r="W63" s="10">
        <v>2.33</v>
      </c>
      <c r="X63" s="10">
        <v>1.03</v>
      </c>
      <c r="Y63" s="7" t="s">
        <v>172</v>
      </c>
      <c r="Z63" s="7">
        <v>56.01</v>
      </c>
      <c r="AA63" s="10">
        <v>0.44</v>
      </c>
      <c r="AB63" s="10">
        <v>1.7</v>
      </c>
      <c r="AC63" s="7" t="s">
        <v>293</v>
      </c>
      <c r="AD63" s="7">
        <v>3.81</v>
      </c>
      <c r="AE63" s="10">
        <v>5.45</v>
      </c>
      <c r="AF63" s="10">
        <v>0</v>
      </c>
      <c r="AG63" s="7" t="s">
        <v>118</v>
      </c>
      <c r="AH63" s="7">
        <v>3.19</v>
      </c>
      <c r="AI63" s="10">
        <v>4.7699999999999996</v>
      </c>
      <c r="AJ63" s="10">
        <v>6.17</v>
      </c>
      <c r="AK63" s="7" t="s">
        <v>452</v>
      </c>
      <c r="AL63" s="7">
        <v>148.13999999999999</v>
      </c>
      <c r="AM63" s="10">
        <v>1.4</v>
      </c>
      <c r="AN63" s="10">
        <v>2.68</v>
      </c>
    </row>
    <row r="64" spans="1:40" x14ac:dyDescent="0.3">
      <c r="A64" s="8">
        <v>45552</v>
      </c>
      <c r="B64" s="7" t="s">
        <v>20</v>
      </c>
      <c r="C64" s="7" t="str">
        <f t="shared" si="0"/>
        <v>45552C</v>
      </c>
      <c r="D64" s="7" t="s">
        <v>453</v>
      </c>
      <c r="E64" s="7">
        <v>20.32</v>
      </c>
      <c r="F64" s="10">
        <v>3.14</v>
      </c>
      <c r="G64" s="7" t="s">
        <v>70</v>
      </c>
      <c r="H64" s="7">
        <v>15.18</v>
      </c>
      <c r="I64" s="7"/>
      <c r="J64" s="7" t="s">
        <v>168</v>
      </c>
      <c r="K64" s="7">
        <v>86.96</v>
      </c>
      <c r="L64" s="9">
        <v>25.64</v>
      </c>
      <c r="M64" s="7" t="s">
        <v>454</v>
      </c>
      <c r="N64" s="7">
        <v>7.8</v>
      </c>
      <c r="O64" s="10">
        <v>0.25</v>
      </c>
      <c r="P64" s="9">
        <v>4.29</v>
      </c>
      <c r="Q64" s="7" t="s">
        <v>320</v>
      </c>
      <c r="R64" s="7">
        <v>39</v>
      </c>
      <c r="S64" s="10">
        <v>1.98</v>
      </c>
      <c r="T64" s="10">
        <v>0.56000000000000005</v>
      </c>
      <c r="U64" s="7" t="s">
        <v>455</v>
      </c>
      <c r="V64" s="7">
        <v>26.5</v>
      </c>
      <c r="W64" s="10">
        <v>0.03</v>
      </c>
      <c r="X64" s="10">
        <v>1.1000000000000001</v>
      </c>
      <c r="Y64" s="7" t="s">
        <v>456</v>
      </c>
      <c r="Z64" s="11">
        <v>56.01</v>
      </c>
      <c r="AA64" s="10">
        <v>0.17</v>
      </c>
      <c r="AB64" s="10">
        <v>1.7</v>
      </c>
      <c r="AC64" s="7" t="s">
        <v>195</v>
      </c>
      <c r="AD64" s="11">
        <v>3.81</v>
      </c>
      <c r="AE64" s="10">
        <v>1.32</v>
      </c>
      <c r="AF64" s="10">
        <v>0</v>
      </c>
      <c r="AG64" s="7" t="s">
        <v>457</v>
      </c>
      <c r="AH64" s="7">
        <v>3.2</v>
      </c>
      <c r="AI64" s="10">
        <v>2.4300000000000002</v>
      </c>
      <c r="AJ64" s="10">
        <v>5.88</v>
      </c>
      <c r="AK64" s="7" t="s">
        <v>458</v>
      </c>
      <c r="AL64" s="7">
        <v>152.5</v>
      </c>
      <c r="AM64" s="10">
        <v>2.5299999999999998</v>
      </c>
      <c r="AN64" s="10">
        <v>0.17</v>
      </c>
    </row>
    <row r="65" spans="1:40" x14ac:dyDescent="0.3">
      <c r="A65" s="8">
        <v>45553</v>
      </c>
      <c r="B65" s="7" t="s">
        <v>21</v>
      </c>
      <c r="C65" s="7" t="str">
        <f t="shared" si="0"/>
        <v>45553A</v>
      </c>
      <c r="D65" s="7" t="s">
        <v>459</v>
      </c>
      <c r="E65" s="7">
        <v>26.84</v>
      </c>
      <c r="F65" s="9">
        <v>11.13</v>
      </c>
      <c r="G65" s="7" t="s">
        <v>70</v>
      </c>
      <c r="H65" s="7">
        <v>15.51</v>
      </c>
      <c r="I65" s="7"/>
      <c r="J65" s="7" t="s">
        <v>460</v>
      </c>
      <c r="K65" s="7">
        <v>63.54</v>
      </c>
      <c r="L65" s="10">
        <v>15.5</v>
      </c>
      <c r="M65" s="7" t="s">
        <v>461</v>
      </c>
      <c r="N65" s="7">
        <v>8.07</v>
      </c>
      <c r="O65" s="10">
        <v>2.8</v>
      </c>
      <c r="P65" s="10">
        <v>0.98</v>
      </c>
      <c r="Q65" s="7" t="s">
        <v>462</v>
      </c>
      <c r="R65" s="7">
        <v>37.67</v>
      </c>
      <c r="S65" s="10">
        <v>1.51</v>
      </c>
      <c r="T65" s="10">
        <v>2.86</v>
      </c>
      <c r="U65" s="7" t="s">
        <v>109</v>
      </c>
      <c r="V65" s="7">
        <v>27.33</v>
      </c>
      <c r="W65" s="10">
        <v>3.01</v>
      </c>
      <c r="X65" s="10">
        <v>4.2699999999999996</v>
      </c>
      <c r="Y65" s="7" t="s">
        <v>463</v>
      </c>
      <c r="Z65" s="7">
        <v>54.87</v>
      </c>
      <c r="AA65" s="10">
        <v>1.68</v>
      </c>
      <c r="AB65" s="10">
        <v>0.36</v>
      </c>
      <c r="AC65" s="7" t="s">
        <v>374</v>
      </c>
      <c r="AD65" s="7">
        <v>3.81</v>
      </c>
      <c r="AE65" s="10">
        <v>1.6</v>
      </c>
      <c r="AF65" s="10">
        <v>0</v>
      </c>
      <c r="AG65" s="7" t="s">
        <v>464</v>
      </c>
      <c r="AH65" s="7">
        <v>3.48</v>
      </c>
      <c r="AI65" s="10">
        <v>6.74</v>
      </c>
      <c r="AJ65" s="10">
        <v>2.35</v>
      </c>
      <c r="AK65" s="7" t="s">
        <v>465</v>
      </c>
      <c r="AL65" s="7">
        <v>152.33000000000001</v>
      </c>
      <c r="AM65" s="10">
        <v>1.2</v>
      </c>
      <c r="AN65" s="10">
        <v>0.06</v>
      </c>
    </row>
    <row r="66" spans="1:40" x14ac:dyDescent="0.3">
      <c r="A66" s="8">
        <v>45553</v>
      </c>
      <c r="B66" s="7" t="s">
        <v>19</v>
      </c>
      <c r="C66" s="7" t="str">
        <f t="shared" si="0"/>
        <v>45553B</v>
      </c>
      <c r="D66" s="7" t="s">
        <v>466</v>
      </c>
      <c r="E66" s="7">
        <v>22.15</v>
      </c>
      <c r="F66" s="9">
        <v>67.040000000000006</v>
      </c>
      <c r="G66" s="7" t="s">
        <v>70</v>
      </c>
      <c r="H66" s="7">
        <v>13.13</v>
      </c>
      <c r="I66" s="7"/>
      <c r="J66" s="7" t="s">
        <v>343</v>
      </c>
      <c r="K66" s="7">
        <v>84.47</v>
      </c>
      <c r="L66" s="10">
        <v>23.98</v>
      </c>
      <c r="M66" s="7" t="s">
        <v>467</v>
      </c>
      <c r="N66" s="7">
        <v>8</v>
      </c>
      <c r="O66" s="10">
        <v>0.86</v>
      </c>
      <c r="P66" s="10">
        <v>1.84</v>
      </c>
      <c r="Q66" s="7" t="s">
        <v>468</v>
      </c>
      <c r="R66" s="7">
        <v>39</v>
      </c>
      <c r="S66" s="10">
        <v>0.46</v>
      </c>
      <c r="T66" s="10">
        <v>0.56000000000000005</v>
      </c>
      <c r="U66" s="7" t="s">
        <v>399</v>
      </c>
      <c r="V66" s="7">
        <v>28.05</v>
      </c>
      <c r="W66" s="9">
        <v>5.49</v>
      </c>
      <c r="X66" s="9">
        <v>7.02</v>
      </c>
      <c r="Y66" s="7" t="s">
        <v>469</v>
      </c>
      <c r="Z66" s="11">
        <v>56.21</v>
      </c>
      <c r="AA66" s="10">
        <v>2.1</v>
      </c>
      <c r="AB66" s="10">
        <v>2.0699999999999998</v>
      </c>
      <c r="AC66" s="7" t="s">
        <v>470</v>
      </c>
      <c r="AD66" s="7">
        <v>3.95</v>
      </c>
      <c r="AE66" s="10">
        <v>4.49</v>
      </c>
      <c r="AF66" s="10">
        <v>3.67</v>
      </c>
      <c r="AG66" s="7" t="s">
        <v>118</v>
      </c>
      <c r="AH66" s="12">
        <v>3.57</v>
      </c>
      <c r="AI66" s="10">
        <v>6.56</v>
      </c>
      <c r="AJ66" s="10">
        <v>4.99</v>
      </c>
      <c r="AK66" s="7" t="s">
        <v>471</v>
      </c>
      <c r="AL66" s="7">
        <v>143</v>
      </c>
      <c r="AM66" s="10">
        <v>6.08</v>
      </c>
      <c r="AN66" s="10">
        <v>6.06</v>
      </c>
    </row>
    <row r="67" spans="1:40" x14ac:dyDescent="0.3">
      <c r="A67" s="8">
        <v>45553</v>
      </c>
      <c r="B67" s="7" t="s">
        <v>20</v>
      </c>
      <c r="C67" s="7" t="str">
        <f t="shared" si="0"/>
        <v>45553C</v>
      </c>
      <c r="D67" s="7" t="s">
        <v>127</v>
      </c>
      <c r="E67" s="7">
        <v>7.5</v>
      </c>
      <c r="F67" s="9">
        <v>34.090000000000003</v>
      </c>
      <c r="G67" s="7" t="s">
        <v>70</v>
      </c>
      <c r="H67" s="7">
        <v>8.8800000000000008</v>
      </c>
      <c r="I67" s="7"/>
      <c r="J67" s="7" t="s">
        <v>128</v>
      </c>
      <c r="K67" s="7">
        <v>76.55</v>
      </c>
      <c r="L67" s="9">
        <v>31.09</v>
      </c>
      <c r="M67" s="7" t="s">
        <v>472</v>
      </c>
      <c r="N67" s="7">
        <v>8.6</v>
      </c>
      <c r="O67" s="10">
        <v>2.0099999999999998</v>
      </c>
      <c r="P67" s="9">
        <v>5.52</v>
      </c>
      <c r="Q67" s="7" t="s">
        <v>114</v>
      </c>
      <c r="R67" s="7">
        <v>39.43</v>
      </c>
      <c r="S67" s="10">
        <v>1.85</v>
      </c>
      <c r="T67" s="10">
        <v>1.67</v>
      </c>
      <c r="U67" s="7" t="s">
        <v>179</v>
      </c>
      <c r="V67" s="7">
        <v>27.38</v>
      </c>
      <c r="W67" s="10">
        <v>3.08</v>
      </c>
      <c r="X67" s="10">
        <v>4.46</v>
      </c>
      <c r="Y67" s="7" t="s">
        <v>473</v>
      </c>
      <c r="Z67" s="7">
        <v>56.21</v>
      </c>
      <c r="AA67" s="10">
        <v>0.19</v>
      </c>
      <c r="AB67" s="10">
        <v>2.0699999999999998</v>
      </c>
      <c r="AC67" s="7" t="s">
        <v>378</v>
      </c>
      <c r="AD67" s="7">
        <v>3.78</v>
      </c>
      <c r="AE67" s="10">
        <v>2.0699999999999998</v>
      </c>
      <c r="AF67" s="10">
        <v>0.78</v>
      </c>
      <c r="AG67" s="7" t="s">
        <v>150</v>
      </c>
      <c r="AH67" s="12">
        <v>3.65</v>
      </c>
      <c r="AI67" s="10">
        <v>6.72</v>
      </c>
      <c r="AJ67" s="9">
        <v>7.35</v>
      </c>
      <c r="AK67" s="7" t="s">
        <v>474</v>
      </c>
      <c r="AL67" s="7">
        <v>152.86000000000001</v>
      </c>
      <c r="AM67" s="10">
        <v>2.92</v>
      </c>
      <c r="AN67" s="10">
        <v>0.41</v>
      </c>
    </row>
    <row r="68" spans="1:40" x14ac:dyDescent="0.3">
      <c r="A68" s="7" t="s">
        <v>475</v>
      </c>
      <c r="B68" s="7"/>
      <c r="C68" s="7" t="str">
        <f t="shared" si="0"/>
        <v>RMSE</v>
      </c>
      <c r="D68" s="7">
        <v>5.0999999999999996</v>
      </c>
      <c r="E68" s="7"/>
      <c r="F68" s="7"/>
      <c r="G68" s="7">
        <v>10.37</v>
      </c>
      <c r="H68" s="7"/>
      <c r="I68" s="7"/>
      <c r="J68" s="7">
        <v>22.32</v>
      </c>
      <c r="K68" s="7"/>
      <c r="L68" s="7"/>
      <c r="M68" s="7">
        <v>0.23</v>
      </c>
      <c r="N68" s="7"/>
      <c r="O68" s="7"/>
      <c r="P68" s="7"/>
      <c r="Q68" s="7">
        <v>1.21</v>
      </c>
      <c r="R68" s="7"/>
      <c r="S68" s="7"/>
      <c r="T68" s="7"/>
      <c r="U68" s="7">
        <v>0.93</v>
      </c>
      <c r="V68" s="7"/>
      <c r="W68" s="7"/>
      <c r="X68" s="7"/>
      <c r="Y68" s="7">
        <v>0.84</v>
      </c>
      <c r="Z68" s="7"/>
      <c r="AA68" s="7"/>
      <c r="AB68" s="7"/>
      <c r="AC68" s="7">
        <v>0.14000000000000001</v>
      </c>
      <c r="AD68" s="7"/>
      <c r="AE68" s="7"/>
      <c r="AF68" s="7"/>
      <c r="AG68" s="7">
        <v>0.14000000000000001</v>
      </c>
      <c r="AH68" s="7"/>
      <c r="AI68" s="7"/>
      <c r="AJ68" s="7"/>
      <c r="AK68" s="7">
        <v>6.27</v>
      </c>
      <c r="AL68" s="7"/>
      <c r="AM68" s="7"/>
      <c r="AN68" s="7"/>
    </row>
    <row r="69" spans="1:40" x14ac:dyDescent="0.3">
      <c r="A69" s="7" t="s">
        <v>476</v>
      </c>
      <c r="B69" s="7"/>
      <c r="C69" s="7" t="str">
        <f t="shared" si="0"/>
        <v>Std. Dev</v>
      </c>
      <c r="D69" s="7">
        <v>2.98</v>
      </c>
      <c r="E69" s="7">
        <v>4.16</v>
      </c>
      <c r="F69" s="7"/>
      <c r="G69" s="7">
        <v>6.22</v>
      </c>
      <c r="H69" s="7">
        <v>7.21</v>
      </c>
      <c r="I69" s="7"/>
      <c r="J69" s="7">
        <v>14.77</v>
      </c>
      <c r="K69" s="7">
        <v>12.74</v>
      </c>
      <c r="L69" s="7"/>
      <c r="M69" s="7">
        <v>0.24</v>
      </c>
      <c r="N69" s="7">
        <v>0.27</v>
      </c>
      <c r="O69" s="7"/>
      <c r="P69" s="7"/>
      <c r="Q69" s="7">
        <v>0.18</v>
      </c>
      <c r="R69" s="7">
        <v>1.17</v>
      </c>
      <c r="S69" s="7"/>
      <c r="T69" s="7"/>
      <c r="U69" s="7">
        <v>0.22</v>
      </c>
      <c r="V69" s="7">
        <v>0.89</v>
      </c>
      <c r="W69" s="7"/>
      <c r="X69" s="7"/>
      <c r="Y69" s="7">
        <v>0.75</v>
      </c>
      <c r="Z69" s="7">
        <v>0.94</v>
      </c>
      <c r="AA69" s="7"/>
      <c r="AB69" s="7"/>
      <c r="AC69" s="7">
        <v>0.18</v>
      </c>
      <c r="AD69" s="7">
        <v>0.22</v>
      </c>
      <c r="AE69" s="7"/>
      <c r="AF69" s="7"/>
      <c r="AG69" s="7">
        <v>7.0000000000000007E-2</v>
      </c>
      <c r="AH69" s="7">
        <v>0.15</v>
      </c>
      <c r="AI69" s="7"/>
      <c r="AJ69" s="7"/>
      <c r="AK69" s="7">
        <v>2.4700000000000002</v>
      </c>
      <c r="AL69" s="7">
        <v>5.74</v>
      </c>
      <c r="AM69" s="7"/>
      <c r="AN69" s="7"/>
    </row>
  </sheetData>
  <mergeCells count="12">
    <mergeCell ref="AK2:AN2"/>
    <mergeCell ref="A2:A3"/>
    <mergeCell ref="B2:B3"/>
    <mergeCell ref="D2:F2"/>
    <mergeCell ref="G2:I2"/>
    <mergeCell ref="J2:L2"/>
    <mergeCell ref="M2:P2"/>
    <mergeCell ref="Q2:T2"/>
    <mergeCell ref="U2:X2"/>
    <mergeCell ref="Y2:AB2"/>
    <mergeCell ref="AC2:AF2"/>
    <mergeCell ref="AG2:A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750D9-68CF-4734-A52E-A584C5CA89E0}">
  <dimension ref="A1:C48"/>
  <sheetViews>
    <sheetView workbookViewId="0">
      <selection activeCell="B10" sqref="A1:C48"/>
    </sheetView>
  </sheetViews>
  <sheetFormatPr defaultRowHeight="14.4" x14ac:dyDescent="0.3"/>
  <sheetData>
    <row r="1" spans="1:3" x14ac:dyDescent="0.3">
      <c r="A1" t="s">
        <v>477</v>
      </c>
      <c r="B1">
        <v>5</v>
      </c>
      <c r="C1">
        <v>5.15</v>
      </c>
    </row>
    <row r="2" spans="1:3" x14ac:dyDescent="0.3">
      <c r="A2" t="s">
        <v>478</v>
      </c>
      <c r="B2">
        <v>8.99</v>
      </c>
      <c r="C2">
        <v>8.1</v>
      </c>
    </row>
    <row r="3" spans="1:3" x14ac:dyDescent="0.3">
      <c r="A3" t="s">
        <v>479</v>
      </c>
      <c r="B3">
        <v>14.43</v>
      </c>
      <c r="C3">
        <v>13.63</v>
      </c>
    </row>
    <row r="4" spans="1:3" x14ac:dyDescent="0.3">
      <c r="A4" t="s">
        <v>480</v>
      </c>
      <c r="B4">
        <v>11.03</v>
      </c>
      <c r="C4">
        <v>12.1</v>
      </c>
    </row>
    <row r="5" spans="1:3" x14ac:dyDescent="0.3">
      <c r="A5" t="s">
        <v>481</v>
      </c>
      <c r="B5">
        <v>7.48</v>
      </c>
      <c r="C5">
        <v>7.56</v>
      </c>
    </row>
    <row r="6" spans="1:3" x14ac:dyDescent="0.3">
      <c r="A6" t="s">
        <v>482</v>
      </c>
      <c r="B6">
        <v>25</v>
      </c>
      <c r="C6">
        <v>25.85</v>
      </c>
    </row>
    <row r="7" spans="1:3" x14ac:dyDescent="0.3">
      <c r="A7" t="s">
        <v>483</v>
      </c>
      <c r="B7">
        <v>18</v>
      </c>
      <c r="C7">
        <v>18.72</v>
      </c>
    </row>
    <row r="8" spans="1:3" x14ac:dyDescent="0.3">
      <c r="A8" t="s">
        <v>484</v>
      </c>
      <c r="B8">
        <v>13.39</v>
      </c>
      <c r="C8">
        <v>14.55</v>
      </c>
    </row>
    <row r="9" spans="1:3" x14ac:dyDescent="0.3">
      <c r="A9" t="s">
        <v>485</v>
      </c>
      <c r="B9">
        <v>7.35</v>
      </c>
      <c r="C9">
        <v>7.98</v>
      </c>
    </row>
    <row r="10" spans="1:3" x14ac:dyDescent="0.3">
      <c r="A10" t="s">
        <v>486</v>
      </c>
      <c r="B10">
        <v>16.239999999999998</v>
      </c>
      <c r="C10">
        <v>15.88</v>
      </c>
    </row>
    <row r="11" spans="1:3" x14ac:dyDescent="0.3">
      <c r="A11" t="s">
        <v>487</v>
      </c>
      <c r="B11">
        <v>21.21</v>
      </c>
      <c r="C11">
        <v>22.16</v>
      </c>
    </row>
    <row r="12" spans="1:3" x14ac:dyDescent="0.3">
      <c r="A12" t="s">
        <v>488</v>
      </c>
      <c r="B12">
        <v>22.73</v>
      </c>
      <c r="C12">
        <v>23.31</v>
      </c>
    </row>
    <row r="13" spans="1:3" x14ac:dyDescent="0.3">
      <c r="A13" t="s">
        <v>489</v>
      </c>
      <c r="B13">
        <v>12.3</v>
      </c>
      <c r="C13">
        <v>13.68</v>
      </c>
    </row>
    <row r="14" spans="1:3" x14ac:dyDescent="0.3">
      <c r="A14" t="s">
        <v>490</v>
      </c>
      <c r="B14">
        <v>13.49</v>
      </c>
      <c r="C14">
        <v>14.4</v>
      </c>
    </row>
    <row r="15" spans="1:3" x14ac:dyDescent="0.3">
      <c r="A15" t="s">
        <v>491</v>
      </c>
      <c r="B15">
        <v>7</v>
      </c>
      <c r="C15">
        <v>7.75</v>
      </c>
    </row>
    <row r="16" spans="1:3" x14ac:dyDescent="0.3">
      <c r="A16" t="s">
        <v>492</v>
      </c>
      <c r="B16">
        <v>13.68</v>
      </c>
      <c r="C16">
        <v>12.68</v>
      </c>
    </row>
    <row r="17" spans="1:3" x14ac:dyDescent="0.3">
      <c r="A17" t="s">
        <v>493</v>
      </c>
      <c r="B17">
        <v>7</v>
      </c>
      <c r="C17">
        <v>12.95</v>
      </c>
    </row>
    <row r="18" spans="1:3" x14ac:dyDescent="0.3">
      <c r="A18" t="s">
        <v>494</v>
      </c>
      <c r="B18">
        <v>19.739999999999998</v>
      </c>
      <c r="C18">
        <v>20.05</v>
      </c>
    </row>
    <row r="19" spans="1:3" x14ac:dyDescent="0.3">
      <c r="A19" t="s">
        <v>495</v>
      </c>
      <c r="B19">
        <v>16.28</v>
      </c>
      <c r="C19">
        <v>16.7</v>
      </c>
    </row>
    <row r="20" spans="1:3" x14ac:dyDescent="0.3">
      <c r="A20" t="s">
        <v>496</v>
      </c>
      <c r="B20">
        <v>11.87</v>
      </c>
      <c r="C20">
        <v>12.17</v>
      </c>
    </row>
    <row r="21" spans="1:3" x14ac:dyDescent="0.3">
      <c r="A21" t="s">
        <v>497</v>
      </c>
      <c r="B21">
        <v>10.14</v>
      </c>
      <c r="C21">
        <v>11.37</v>
      </c>
    </row>
    <row r="22" spans="1:3" x14ac:dyDescent="0.3">
      <c r="A22" t="s">
        <v>498</v>
      </c>
      <c r="B22">
        <v>15.97</v>
      </c>
      <c r="C22">
        <v>15.74</v>
      </c>
    </row>
    <row r="23" spans="1:3" x14ac:dyDescent="0.3">
      <c r="A23" t="s">
        <v>499</v>
      </c>
      <c r="B23">
        <v>14.06</v>
      </c>
      <c r="C23">
        <v>14.5</v>
      </c>
    </row>
    <row r="24" spans="1:3" x14ac:dyDescent="0.3">
      <c r="A24" t="s">
        <v>500</v>
      </c>
      <c r="B24">
        <v>20.32</v>
      </c>
      <c r="C24">
        <v>19.989999999999998</v>
      </c>
    </row>
    <row r="25" spans="1:3" x14ac:dyDescent="0.3">
      <c r="A25" t="s">
        <v>501</v>
      </c>
      <c r="B25">
        <v>15.82</v>
      </c>
      <c r="C25">
        <v>16.79</v>
      </c>
    </row>
    <row r="26" spans="1:3" x14ac:dyDescent="0.3">
      <c r="A26" t="s">
        <v>502</v>
      </c>
      <c r="B26">
        <v>21.51</v>
      </c>
      <c r="C26">
        <v>20.84</v>
      </c>
    </row>
    <row r="27" spans="1:3" x14ac:dyDescent="0.3">
      <c r="A27" t="s">
        <v>503</v>
      </c>
      <c r="B27">
        <v>14.65</v>
      </c>
      <c r="C27">
        <v>14.69</v>
      </c>
    </row>
    <row r="28" spans="1:3" x14ac:dyDescent="0.3">
      <c r="A28" t="s">
        <v>504</v>
      </c>
      <c r="B28">
        <v>9.4600000000000009</v>
      </c>
      <c r="C28">
        <v>10.19</v>
      </c>
    </row>
    <row r="29" spans="1:3" x14ac:dyDescent="0.3">
      <c r="A29" t="s">
        <v>505</v>
      </c>
      <c r="B29">
        <v>14.04</v>
      </c>
      <c r="C29">
        <v>14.23</v>
      </c>
    </row>
    <row r="30" spans="1:3" x14ac:dyDescent="0.3">
      <c r="A30" t="s">
        <v>506</v>
      </c>
      <c r="B30">
        <v>20.399999999999999</v>
      </c>
      <c r="C30">
        <v>20.02</v>
      </c>
    </row>
    <row r="31" spans="1:3" x14ac:dyDescent="0.3">
      <c r="A31" t="s">
        <v>507</v>
      </c>
      <c r="B31">
        <v>10.42</v>
      </c>
      <c r="C31">
        <v>13.37</v>
      </c>
    </row>
    <row r="32" spans="1:3" x14ac:dyDescent="0.3">
      <c r="A32" t="s">
        <v>508</v>
      </c>
      <c r="B32">
        <v>15.34</v>
      </c>
      <c r="C32">
        <v>16.5</v>
      </c>
    </row>
    <row r="33" spans="1:3" x14ac:dyDescent="0.3">
      <c r="A33" t="s">
        <v>509</v>
      </c>
      <c r="B33">
        <v>8.6</v>
      </c>
      <c r="C33">
        <v>9.3800000000000008</v>
      </c>
    </row>
    <row r="34" spans="1:3" x14ac:dyDescent="0.3">
      <c r="A34" t="s">
        <v>510</v>
      </c>
      <c r="B34">
        <v>18.989999999999998</v>
      </c>
      <c r="C34">
        <v>17.43</v>
      </c>
    </row>
    <row r="35" spans="1:3" x14ac:dyDescent="0.3">
      <c r="A35" t="s">
        <v>511</v>
      </c>
      <c r="B35">
        <v>17.32</v>
      </c>
      <c r="C35">
        <v>17.5</v>
      </c>
    </row>
    <row r="36" spans="1:3" x14ac:dyDescent="0.3">
      <c r="A36" t="s">
        <v>512</v>
      </c>
      <c r="B36">
        <v>17.88</v>
      </c>
      <c r="C36">
        <v>20.72</v>
      </c>
    </row>
    <row r="37" spans="1:3" x14ac:dyDescent="0.3">
      <c r="A37" t="s">
        <v>513</v>
      </c>
      <c r="B37">
        <v>14.13</v>
      </c>
      <c r="C37">
        <v>16.170000000000002</v>
      </c>
    </row>
    <row r="38" spans="1:3" x14ac:dyDescent="0.3">
      <c r="A38" t="s">
        <v>514</v>
      </c>
      <c r="B38">
        <v>22.68</v>
      </c>
      <c r="C38">
        <v>23.05</v>
      </c>
    </row>
    <row r="39" spans="1:3" x14ac:dyDescent="0.3">
      <c r="A39" t="s">
        <v>515</v>
      </c>
      <c r="B39">
        <v>13.94</v>
      </c>
      <c r="C39">
        <v>13.91</v>
      </c>
    </row>
    <row r="40" spans="1:3" x14ac:dyDescent="0.3">
      <c r="A40" t="s">
        <v>516</v>
      </c>
      <c r="B40">
        <v>13.72</v>
      </c>
      <c r="C40">
        <v>13.73</v>
      </c>
    </row>
    <row r="41" spans="1:3" x14ac:dyDescent="0.3">
      <c r="A41" t="s">
        <v>517</v>
      </c>
      <c r="B41">
        <v>10.5</v>
      </c>
      <c r="C41">
        <v>10.97</v>
      </c>
    </row>
    <row r="42" spans="1:3" x14ac:dyDescent="0.3">
      <c r="A42" t="s">
        <v>518</v>
      </c>
      <c r="B42">
        <v>14.66</v>
      </c>
      <c r="C42">
        <v>15.1</v>
      </c>
    </row>
    <row r="43" spans="1:3" x14ac:dyDescent="0.3">
      <c r="A43" t="s">
        <v>519</v>
      </c>
      <c r="B43">
        <v>15.72</v>
      </c>
      <c r="C43">
        <v>16.93</v>
      </c>
    </row>
    <row r="44" spans="1:3" x14ac:dyDescent="0.3">
      <c r="A44" t="s">
        <v>520</v>
      </c>
      <c r="B44">
        <v>22.77</v>
      </c>
      <c r="C44">
        <v>20.83</v>
      </c>
    </row>
    <row r="45" spans="1:3" x14ac:dyDescent="0.3">
      <c r="A45" t="s">
        <v>521</v>
      </c>
      <c r="B45">
        <v>16.97</v>
      </c>
      <c r="C45">
        <v>15.81</v>
      </c>
    </row>
    <row r="46" spans="1:3" x14ac:dyDescent="0.3">
      <c r="A46" t="s">
        <v>522</v>
      </c>
      <c r="B46">
        <v>14.26</v>
      </c>
      <c r="C46">
        <v>15.33</v>
      </c>
    </row>
    <row r="47" spans="1:3" x14ac:dyDescent="0.3">
      <c r="A47" t="s">
        <v>475</v>
      </c>
      <c r="B47">
        <v>1.36</v>
      </c>
    </row>
    <row r="48" spans="1:3" x14ac:dyDescent="0.3">
      <c r="A48" t="s">
        <v>523</v>
      </c>
      <c r="B48">
        <v>4.82</v>
      </c>
      <c r="C48">
        <v>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Sheet4</vt:lpstr>
      <vt:lpstr>Sheet2</vt:lpstr>
      <vt:lpstr>Sheet3</vt:lpstr>
      <vt:lpstr>fff</vt:lpstr>
      <vt:lpstr>ggg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v</cp:lastModifiedBy>
  <dcterms:created xsi:type="dcterms:W3CDTF">2024-09-21T14:29:44Z</dcterms:created>
  <dcterms:modified xsi:type="dcterms:W3CDTF">2024-09-22T12:56:39Z</dcterms:modified>
</cp:coreProperties>
</file>