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 Area\workspace\sadmix code\Sand mix Final\Analysis\Cadillac\"/>
    </mc:Choice>
  </mc:AlternateContent>
  <xr:revisionPtr revIDLastSave="0" documentId="13_ncr:1_{098E09D0-2513-4813-83C4-938599EFF2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  <sheet name="Sheet4" sheetId="4" r:id="rId3"/>
  </sheets>
  <definedNames>
    <definedName name="fff">Sheet4!$C$5:$E$52</definedName>
    <definedName name="ggg">Sheet3!$C$7:$AN$69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7" i="1" l="1"/>
  <c r="V67" i="1"/>
  <c r="W6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V22" i="1"/>
  <c r="W22" i="1"/>
  <c r="V23" i="1"/>
  <c r="W23" i="1"/>
  <c r="V24" i="1"/>
  <c r="W24" i="1"/>
  <c r="V25" i="1"/>
  <c r="W25" i="1"/>
  <c r="V26" i="1"/>
  <c r="W26" i="1"/>
  <c r="V27" i="1"/>
  <c r="W27" i="1"/>
  <c r="V28" i="1"/>
  <c r="W28" i="1"/>
  <c r="V29" i="1"/>
  <c r="W29" i="1"/>
  <c r="V30" i="1"/>
  <c r="W30" i="1"/>
  <c r="V31" i="1"/>
  <c r="W31" i="1"/>
  <c r="V32" i="1"/>
  <c r="W32" i="1"/>
  <c r="V33" i="1"/>
  <c r="W33" i="1"/>
  <c r="V34" i="1"/>
  <c r="W34" i="1"/>
  <c r="V35" i="1"/>
  <c r="W35" i="1"/>
  <c r="V36" i="1"/>
  <c r="W36" i="1"/>
  <c r="V37" i="1"/>
  <c r="W37" i="1"/>
  <c r="V38" i="1"/>
  <c r="W38" i="1"/>
  <c r="V39" i="1"/>
  <c r="W39" i="1"/>
  <c r="V40" i="1"/>
  <c r="W40" i="1"/>
  <c r="V41" i="1"/>
  <c r="W41" i="1"/>
  <c r="V42" i="1"/>
  <c r="W42" i="1"/>
  <c r="V43" i="1"/>
  <c r="W43" i="1"/>
  <c r="V44" i="1"/>
  <c r="W44" i="1"/>
  <c r="V45" i="1"/>
  <c r="W45" i="1"/>
  <c r="V46" i="1"/>
  <c r="W46" i="1"/>
  <c r="V47" i="1"/>
  <c r="W47" i="1"/>
  <c r="V48" i="1"/>
  <c r="W48" i="1"/>
  <c r="V49" i="1"/>
  <c r="W49" i="1"/>
  <c r="V50" i="1"/>
  <c r="W50" i="1"/>
  <c r="V51" i="1"/>
  <c r="W51" i="1"/>
  <c r="V52" i="1"/>
  <c r="W52" i="1"/>
  <c r="V53" i="1"/>
  <c r="W53" i="1"/>
  <c r="V54" i="1"/>
  <c r="W54" i="1"/>
  <c r="V55" i="1"/>
  <c r="W55" i="1"/>
  <c r="V56" i="1"/>
  <c r="W56" i="1"/>
  <c r="V57" i="1"/>
  <c r="W57" i="1"/>
  <c r="V58" i="1"/>
  <c r="W58" i="1"/>
  <c r="V59" i="1"/>
  <c r="W59" i="1"/>
  <c r="V60" i="1"/>
  <c r="W60" i="1"/>
  <c r="V61" i="1"/>
  <c r="W61" i="1"/>
  <c r="V62" i="1"/>
  <c r="W62" i="1"/>
  <c r="V63" i="1"/>
  <c r="W63" i="1"/>
  <c r="V64" i="1"/>
  <c r="W64" i="1"/>
  <c r="V65" i="1"/>
  <c r="W65" i="1"/>
  <c r="V66" i="1"/>
  <c r="W66" i="1"/>
  <c r="W7" i="1"/>
  <c r="V7" i="1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" i="4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7" i="1"/>
  <c r="X8" i="1"/>
  <c r="Y8" i="1"/>
  <c r="Z8" i="1"/>
  <c r="AA8" i="1"/>
  <c r="X9" i="1"/>
  <c r="Y9" i="1"/>
  <c r="Z9" i="1"/>
  <c r="AA9" i="1"/>
  <c r="X10" i="1"/>
  <c r="Y10" i="1"/>
  <c r="Z10" i="1"/>
  <c r="AA10" i="1"/>
  <c r="X11" i="1"/>
  <c r="Y11" i="1"/>
  <c r="Z11" i="1"/>
  <c r="AA11" i="1"/>
  <c r="X12" i="1"/>
  <c r="Y12" i="1"/>
  <c r="Z12" i="1"/>
  <c r="AA12" i="1"/>
  <c r="X13" i="1"/>
  <c r="Y13" i="1"/>
  <c r="Z13" i="1"/>
  <c r="AA13" i="1"/>
  <c r="X14" i="1"/>
  <c r="Y14" i="1"/>
  <c r="Z14" i="1"/>
  <c r="AA14" i="1"/>
  <c r="X15" i="1"/>
  <c r="Y15" i="1"/>
  <c r="Z15" i="1"/>
  <c r="AA15" i="1"/>
  <c r="X16" i="1"/>
  <c r="Y16" i="1"/>
  <c r="Z16" i="1"/>
  <c r="AA16" i="1"/>
  <c r="X17" i="1"/>
  <c r="Y17" i="1"/>
  <c r="Z17" i="1"/>
  <c r="AA17" i="1"/>
  <c r="X18" i="1"/>
  <c r="Y18" i="1"/>
  <c r="Z18" i="1"/>
  <c r="AA18" i="1"/>
  <c r="X19" i="1"/>
  <c r="Y19" i="1"/>
  <c r="Z19" i="1"/>
  <c r="AA19" i="1"/>
  <c r="X20" i="1"/>
  <c r="Y20" i="1"/>
  <c r="Z20" i="1"/>
  <c r="AA20" i="1"/>
  <c r="X21" i="1"/>
  <c r="Y21" i="1"/>
  <c r="Z21" i="1"/>
  <c r="AA21" i="1"/>
  <c r="X22" i="1"/>
  <c r="Y22" i="1"/>
  <c r="Z22" i="1"/>
  <c r="AA22" i="1"/>
  <c r="X23" i="1"/>
  <c r="Y23" i="1"/>
  <c r="Z23" i="1"/>
  <c r="AA23" i="1"/>
  <c r="X24" i="1"/>
  <c r="Y24" i="1"/>
  <c r="Z24" i="1"/>
  <c r="AA24" i="1"/>
  <c r="X25" i="1"/>
  <c r="Y25" i="1"/>
  <c r="Z25" i="1"/>
  <c r="AA25" i="1"/>
  <c r="X26" i="1"/>
  <c r="Y26" i="1"/>
  <c r="Z26" i="1"/>
  <c r="AA26" i="1"/>
  <c r="X27" i="1"/>
  <c r="Y27" i="1"/>
  <c r="Z27" i="1"/>
  <c r="AA27" i="1"/>
  <c r="X28" i="1"/>
  <c r="Y28" i="1"/>
  <c r="Z28" i="1"/>
  <c r="AA28" i="1"/>
  <c r="X29" i="1"/>
  <c r="Y29" i="1"/>
  <c r="Z29" i="1"/>
  <c r="AA29" i="1"/>
  <c r="X30" i="1"/>
  <c r="Y30" i="1"/>
  <c r="Z30" i="1"/>
  <c r="AA30" i="1"/>
  <c r="X31" i="1"/>
  <c r="Y31" i="1"/>
  <c r="Z31" i="1"/>
  <c r="AA31" i="1"/>
  <c r="X32" i="1"/>
  <c r="Y32" i="1"/>
  <c r="Z32" i="1"/>
  <c r="AA32" i="1"/>
  <c r="X33" i="1"/>
  <c r="Y33" i="1"/>
  <c r="Z33" i="1"/>
  <c r="AA33" i="1"/>
  <c r="X34" i="1"/>
  <c r="Y34" i="1"/>
  <c r="Z34" i="1"/>
  <c r="AA34" i="1"/>
  <c r="X35" i="1"/>
  <c r="Y35" i="1"/>
  <c r="Z35" i="1"/>
  <c r="AA35" i="1"/>
  <c r="X36" i="1"/>
  <c r="Y36" i="1"/>
  <c r="Z36" i="1"/>
  <c r="AA36" i="1"/>
  <c r="X37" i="1"/>
  <c r="Y37" i="1"/>
  <c r="Z37" i="1"/>
  <c r="AA37" i="1"/>
  <c r="X38" i="1"/>
  <c r="Y38" i="1"/>
  <c r="Z38" i="1"/>
  <c r="AA38" i="1"/>
  <c r="X39" i="1"/>
  <c r="Y39" i="1"/>
  <c r="Z39" i="1"/>
  <c r="AA39" i="1"/>
  <c r="X40" i="1"/>
  <c r="Y40" i="1"/>
  <c r="Z40" i="1"/>
  <c r="AA40" i="1"/>
  <c r="X41" i="1"/>
  <c r="Y41" i="1"/>
  <c r="Z41" i="1"/>
  <c r="AA41" i="1"/>
  <c r="X42" i="1"/>
  <c r="Y42" i="1"/>
  <c r="Z42" i="1"/>
  <c r="AA42" i="1"/>
  <c r="X43" i="1"/>
  <c r="Y43" i="1"/>
  <c r="Z43" i="1"/>
  <c r="AA43" i="1"/>
  <c r="X44" i="1"/>
  <c r="Y44" i="1"/>
  <c r="Z44" i="1"/>
  <c r="AA44" i="1"/>
  <c r="X45" i="1"/>
  <c r="Y45" i="1"/>
  <c r="Z45" i="1"/>
  <c r="AA45" i="1"/>
  <c r="X46" i="1"/>
  <c r="Y46" i="1"/>
  <c r="Z46" i="1"/>
  <c r="AA46" i="1"/>
  <c r="X47" i="1"/>
  <c r="Y47" i="1"/>
  <c r="Z47" i="1"/>
  <c r="AA47" i="1"/>
  <c r="X48" i="1"/>
  <c r="Y48" i="1"/>
  <c r="Z48" i="1"/>
  <c r="AA48" i="1"/>
  <c r="X49" i="1"/>
  <c r="Y49" i="1"/>
  <c r="Z49" i="1"/>
  <c r="AA49" i="1"/>
  <c r="X50" i="1"/>
  <c r="Y50" i="1"/>
  <c r="Z50" i="1"/>
  <c r="AA50" i="1"/>
  <c r="X51" i="1"/>
  <c r="Y51" i="1"/>
  <c r="Z51" i="1"/>
  <c r="AA51" i="1"/>
  <c r="X52" i="1"/>
  <c r="Y52" i="1"/>
  <c r="Z52" i="1"/>
  <c r="AA52" i="1"/>
  <c r="X53" i="1"/>
  <c r="Y53" i="1"/>
  <c r="Z53" i="1"/>
  <c r="AA53" i="1"/>
  <c r="X54" i="1"/>
  <c r="Y54" i="1"/>
  <c r="Z54" i="1"/>
  <c r="AA54" i="1"/>
  <c r="X55" i="1"/>
  <c r="Y55" i="1"/>
  <c r="Z55" i="1"/>
  <c r="AA55" i="1"/>
  <c r="X56" i="1"/>
  <c r="Y56" i="1"/>
  <c r="Z56" i="1"/>
  <c r="AA56" i="1"/>
  <c r="X57" i="1"/>
  <c r="Y57" i="1"/>
  <c r="Z57" i="1"/>
  <c r="AA57" i="1"/>
  <c r="X58" i="1"/>
  <c r="Y58" i="1"/>
  <c r="Z58" i="1"/>
  <c r="AA58" i="1"/>
  <c r="X59" i="1"/>
  <c r="Y59" i="1"/>
  <c r="Z59" i="1"/>
  <c r="AA59" i="1"/>
  <c r="X60" i="1"/>
  <c r="Y60" i="1"/>
  <c r="Z60" i="1"/>
  <c r="AA60" i="1"/>
  <c r="X61" i="1"/>
  <c r="Y61" i="1"/>
  <c r="Z61" i="1"/>
  <c r="AA61" i="1"/>
  <c r="X62" i="1"/>
  <c r="Y62" i="1"/>
  <c r="Z62" i="1"/>
  <c r="AA62" i="1"/>
  <c r="X63" i="1"/>
  <c r="Y63" i="1"/>
  <c r="Z63" i="1"/>
  <c r="AA63" i="1"/>
  <c r="X64" i="1"/>
  <c r="Y64" i="1"/>
  <c r="Z64" i="1"/>
  <c r="AA64" i="1"/>
  <c r="X65" i="1"/>
  <c r="Y65" i="1"/>
  <c r="Z65" i="1"/>
  <c r="AA65" i="1"/>
  <c r="X66" i="1"/>
  <c r="Y66" i="1"/>
  <c r="Z66" i="1"/>
  <c r="AA66" i="1"/>
  <c r="Y7" i="1"/>
  <c r="Z7" i="1"/>
  <c r="AA7" i="1"/>
  <c r="X7" i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" i="3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7" i="1"/>
  <c r="AO8" i="1"/>
  <c r="AP8" i="1"/>
  <c r="AO9" i="1"/>
  <c r="AP9" i="1"/>
  <c r="AO10" i="1"/>
  <c r="AP10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O19" i="1"/>
  <c r="AP19" i="1"/>
  <c r="AO20" i="1"/>
  <c r="AP20" i="1"/>
  <c r="AO21" i="1"/>
  <c r="AP21" i="1"/>
  <c r="AO22" i="1"/>
  <c r="AP22" i="1"/>
  <c r="AO23" i="1"/>
  <c r="AP23" i="1"/>
  <c r="AO24" i="1"/>
  <c r="AP24" i="1"/>
  <c r="AO25" i="1"/>
  <c r="AP25" i="1"/>
  <c r="AO26" i="1"/>
  <c r="AP26" i="1"/>
  <c r="AO27" i="1"/>
  <c r="AP27" i="1"/>
  <c r="AO28" i="1"/>
  <c r="AP28" i="1"/>
  <c r="AO29" i="1"/>
  <c r="AP29" i="1"/>
  <c r="AO30" i="1"/>
  <c r="AP30" i="1"/>
  <c r="AO31" i="1"/>
  <c r="AP31" i="1"/>
  <c r="AO32" i="1"/>
  <c r="AP32" i="1"/>
  <c r="AO33" i="1"/>
  <c r="AP33" i="1"/>
  <c r="AO34" i="1"/>
  <c r="AP34" i="1"/>
  <c r="AO35" i="1"/>
  <c r="AP35" i="1"/>
  <c r="AO36" i="1"/>
  <c r="AP36" i="1"/>
  <c r="AO37" i="1"/>
  <c r="AP37" i="1"/>
  <c r="AO38" i="1"/>
  <c r="AP38" i="1"/>
  <c r="AO39" i="1"/>
  <c r="AP39" i="1"/>
  <c r="AO40" i="1"/>
  <c r="AP40" i="1"/>
  <c r="AO41" i="1"/>
  <c r="AP41" i="1"/>
  <c r="AO42" i="1"/>
  <c r="AP42" i="1"/>
  <c r="AO43" i="1"/>
  <c r="AP43" i="1"/>
  <c r="AO44" i="1"/>
  <c r="AP44" i="1"/>
  <c r="AO45" i="1"/>
  <c r="AP45" i="1"/>
  <c r="AO46" i="1"/>
  <c r="AP46" i="1"/>
  <c r="AO47" i="1"/>
  <c r="AP47" i="1"/>
  <c r="AO48" i="1"/>
  <c r="AP48" i="1"/>
  <c r="AO49" i="1"/>
  <c r="AP49" i="1"/>
  <c r="AO50" i="1"/>
  <c r="AP50" i="1"/>
  <c r="AO51" i="1"/>
  <c r="AP51" i="1"/>
  <c r="AO52" i="1"/>
  <c r="AP52" i="1"/>
  <c r="AO53" i="1"/>
  <c r="AP53" i="1"/>
  <c r="AO54" i="1"/>
  <c r="AP54" i="1"/>
  <c r="AO55" i="1"/>
  <c r="AP55" i="1"/>
  <c r="AO56" i="1"/>
  <c r="AP56" i="1"/>
  <c r="AO57" i="1"/>
  <c r="AP57" i="1"/>
  <c r="AO58" i="1"/>
  <c r="AP58" i="1"/>
  <c r="AO59" i="1"/>
  <c r="AP59" i="1"/>
  <c r="AO60" i="1"/>
  <c r="AP60" i="1"/>
  <c r="AO61" i="1"/>
  <c r="AP61" i="1"/>
  <c r="AO62" i="1"/>
  <c r="AP62" i="1"/>
  <c r="AO63" i="1"/>
  <c r="AP63" i="1"/>
  <c r="AO64" i="1"/>
  <c r="AP64" i="1"/>
  <c r="AO65" i="1"/>
  <c r="AP65" i="1"/>
  <c r="AO66" i="1"/>
  <c r="AP66" i="1"/>
  <c r="AO67" i="1"/>
  <c r="AP67" i="1"/>
  <c r="AP7" i="1"/>
  <c r="AL8" i="1"/>
  <c r="AM8" i="1"/>
  <c r="AL9" i="1"/>
  <c r="AM9" i="1"/>
  <c r="AL10" i="1"/>
  <c r="AM10" i="1"/>
  <c r="AL11" i="1"/>
  <c r="AM11" i="1"/>
  <c r="AL12" i="1"/>
  <c r="AM12" i="1"/>
  <c r="AL13" i="1"/>
  <c r="AM13" i="1"/>
  <c r="AL14" i="1"/>
  <c r="AM14" i="1"/>
  <c r="AL15" i="1"/>
  <c r="AM15" i="1"/>
  <c r="AL16" i="1"/>
  <c r="AM16" i="1"/>
  <c r="AL17" i="1"/>
  <c r="AM17" i="1"/>
  <c r="AL18" i="1"/>
  <c r="AM18" i="1"/>
  <c r="AL19" i="1"/>
  <c r="AM19" i="1"/>
  <c r="AL20" i="1"/>
  <c r="AM20" i="1"/>
  <c r="AL21" i="1"/>
  <c r="AM21" i="1"/>
  <c r="AL22" i="1"/>
  <c r="AM22" i="1"/>
  <c r="AL23" i="1"/>
  <c r="AM23" i="1"/>
  <c r="AL24" i="1"/>
  <c r="AM24" i="1"/>
  <c r="AL25" i="1"/>
  <c r="AM25" i="1"/>
  <c r="AL26" i="1"/>
  <c r="AM26" i="1"/>
  <c r="AL27" i="1"/>
  <c r="AM27" i="1"/>
  <c r="AL28" i="1"/>
  <c r="AM28" i="1"/>
  <c r="AL29" i="1"/>
  <c r="AM29" i="1"/>
  <c r="AL30" i="1"/>
  <c r="AM30" i="1"/>
  <c r="AL31" i="1"/>
  <c r="AM31" i="1"/>
  <c r="AL32" i="1"/>
  <c r="AM32" i="1"/>
  <c r="AL33" i="1"/>
  <c r="AM33" i="1"/>
  <c r="AL34" i="1"/>
  <c r="AM34" i="1"/>
  <c r="AL35" i="1"/>
  <c r="AM35" i="1"/>
  <c r="AL36" i="1"/>
  <c r="AM36" i="1"/>
  <c r="AL37" i="1"/>
  <c r="AM37" i="1"/>
  <c r="AL38" i="1"/>
  <c r="AM38" i="1"/>
  <c r="AL39" i="1"/>
  <c r="AM39" i="1"/>
  <c r="AL40" i="1"/>
  <c r="AM40" i="1"/>
  <c r="AL41" i="1"/>
  <c r="AM41" i="1"/>
  <c r="AL42" i="1"/>
  <c r="AM42" i="1"/>
  <c r="AL43" i="1"/>
  <c r="AM43" i="1"/>
  <c r="AL44" i="1"/>
  <c r="AM44" i="1"/>
  <c r="AL45" i="1"/>
  <c r="AM45" i="1"/>
  <c r="AL46" i="1"/>
  <c r="AM46" i="1"/>
  <c r="AL47" i="1"/>
  <c r="AM47" i="1"/>
  <c r="AL48" i="1"/>
  <c r="AM48" i="1"/>
  <c r="AL49" i="1"/>
  <c r="AM49" i="1"/>
  <c r="AL50" i="1"/>
  <c r="AM50" i="1"/>
  <c r="AL51" i="1"/>
  <c r="AM51" i="1"/>
  <c r="AL52" i="1"/>
  <c r="AM52" i="1"/>
  <c r="AL53" i="1"/>
  <c r="AM53" i="1"/>
  <c r="AL54" i="1"/>
  <c r="AM54" i="1"/>
  <c r="AL55" i="1"/>
  <c r="AM55" i="1"/>
  <c r="AL56" i="1"/>
  <c r="AM56" i="1"/>
  <c r="AL57" i="1"/>
  <c r="AM57" i="1"/>
  <c r="AL58" i="1"/>
  <c r="AM58" i="1"/>
  <c r="AL59" i="1"/>
  <c r="AM59" i="1"/>
  <c r="AL60" i="1"/>
  <c r="AM60" i="1"/>
  <c r="AL61" i="1"/>
  <c r="AM61" i="1"/>
  <c r="AL62" i="1"/>
  <c r="AM62" i="1"/>
  <c r="AL63" i="1"/>
  <c r="AM63" i="1"/>
  <c r="AL64" i="1"/>
  <c r="AM64" i="1"/>
  <c r="AL65" i="1"/>
  <c r="AM65" i="1"/>
  <c r="AL66" i="1"/>
  <c r="AM66" i="1"/>
  <c r="AL67" i="1"/>
  <c r="AM67" i="1"/>
  <c r="AM7" i="1"/>
  <c r="AL7" i="1"/>
  <c r="AE8" i="1"/>
  <c r="AF8" i="1"/>
  <c r="AG8" i="1"/>
  <c r="AH8" i="1"/>
  <c r="AI8" i="1"/>
  <c r="AJ8" i="1"/>
  <c r="AK8" i="1"/>
  <c r="AE9" i="1"/>
  <c r="AF9" i="1"/>
  <c r="AG9" i="1"/>
  <c r="AH9" i="1"/>
  <c r="AI9" i="1"/>
  <c r="AJ9" i="1"/>
  <c r="AK9" i="1"/>
  <c r="AE10" i="1"/>
  <c r="AF10" i="1"/>
  <c r="AG10" i="1"/>
  <c r="AH10" i="1"/>
  <c r="AI10" i="1"/>
  <c r="AJ10" i="1"/>
  <c r="AK10" i="1"/>
  <c r="AE11" i="1"/>
  <c r="AF11" i="1"/>
  <c r="AG11" i="1"/>
  <c r="AH11" i="1"/>
  <c r="AI11" i="1"/>
  <c r="AJ11" i="1"/>
  <c r="AK11" i="1"/>
  <c r="AE12" i="1"/>
  <c r="AF12" i="1"/>
  <c r="AG12" i="1"/>
  <c r="AH12" i="1"/>
  <c r="AI12" i="1"/>
  <c r="AJ12" i="1"/>
  <c r="AK12" i="1"/>
  <c r="AE13" i="1"/>
  <c r="AF13" i="1"/>
  <c r="AG13" i="1"/>
  <c r="AH13" i="1"/>
  <c r="AI13" i="1"/>
  <c r="AJ13" i="1"/>
  <c r="AK13" i="1"/>
  <c r="AE14" i="1"/>
  <c r="AF14" i="1"/>
  <c r="AG14" i="1"/>
  <c r="AH14" i="1"/>
  <c r="AI14" i="1"/>
  <c r="AJ14" i="1"/>
  <c r="AK14" i="1"/>
  <c r="AE15" i="1"/>
  <c r="AF15" i="1"/>
  <c r="AG15" i="1"/>
  <c r="AH15" i="1"/>
  <c r="AI15" i="1"/>
  <c r="AJ15" i="1"/>
  <c r="AK15" i="1"/>
  <c r="AE16" i="1"/>
  <c r="AF16" i="1"/>
  <c r="AG16" i="1"/>
  <c r="AH16" i="1"/>
  <c r="AI16" i="1"/>
  <c r="AJ16" i="1"/>
  <c r="AK16" i="1"/>
  <c r="AE17" i="1"/>
  <c r="AF17" i="1"/>
  <c r="AG17" i="1"/>
  <c r="AH17" i="1"/>
  <c r="AI17" i="1"/>
  <c r="AJ17" i="1"/>
  <c r="AK17" i="1"/>
  <c r="AE18" i="1"/>
  <c r="AF18" i="1"/>
  <c r="AG18" i="1"/>
  <c r="AH18" i="1"/>
  <c r="AI18" i="1"/>
  <c r="AJ18" i="1"/>
  <c r="AK18" i="1"/>
  <c r="AE19" i="1"/>
  <c r="AF19" i="1"/>
  <c r="AG19" i="1"/>
  <c r="AH19" i="1"/>
  <c r="AI19" i="1"/>
  <c r="AJ19" i="1"/>
  <c r="AK19" i="1"/>
  <c r="AE20" i="1"/>
  <c r="AF20" i="1"/>
  <c r="AG20" i="1"/>
  <c r="AH20" i="1"/>
  <c r="AI20" i="1"/>
  <c r="AJ20" i="1"/>
  <c r="AK20" i="1"/>
  <c r="AE21" i="1"/>
  <c r="AF21" i="1"/>
  <c r="AG21" i="1"/>
  <c r="AH21" i="1"/>
  <c r="AI21" i="1"/>
  <c r="AJ21" i="1"/>
  <c r="AK21" i="1"/>
  <c r="AE22" i="1"/>
  <c r="AF22" i="1"/>
  <c r="AG22" i="1"/>
  <c r="AH22" i="1"/>
  <c r="AI22" i="1"/>
  <c r="AJ22" i="1"/>
  <c r="AK22" i="1"/>
  <c r="AE23" i="1"/>
  <c r="AF23" i="1"/>
  <c r="AG23" i="1"/>
  <c r="AH23" i="1"/>
  <c r="AI23" i="1"/>
  <c r="AJ23" i="1"/>
  <c r="AK23" i="1"/>
  <c r="AE24" i="1"/>
  <c r="AF24" i="1"/>
  <c r="AG24" i="1"/>
  <c r="AH24" i="1"/>
  <c r="AI24" i="1"/>
  <c r="AJ24" i="1"/>
  <c r="AK24" i="1"/>
  <c r="AE25" i="1"/>
  <c r="AF25" i="1"/>
  <c r="AG25" i="1"/>
  <c r="AH25" i="1"/>
  <c r="AI25" i="1"/>
  <c r="AJ25" i="1"/>
  <c r="AK25" i="1"/>
  <c r="AE26" i="1"/>
  <c r="AF26" i="1"/>
  <c r="AG26" i="1"/>
  <c r="AH26" i="1"/>
  <c r="AI26" i="1"/>
  <c r="AJ26" i="1"/>
  <c r="AK26" i="1"/>
  <c r="AE27" i="1"/>
  <c r="AF27" i="1"/>
  <c r="AG27" i="1"/>
  <c r="AH27" i="1"/>
  <c r="AI27" i="1"/>
  <c r="AJ27" i="1"/>
  <c r="AK27" i="1"/>
  <c r="AE28" i="1"/>
  <c r="AF28" i="1"/>
  <c r="AG28" i="1"/>
  <c r="AH28" i="1"/>
  <c r="AI28" i="1"/>
  <c r="AJ28" i="1"/>
  <c r="AK28" i="1"/>
  <c r="AE29" i="1"/>
  <c r="AF29" i="1"/>
  <c r="AG29" i="1"/>
  <c r="AH29" i="1"/>
  <c r="AI29" i="1"/>
  <c r="AJ29" i="1"/>
  <c r="AK29" i="1"/>
  <c r="AE30" i="1"/>
  <c r="AF30" i="1"/>
  <c r="AG30" i="1"/>
  <c r="AH30" i="1"/>
  <c r="AI30" i="1"/>
  <c r="AJ30" i="1"/>
  <c r="AK30" i="1"/>
  <c r="AE31" i="1"/>
  <c r="AF31" i="1"/>
  <c r="AG31" i="1"/>
  <c r="AH31" i="1"/>
  <c r="AI31" i="1"/>
  <c r="AJ31" i="1"/>
  <c r="AK31" i="1"/>
  <c r="AE32" i="1"/>
  <c r="AF32" i="1"/>
  <c r="AG32" i="1"/>
  <c r="AH32" i="1"/>
  <c r="AI32" i="1"/>
  <c r="AJ32" i="1"/>
  <c r="AK32" i="1"/>
  <c r="AE33" i="1"/>
  <c r="AF33" i="1"/>
  <c r="AG33" i="1"/>
  <c r="AH33" i="1"/>
  <c r="AI33" i="1"/>
  <c r="AJ33" i="1"/>
  <c r="AK33" i="1"/>
  <c r="AE34" i="1"/>
  <c r="AF34" i="1"/>
  <c r="AG34" i="1"/>
  <c r="AH34" i="1"/>
  <c r="AI34" i="1"/>
  <c r="AJ34" i="1"/>
  <c r="AK34" i="1"/>
  <c r="AE35" i="1"/>
  <c r="AF35" i="1"/>
  <c r="AG35" i="1"/>
  <c r="AH35" i="1"/>
  <c r="AI35" i="1"/>
  <c r="AJ35" i="1"/>
  <c r="AK35" i="1"/>
  <c r="AE36" i="1"/>
  <c r="AF36" i="1"/>
  <c r="AG36" i="1"/>
  <c r="AH36" i="1"/>
  <c r="AI36" i="1"/>
  <c r="AJ36" i="1"/>
  <c r="AK36" i="1"/>
  <c r="AE37" i="1"/>
  <c r="AF37" i="1"/>
  <c r="AG37" i="1"/>
  <c r="AH37" i="1"/>
  <c r="AI37" i="1"/>
  <c r="AJ37" i="1"/>
  <c r="AK37" i="1"/>
  <c r="AE38" i="1"/>
  <c r="AF38" i="1"/>
  <c r="AG38" i="1"/>
  <c r="AH38" i="1"/>
  <c r="AI38" i="1"/>
  <c r="AJ38" i="1"/>
  <c r="AK38" i="1"/>
  <c r="AE39" i="1"/>
  <c r="AF39" i="1"/>
  <c r="AG39" i="1"/>
  <c r="AH39" i="1"/>
  <c r="AI39" i="1"/>
  <c r="AJ39" i="1"/>
  <c r="AK39" i="1"/>
  <c r="AE40" i="1"/>
  <c r="AF40" i="1"/>
  <c r="AG40" i="1"/>
  <c r="AH40" i="1"/>
  <c r="AI40" i="1"/>
  <c r="AJ40" i="1"/>
  <c r="AK40" i="1"/>
  <c r="AE41" i="1"/>
  <c r="AF41" i="1"/>
  <c r="AG41" i="1"/>
  <c r="AH41" i="1"/>
  <c r="AI41" i="1"/>
  <c r="AJ41" i="1"/>
  <c r="AK41" i="1"/>
  <c r="AE42" i="1"/>
  <c r="AF42" i="1"/>
  <c r="AG42" i="1"/>
  <c r="AH42" i="1"/>
  <c r="AI42" i="1"/>
  <c r="AJ42" i="1"/>
  <c r="AK42" i="1"/>
  <c r="AE43" i="1"/>
  <c r="AF43" i="1"/>
  <c r="AG43" i="1"/>
  <c r="AH43" i="1"/>
  <c r="AI43" i="1"/>
  <c r="AJ43" i="1"/>
  <c r="AK43" i="1"/>
  <c r="AE44" i="1"/>
  <c r="AF44" i="1"/>
  <c r="AG44" i="1"/>
  <c r="AH44" i="1"/>
  <c r="AI44" i="1"/>
  <c r="AJ44" i="1"/>
  <c r="AK44" i="1"/>
  <c r="AE45" i="1"/>
  <c r="AF45" i="1"/>
  <c r="AG45" i="1"/>
  <c r="AH45" i="1"/>
  <c r="AI45" i="1"/>
  <c r="AJ45" i="1"/>
  <c r="AK45" i="1"/>
  <c r="AE46" i="1"/>
  <c r="AF46" i="1"/>
  <c r="AG46" i="1"/>
  <c r="AH46" i="1"/>
  <c r="AI46" i="1"/>
  <c r="AJ46" i="1"/>
  <c r="AK46" i="1"/>
  <c r="AE47" i="1"/>
  <c r="AF47" i="1"/>
  <c r="AG47" i="1"/>
  <c r="AH47" i="1"/>
  <c r="AI47" i="1"/>
  <c r="AJ47" i="1"/>
  <c r="AK47" i="1"/>
  <c r="AE48" i="1"/>
  <c r="AF48" i="1"/>
  <c r="AG48" i="1"/>
  <c r="AH48" i="1"/>
  <c r="AI48" i="1"/>
  <c r="AJ48" i="1"/>
  <c r="AK48" i="1"/>
  <c r="AE49" i="1"/>
  <c r="AF49" i="1"/>
  <c r="AG49" i="1"/>
  <c r="AH49" i="1"/>
  <c r="AI49" i="1"/>
  <c r="AJ49" i="1"/>
  <c r="AK49" i="1"/>
  <c r="AE50" i="1"/>
  <c r="AF50" i="1"/>
  <c r="AG50" i="1"/>
  <c r="AH50" i="1"/>
  <c r="AI50" i="1"/>
  <c r="AJ50" i="1"/>
  <c r="AK50" i="1"/>
  <c r="AE51" i="1"/>
  <c r="AF51" i="1"/>
  <c r="AG51" i="1"/>
  <c r="AH51" i="1"/>
  <c r="AI51" i="1"/>
  <c r="AJ51" i="1"/>
  <c r="AK51" i="1"/>
  <c r="AE52" i="1"/>
  <c r="AF52" i="1"/>
  <c r="AG52" i="1"/>
  <c r="AH52" i="1"/>
  <c r="AI52" i="1"/>
  <c r="AJ52" i="1"/>
  <c r="AK52" i="1"/>
  <c r="AE53" i="1"/>
  <c r="AF53" i="1"/>
  <c r="AG53" i="1"/>
  <c r="AH53" i="1"/>
  <c r="AI53" i="1"/>
  <c r="AJ53" i="1"/>
  <c r="AK53" i="1"/>
  <c r="AE54" i="1"/>
  <c r="AF54" i="1"/>
  <c r="AG54" i="1"/>
  <c r="AH54" i="1"/>
  <c r="AI54" i="1"/>
  <c r="AJ54" i="1"/>
  <c r="AK54" i="1"/>
  <c r="AE55" i="1"/>
  <c r="AF55" i="1"/>
  <c r="AG55" i="1"/>
  <c r="AH55" i="1"/>
  <c r="AI55" i="1"/>
  <c r="AJ55" i="1"/>
  <c r="AK55" i="1"/>
  <c r="AE56" i="1"/>
  <c r="AF56" i="1"/>
  <c r="AG56" i="1"/>
  <c r="AH56" i="1"/>
  <c r="AI56" i="1"/>
  <c r="AJ56" i="1"/>
  <c r="AK56" i="1"/>
  <c r="AE57" i="1"/>
  <c r="AF57" i="1"/>
  <c r="AG57" i="1"/>
  <c r="AH57" i="1"/>
  <c r="AI57" i="1"/>
  <c r="AJ57" i="1"/>
  <c r="AK57" i="1"/>
  <c r="AE58" i="1"/>
  <c r="AF58" i="1"/>
  <c r="AG58" i="1"/>
  <c r="AH58" i="1"/>
  <c r="AI58" i="1"/>
  <c r="AJ58" i="1"/>
  <c r="AK58" i="1"/>
  <c r="AE59" i="1"/>
  <c r="AF59" i="1"/>
  <c r="AG59" i="1"/>
  <c r="AH59" i="1"/>
  <c r="AI59" i="1"/>
  <c r="AJ59" i="1"/>
  <c r="AK59" i="1"/>
  <c r="AE60" i="1"/>
  <c r="AF60" i="1"/>
  <c r="AG60" i="1"/>
  <c r="AH60" i="1"/>
  <c r="AI60" i="1"/>
  <c r="AJ60" i="1"/>
  <c r="AK60" i="1"/>
  <c r="AE61" i="1"/>
  <c r="AF61" i="1"/>
  <c r="AG61" i="1"/>
  <c r="AH61" i="1"/>
  <c r="AI61" i="1"/>
  <c r="AJ61" i="1"/>
  <c r="AK61" i="1"/>
  <c r="AE62" i="1"/>
  <c r="AF62" i="1"/>
  <c r="AG62" i="1"/>
  <c r="AH62" i="1"/>
  <c r="AI62" i="1"/>
  <c r="AJ62" i="1"/>
  <c r="AK62" i="1"/>
  <c r="AE63" i="1"/>
  <c r="AF63" i="1"/>
  <c r="AG63" i="1"/>
  <c r="AH63" i="1"/>
  <c r="AI63" i="1"/>
  <c r="AJ63" i="1"/>
  <c r="AK63" i="1"/>
  <c r="AE64" i="1"/>
  <c r="AF64" i="1"/>
  <c r="AG64" i="1"/>
  <c r="AH64" i="1"/>
  <c r="AI64" i="1"/>
  <c r="AJ64" i="1"/>
  <c r="AK64" i="1"/>
  <c r="AE65" i="1"/>
  <c r="AF65" i="1"/>
  <c r="AG65" i="1"/>
  <c r="AH65" i="1"/>
  <c r="AI65" i="1"/>
  <c r="AJ65" i="1"/>
  <c r="AK65" i="1"/>
  <c r="AE66" i="1"/>
  <c r="AF66" i="1"/>
  <c r="AG66" i="1"/>
  <c r="AH66" i="1"/>
  <c r="AI66" i="1"/>
  <c r="AJ66" i="1"/>
  <c r="AK66" i="1"/>
  <c r="AE67" i="1"/>
  <c r="AF67" i="1"/>
  <c r="AG67" i="1"/>
  <c r="AH67" i="1"/>
  <c r="AI67" i="1"/>
  <c r="AJ67" i="1"/>
  <c r="AK67" i="1"/>
  <c r="AF7" i="1"/>
  <c r="AG7" i="1"/>
  <c r="AH7" i="1"/>
  <c r="AI7" i="1"/>
  <c r="AJ7" i="1"/>
  <c r="AK7" i="1"/>
  <c r="AE7" i="1"/>
</calcChain>
</file>

<file path=xl/sharedStrings.xml><?xml version="1.0" encoding="utf-8"?>
<sst xmlns="http://schemas.openxmlformats.org/spreadsheetml/2006/main" count="1373" uniqueCount="725">
  <si>
    <t>date</t>
  </si>
  <si>
    <t>shift</t>
  </si>
  <si>
    <t>activeClay</t>
  </si>
  <si>
    <t>compactibility</t>
  </si>
  <si>
    <t>gcs</t>
  </si>
  <si>
    <t>gfnAfs</t>
  </si>
  <si>
    <t>loi</t>
  </si>
  <si>
    <t>moisture</t>
  </si>
  <si>
    <t>permeability</t>
  </si>
  <si>
    <t>sand_metal_ratio</t>
  </si>
  <si>
    <t>core_sand_ratio</t>
  </si>
  <si>
    <t>core_metal_ratio</t>
  </si>
  <si>
    <t>bentonite_predicted_kg</t>
  </si>
  <si>
    <t>fresh silica sand_predicted_kg</t>
  </si>
  <si>
    <t>return sand_predicted_kg</t>
  </si>
  <si>
    <t>water_predicted_kg</t>
  </si>
  <si>
    <t>csi</t>
  </si>
  <si>
    <t>fss</t>
  </si>
  <si>
    <t>bentonite_predicted_kg1</t>
  </si>
  <si>
    <t>B</t>
  </si>
  <si>
    <t>C</t>
  </si>
  <si>
    <t>A</t>
  </si>
  <si>
    <t>Final Prediction</t>
  </si>
  <si>
    <t>Actual Bentonite</t>
  </si>
  <si>
    <t>2 shift bent addition</t>
  </si>
  <si>
    <t>2 shift bentonite prediction</t>
  </si>
  <si>
    <t>MB CLAY</t>
  </si>
  <si>
    <t>GCS</t>
  </si>
  <si>
    <t>Moisture</t>
  </si>
  <si>
    <t>LOI</t>
  </si>
  <si>
    <t>Target Values</t>
  </si>
  <si>
    <t>Coefficient</t>
  </si>
  <si>
    <t>Weight</t>
  </si>
  <si>
    <t>CORE</t>
  </si>
  <si>
    <t>Mean</t>
  </si>
  <si>
    <t>SMR</t>
  </si>
  <si>
    <t>Offet</t>
  </si>
  <si>
    <t>new sand coefficient</t>
  </si>
  <si>
    <t>COEFF</t>
  </si>
  <si>
    <t>Coeff</t>
  </si>
  <si>
    <t>P1</t>
  </si>
  <si>
    <t>P2</t>
  </si>
  <si>
    <t>Dateshift</t>
  </si>
  <si>
    <t>Customer:</t>
  </si>
  <si>
    <t>CadillacUs</t>
  </si>
  <si>
    <t>Foundry Line:</t>
  </si>
  <si>
    <t>Foundry Line Group:</t>
  </si>
  <si>
    <t>Group 1</t>
  </si>
  <si>
    <t>From:</t>
  </si>
  <si>
    <t>To:</t>
  </si>
  <si>
    <t>Acceptable Dev(%):</t>
  </si>
  <si>
    <t>Bentonite Dev(%):</t>
  </si>
  <si>
    <t>FSS Dev(%):</t>
  </si>
  <si>
    <t>LCA Dev(%):</t>
  </si>
  <si>
    <t>Water Dev(%):</t>
  </si>
  <si>
    <t>Date</t>
  </si>
  <si>
    <t>Shift</t>
  </si>
  <si>
    <t>Bentonite</t>
  </si>
  <si>
    <t>FSS</t>
  </si>
  <si>
    <t>Water</t>
  </si>
  <si>
    <t>Active Clay</t>
  </si>
  <si>
    <t>Compactability</t>
  </si>
  <si>
    <t>GFN/AFS</t>
  </si>
  <si>
    <t>Permeability</t>
  </si>
  <si>
    <t>Predicted</t>
  </si>
  <si>
    <t>Actual</t>
  </si>
  <si>
    <t>Dev. Actual(%)</t>
  </si>
  <si>
    <t>Dev. Optimum(%)</t>
  </si>
  <si>
    <t>Optimal</t>
  </si>
  <si>
    <t>6.47 (5.82 - 7.12)</t>
  </si>
  <si>
    <t>115.0 (103.5 - 126.5)</t>
  </si>
  <si>
    <t>8.18</t>
  </si>
  <si>
    <t>37.82</t>
  </si>
  <si>
    <t>26.9</t>
  </si>
  <si>
    <t>53.81</t>
  </si>
  <si>
    <t>3.8</t>
  </si>
  <si>
    <t>3.35</t>
  </si>
  <si>
    <t>141.33</t>
  </si>
  <si>
    <t>7.0 (6.3 - 7.7)</t>
  </si>
  <si>
    <t>8.51</t>
  </si>
  <si>
    <t>39.27</t>
  </si>
  <si>
    <t>25.23</t>
  </si>
  <si>
    <t>56.65</t>
  </si>
  <si>
    <t>4.21</t>
  </si>
  <si>
    <t>3.48</t>
  </si>
  <si>
    <t>146.86</t>
  </si>
  <si>
    <t>0.36 (0.33 - 0.4)</t>
  </si>
  <si>
    <t>8.12</t>
  </si>
  <si>
    <t>38.73</t>
  </si>
  <si>
    <t>26.12</t>
  </si>
  <si>
    <t>56.15</t>
  </si>
  <si>
    <t>3.95</t>
  </si>
  <si>
    <t>3.39</t>
  </si>
  <si>
    <t>142.79</t>
  </si>
  <si>
    <t>0.0 (0.0 - 0.0)</t>
  </si>
  <si>
    <t>8.11</t>
  </si>
  <si>
    <t>39.03</t>
  </si>
  <si>
    <t>24.73</t>
  </si>
  <si>
    <r>
      <t xml:space="preserve">57.26 </t>
    </r>
    <r>
      <rPr>
        <b/>
        <sz val="14"/>
        <color rgb="FF00FF00"/>
        <rFont val="Calibri"/>
      </rPr>
      <t>↑</t>
    </r>
  </si>
  <si>
    <t>4.09</t>
  </si>
  <si>
    <t>3.36</t>
  </si>
  <si>
    <t>143.21</t>
  </si>
  <si>
    <t>1.58 (1.42 - 1.74)</t>
  </si>
  <si>
    <t>8.15</t>
  </si>
  <si>
    <t>39.01</t>
  </si>
  <si>
    <t>25.61</t>
  </si>
  <si>
    <r>
      <t xml:space="preserve">56.93 </t>
    </r>
    <r>
      <rPr>
        <b/>
        <sz val="14"/>
        <color rgb="FF00FF00"/>
        <rFont val="Calibri"/>
      </rPr>
      <t>↑</t>
    </r>
  </si>
  <si>
    <t>4.11</t>
  </si>
  <si>
    <t>141.81</t>
  </si>
  <si>
    <t>8.21</t>
  </si>
  <si>
    <t>39.15</t>
  </si>
  <si>
    <r>
      <t xml:space="preserve">56.45 </t>
    </r>
    <r>
      <rPr>
        <b/>
        <sz val="14"/>
        <color rgb="FF00FF00"/>
        <rFont val="Calibri"/>
      </rPr>
      <t>↑</t>
    </r>
  </si>
  <si>
    <r>
      <t xml:space="preserve">4.17 </t>
    </r>
    <r>
      <rPr>
        <b/>
        <sz val="14"/>
        <color rgb="FF00FF00"/>
        <rFont val="Calibri"/>
      </rPr>
      <t>↑</t>
    </r>
  </si>
  <si>
    <t>3.45</t>
  </si>
  <si>
    <t>144.51</t>
  </si>
  <si>
    <t>8.45</t>
  </si>
  <si>
    <t>38.67</t>
  </si>
  <si>
    <t>26.25</t>
  </si>
  <si>
    <t>55.91</t>
  </si>
  <si>
    <t>4.06</t>
  </si>
  <si>
    <t>3.47</t>
  </si>
  <si>
    <t>138.43</t>
  </si>
  <si>
    <t>97.15 (87.44 - 106.87)</t>
  </si>
  <si>
    <t>39.11</t>
  </si>
  <si>
    <t>25.43</t>
  </si>
  <si>
    <t>55.67</t>
  </si>
  <si>
    <t>3.93</t>
  </si>
  <si>
    <t>3.43</t>
  </si>
  <si>
    <t>145.62</t>
  </si>
  <si>
    <t>2.0 (1.8 - 2.2)</t>
  </si>
  <si>
    <t>91.8 (82.62 - 100.98)</t>
  </si>
  <si>
    <t>7.99</t>
  </si>
  <si>
    <t>38.89</t>
  </si>
  <si>
    <t>26.08</t>
  </si>
  <si>
    <t>55.42</t>
  </si>
  <si>
    <t>3.87</t>
  </si>
  <si>
    <t>3.37</t>
  </si>
  <si>
    <t>144.67</t>
  </si>
  <si>
    <t>0.67 (0.6 - 0.73)</t>
  </si>
  <si>
    <t>79.97 (71.97 - 87.97)</t>
  </si>
  <si>
    <t>7.88</t>
  </si>
  <si>
    <t>38.28</t>
  </si>
  <si>
    <t>26.35</t>
  </si>
  <si>
    <t>55.16</t>
  </si>
  <si>
    <t>3.79</t>
  </si>
  <si>
    <t>3.33</t>
  </si>
  <si>
    <t>143.83</t>
  </si>
  <si>
    <t>5.58 (5.02 - 6.14)</t>
  </si>
  <si>
    <t>99.68 (89.71 - 109.65)</t>
  </si>
  <si>
    <t>8.14</t>
  </si>
  <si>
    <t>39.02</t>
  </si>
  <si>
    <t>26.14</t>
  </si>
  <si>
    <t>55.75</t>
  </si>
  <si>
    <t>147.24</t>
  </si>
  <si>
    <t>2.91 (2.62 - 3.2)</t>
  </si>
  <si>
    <t>84.78 (76.3 - 93.26)</t>
  </si>
  <si>
    <t>8.08</t>
  </si>
  <si>
    <t>38.88</t>
  </si>
  <si>
    <t>25.36</t>
  </si>
  <si>
    <t>56.03</t>
  </si>
  <si>
    <t>3.75</t>
  </si>
  <si>
    <t>3.3</t>
  </si>
  <si>
    <t>148.66</t>
  </si>
  <si>
    <t>1.56 (1.4 - 1.72)</t>
  </si>
  <si>
    <t>114.48 (103.03 - 125.93)</t>
  </si>
  <si>
    <t>7.85</t>
  </si>
  <si>
    <t>38.44</t>
  </si>
  <si>
    <t>26.56</t>
  </si>
  <si>
    <t>54.88</t>
  </si>
  <si>
    <t>3.81</t>
  </si>
  <si>
    <t>3.34</t>
  </si>
  <si>
    <t>144.33</t>
  </si>
  <si>
    <t>2.8 (2.52 - 3.08)</t>
  </si>
  <si>
    <t>114.54 (103.09 - 125.99)</t>
  </si>
  <si>
    <t>8.03</t>
  </si>
  <si>
    <t>25.93</t>
  </si>
  <si>
    <t>55.14</t>
  </si>
  <si>
    <t>3.85</t>
  </si>
  <si>
    <t>145.95</t>
  </si>
  <si>
    <t>4.29 (3.86 - 4.72)</t>
  </si>
  <si>
    <t>38.47</t>
  </si>
  <si>
    <t>26.01</t>
  </si>
  <si>
    <t>55.87</t>
  </si>
  <si>
    <t>3.96</t>
  </si>
  <si>
    <t>3.4</t>
  </si>
  <si>
    <t>142.28</t>
  </si>
  <si>
    <t>83.83 (75.45 - 92.21)</t>
  </si>
  <si>
    <t>7.96</t>
  </si>
  <si>
    <t>38.05</t>
  </si>
  <si>
    <t>26.69</t>
  </si>
  <si>
    <t>55.15</t>
  </si>
  <si>
    <t>3.31</t>
  </si>
  <si>
    <t>147.74</t>
  </si>
  <si>
    <t>5.68 (5.11 - 6.24)</t>
  </si>
  <si>
    <t>82.85 (74.57 - 91.13)</t>
  </si>
  <si>
    <t>38.95</t>
  </si>
  <si>
    <t>26.33</t>
  </si>
  <si>
    <t>55.22</t>
  </si>
  <si>
    <t>3.76</t>
  </si>
  <si>
    <t>148.54</t>
  </si>
  <si>
    <t>4.25 (3.83 - 4.68)</t>
  </si>
  <si>
    <t>81.64 (73.48 - 89.8)</t>
  </si>
  <si>
    <t>8.06</t>
  </si>
  <si>
    <t>39.22</t>
  </si>
  <si>
    <t>25.25</t>
  </si>
  <si>
    <t>55.54</t>
  </si>
  <si>
    <t>3.74</t>
  </si>
  <si>
    <t>149.28</t>
  </si>
  <si>
    <t>RMSE</t>
  </si>
  <si>
    <t>Std. Dev</t>
  </si>
  <si>
    <t>Cadillac Casting, Inc.</t>
  </si>
  <si>
    <t>Model(Low)</t>
  </si>
  <si>
    <t>Model(High)</t>
  </si>
  <si>
    <t>11.34</t>
  </si>
  <si>
    <t>0.0</t>
  </si>
  <si>
    <t>93.31</t>
  </si>
  <si>
    <t>8.29</t>
  </si>
  <si>
    <t>38.59</t>
  </si>
  <si>
    <t>26.61</t>
  </si>
  <si>
    <t>55.52</t>
  </si>
  <si>
    <t>3.73</t>
  </si>
  <si>
    <t>145.53</t>
  </si>
  <si>
    <t>11.36</t>
  </si>
  <si>
    <t>102.89</t>
  </si>
  <si>
    <t>8.0</t>
  </si>
  <si>
    <t>38.39</t>
  </si>
  <si>
    <t>26.88</t>
  </si>
  <si>
    <t>55.84</t>
  </si>
  <si>
    <t>3.61</t>
  </si>
  <si>
    <t>146.3</t>
  </si>
  <si>
    <t>14.35</t>
  </si>
  <si>
    <t>70.32</t>
  </si>
  <si>
    <t>7.9</t>
  </si>
  <si>
    <t>38.43</t>
  </si>
  <si>
    <t>26.68</t>
  </si>
  <si>
    <t>3.64</t>
  </si>
  <si>
    <t>149.66</t>
  </si>
  <si>
    <t>13.95</t>
  </si>
  <si>
    <t>69.45</t>
  </si>
  <si>
    <t>8.04</t>
  </si>
  <si>
    <t>38.69</t>
  </si>
  <si>
    <t>26.41</t>
  </si>
  <si>
    <t>55.69</t>
  </si>
  <si>
    <t>148.76</t>
  </si>
  <si>
    <t>15.69</t>
  </si>
  <si>
    <t>79.03</t>
  </si>
  <si>
    <t>38.87</t>
  </si>
  <si>
    <t>26.53</t>
  </si>
  <si>
    <t>55.12</t>
  </si>
  <si>
    <t>3.72</t>
  </si>
  <si>
    <t>150.78</t>
  </si>
  <si>
    <t>104.27</t>
  </si>
  <si>
    <t>38.71</t>
  </si>
  <si>
    <t>26.65</t>
  </si>
  <si>
    <t>55.23</t>
  </si>
  <si>
    <t>3.7</t>
  </si>
  <si>
    <t>148.92</t>
  </si>
  <si>
    <t>11.35</t>
  </si>
  <si>
    <t>97.42</t>
  </si>
  <si>
    <t>8.2</t>
  </si>
  <si>
    <t>38.77</t>
  </si>
  <si>
    <t>26.37</t>
  </si>
  <si>
    <t>3.77</t>
  </si>
  <si>
    <t>150.0</t>
  </si>
  <si>
    <t>11.38</t>
  </si>
  <si>
    <t>111.09</t>
  </si>
  <si>
    <t>38.6</t>
  </si>
  <si>
    <t>4.01</t>
  </si>
  <si>
    <t>145.93</t>
  </si>
  <si>
    <t>11.4</t>
  </si>
  <si>
    <t>10.09</t>
  </si>
  <si>
    <r>
      <t xml:space="preserve">111.31 </t>
    </r>
    <r>
      <rPr>
        <b/>
        <sz val="14"/>
        <color rgb="FF00FF00"/>
        <rFont val="Calibri"/>
      </rPr>
      <t>↑</t>
    </r>
  </si>
  <si>
    <r>
      <t xml:space="preserve">8.54 </t>
    </r>
    <r>
      <rPr>
        <b/>
        <sz val="14"/>
        <color rgb="FF00FF00"/>
        <rFont val="Calibri"/>
      </rPr>
      <t>↑</t>
    </r>
  </si>
  <si>
    <t>38.38</t>
  </si>
  <si>
    <t>26.57</t>
  </si>
  <si>
    <t>55.19</t>
  </si>
  <si>
    <t>4.04</t>
  </si>
  <si>
    <t>146.69</t>
  </si>
  <si>
    <t>11.37</t>
  </si>
  <si>
    <t>104.86</t>
  </si>
  <si>
    <t>8.27</t>
  </si>
  <si>
    <t>38.5</t>
  </si>
  <si>
    <t>55.17</t>
  </si>
  <si>
    <t>4.02</t>
  </si>
  <si>
    <t>3.42</t>
  </si>
  <si>
    <t>147.84</t>
  </si>
  <si>
    <t>2.16</t>
  </si>
  <si>
    <t>95.34</t>
  </si>
  <si>
    <t>8.16</t>
  </si>
  <si>
    <t>38.7</t>
  </si>
  <si>
    <t>54.85</t>
  </si>
  <si>
    <t>147.09</t>
  </si>
  <si>
    <t>19.4</t>
  </si>
  <si>
    <t>95.13</t>
  </si>
  <si>
    <t>7.97</t>
  </si>
  <si>
    <r>
      <t xml:space="preserve">56.28 </t>
    </r>
    <r>
      <rPr>
        <b/>
        <sz val="14"/>
        <color rgb="FF00FF00"/>
        <rFont val="Calibri"/>
      </rPr>
      <t>↑</t>
    </r>
  </si>
  <si>
    <t>3.91</t>
  </si>
  <si>
    <r>
      <t xml:space="preserve">3.3 </t>
    </r>
    <r>
      <rPr>
        <b/>
        <sz val="14"/>
        <color rgb="FFFF0000"/>
        <rFont val="Calibri"/>
      </rPr>
      <t>↓</t>
    </r>
  </si>
  <si>
    <t>149.4</t>
  </si>
  <si>
    <t>14.9</t>
  </si>
  <si>
    <t>69.21</t>
  </si>
  <si>
    <t>7.95</t>
  </si>
  <si>
    <t>38.36</t>
  </si>
  <si>
    <t>26.6</t>
  </si>
  <si>
    <t>56.26</t>
  </si>
  <si>
    <t>148.89</t>
  </si>
  <si>
    <t>20.48</t>
  </si>
  <si>
    <t>87.21</t>
  </si>
  <si>
    <t>39.0</t>
  </si>
  <si>
    <t>55.73</t>
  </si>
  <si>
    <t>3.38</t>
  </si>
  <si>
    <t>150.03</t>
  </si>
  <si>
    <t>11.31</t>
  </si>
  <si>
    <t>79.97</t>
  </si>
  <si>
    <t>8.09</t>
  </si>
  <si>
    <t>38.8</t>
  </si>
  <si>
    <t>26.67</t>
  </si>
  <si>
    <t>55.3</t>
  </si>
  <si>
    <t>147.57</t>
  </si>
  <si>
    <t>91.87</t>
  </si>
  <si>
    <t>8.19</t>
  </si>
  <si>
    <t>38.75</t>
  </si>
  <si>
    <t>26.46</t>
  </si>
  <si>
    <t>3.41</t>
  </si>
  <si>
    <t>149.01</t>
  </si>
  <si>
    <t>14.88</t>
  </si>
  <si>
    <t>69.13</t>
  </si>
  <si>
    <r>
      <t xml:space="preserve">8.04 </t>
    </r>
    <r>
      <rPr>
        <b/>
        <sz val="14"/>
        <color rgb="FFFF0000"/>
        <rFont val="Calibri"/>
      </rPr>
      <t>↓</t>
    </r>
  </si>
  <si>
    <t>38.9</t>
  </si>
  <si>
    <t>26.45</t>
  </si>
  <si>
    <t>149.36</t>
  </si>
  <si>
    <t>11.33</t>
  </si>
  <si>
    <t>88.68</t>
  </si>
  <si>
    <t>8.17</t>
  </si>
  <si>
    <t>55.58</t>
  </si>
  <si>
    <t>146.42</t>
  </si>
  <si>
    <t>10.5</t>
  </si>
  <si>
    <t>84.69</t>
  </si>
  <si>
    <t>8.41</t>
  </si>
  <si>
    <t>38.65</t>
  </si>
  <si>
    <t>26.17</t>
  </si>
  <si>
    <t>55.34</t>
  </si>
  <si>
    <t>3.99</t>
  </si>
  <si>
    <t>3.49</t>
  </si>
  <si>
    <t>146.43</t>
  </si>
  <si>
    <t>9.42</t>
  </si>
  <si>
    <t>89.14</t>
  </si>
  <si>
    <t>8.53</t>
  </si>
  <si>
    <t>38.91</t>
  </si>
  <si>
    <t>26.51</t>
  </si>
  <si>
    <t>56.19</t>
  </si>
  <si>
    <r>
      <t xml:space="preserve">3.52 </t>
    </r>
    <r>
      <rPr>
        <b/>
        <sz val="14"/>
        <color rgb="FF00FF00"/>
        <rFont val="Calibri"/>
      </rPr>
      <t>↑</t>
    </r>
  </si>
  <si>
    <t>142.73</t>
  </si>
  <si>
    <t>11.42</t>
  </si>
  <si>
    <t>18.02</t>
  </si>
  <si>
    <t>111.48</t>
  </si>
  <si>
    <r>
      <t xml:space="preserve">8.76 </t>
    </r>
    <r>
      <rPr>
        <b/>
        <sz val="14"/>
        <color rgb="FF00FF00"/>
        <rFont val="Calibri"/>
      </rPr>
      <t>↑</t>
    </r>
  </si>
  <si>
    <t>38.34</t>
  </si>
  <si>
    <t>26.31</t>
  </si>
  <si>
    <t>56.42</t>
  </si>
  <si>
    <t>4.27</t>
  </si>
  <si>
    <t>3.51</t>
  </si>
  <si>
    <t>142.81</t>
  </si>
  <si>
    <t>17.94</t>
  </si>
  <si>
    <t>88.3</t>
  </si>
  <si>
    <t>8.36</t>
  </si>
  <si>
    <t>38.46</t>
  </si>
  <si>
    <t>4.26</t>
  </si>
  <si>
    <t>144.44</t>
  </si>
  <si>
    <t>11.32</t>
  </si>
  <si>
    <t>7.33</t>
  </si>
  <si>
    <t>75.14</t>
  </si>
  <si>
    <t>26.47</t>
  </si>
  <si>
    <t>57.06</t>
  </si>
  <si>
    <t>142.23</t>
  </si>
  <si>
    <t>12.15</t>
  </si>
  <si>
    <t>97.34</t>
  </si>
  <si>
    <t>38.56</t>
  </si>
  <si>
    <t>26.32</t>
  </si>
  <si>
    <t>57.47</t>
  </si>
  <si>
    <t>4.16</t>
  </si>
  <si>
    <t>146.27</t>
  </si>
  <si>
    <t>11.88</t>
  </si>
  <si>
    <t>77.12</t>
  </si>
  <si>
    <t>38.45</t>
  </si>
  <si>
    <t>57.48</t>
  </si>
  <si>
    <t>4.24</t>
  </si>
  <si>
    <t>145.56</t>
  </si>
  <si>
    <t>79.4</t>
  </si>
  <si>
    <t>56.13</t>
  </si>
  <si>
    <t>4.07</t>
  </si>
  <si>
    <t>144.06</t>
  </si>
  <si>
    <t>11.41</t>
  </si>
  <si>
    <t>16.18</t>
  </si>
  <si>
    <t>111.44</t>
  </si>
  <si>
    <t>38.64</t>
  </si>
  <si>
    <t>26.34</t>
  </si>
  <si>
    <t>56.36</t>
  </si>
  <si>
    <t>18.0</t>
  </si>
  <si>
    <t>107.26</t>
  </si>
  <si>
    <t>8.84</t>
  </si>
  <si>
    <t>38.81</t>
  </si>
  <si>
    <t>25.83</t>
  </si>
  <si>
    <t>56.6</t>
  </si>
  <si>
    <t>4.18</t>
  </si>
  <si>
    <t>3.57</t>
  </si>
  <si>
    <t>144.32</t>
  </si>
  <si>
    <t>11.39</t>
  </si>
  <si>
    <t>6.68</t>
  </si>
  <si>
    <t>111.23</t>
  </si>
  <si>
    <t>8.5</t>
  </si>
  <si>
    <t>53.85</t>
  </si>
  <si>
    <t>4.03</t>
  </si>
  <si>
    <t>145.01</t>
  </si>
  <si>
    <t>98.98</t>
  </si>
  <si>
    <t>26.54</t>
  </si>
  <si>
    <t>55.27</t>
  </si>
  <si>
    <t>147.16</t>
  </si>
  <si>
    <t>13.52</t>
  </si>
  <si>
    <t>71.06</t>
  </si>
  <si>
    <r>
      <t xml:space="preserve">7.89 </t>
    </r>
    <r>
      <rPr>
        <b/>
        <sz val="14"/>
        <color rgb="FFFF0000"/>
        <rFont val="Calibri"/>
      </rPr>
      <t>↓</t>
    </r>
  </si>
  <si>
    <t>38.4</t>
  </si>
  <si>
    <t>56.66</t>
  </si>
  <si>
    <t>3.97</t>
  </si>
  <si>
    <t>146.36</t>
  </si>
  <si>
    <t>17.91</t>
  </si>
  <si>
    <t>87.42</t>
  </si>
  <si>
    <t>38.68</t>
  </si>
  <si>
    <t>26.28</t>
  </si>
  <si>
    <t>55.9</t>
  </si>
  <si>
    <t>148.79</t>
  </si>
  <si>
    <t>102.52</t>
  </si>
  <si>
    <t>38.41</t>
  </si>
  <si>
    <t>26.5</t>
  </si>
  <si>
    <t>56.01</t>
  </si>
  <si>
    <r>
      <t xml:space="preserve">3.89 </t>
    </r>
    <r>
      <rPr>
        <b/>
        <sz val="14"/>
        <color rgb="FFFF0000"/>
        <rFont val="Calibri"/>
      </rPr>
      <t>↓</t>
    </r>
  </si>
  <si>
    <t>145.57</t>
  </si>
  <si>
    <t>85.0</t>
  </si>
  <si>
    <t>38.24</t>
  </si>
  <si>
    <t>26.66</t>
  </si>
  <si>
    <t>56.0</t>
  </si>
  <si>
    <r>
      <t xml:space="preserve">3.97 </t>
    </r>
    <r>
      <rPr>
        <b/>
        <sz val="14"/>
        <color rgb="FFFF0000"/>
        <rFont val="Calibri"/>
      </rPr>
      <t>↓</t>
    </r>
  </si>
  <si>
    <t>141.48</t>
  </si>
  <si>
    <t>7.81</t>
  </si>
  <si>
    <t>109.8</t>
  </si>
  <si>
    <t>8.25</t>
  </si>
  <si>
    <t>38.63</t>
  </si>
  <si>
    <t>26.15</t>
  </si>
  <si>
    <t>55.13</t>
  </si>
  <si>
    <t>148.58</t>
  </si>
  <si>
    <t>103.51</t>
  </si>
  <si>
    <t>8.22</t>
  </si>
  <si>
    <t>26.36</t>
  </si>
  <si>
    <t>55.39</t>
  </si>
  <si>
    <t>145.08</t>
  </si>
  <si>
    <t>2.65</t>
  </si>
  <si>
    <t>109.3</t>
  </si>
  <si>
    <t>26.16</t>
  </si>
  <si>
    <t>4.05</t>
  </si>
  <si>
    <t>146.67</t>
  </si>
  <si>
    <t>1.63</t>
  </si>
  <si>
    <t>111.13</t>
  </si>
  <si>
    <r>
      <t xml:space="preserve">8.47 </t>
    </r>
    <r>
      <rPr>
        <b/>
        <sz val="14"/>
        <color rgb="FF00FF00"/>
        <rFont val="Calibri"/>
      </rPr>
      <t>↑</t>
    </r>
  </si>
  <si>
    <t>38.54</t>
  </si>
  <si>
    <t>26.7</t>
  </si>
  <si>
    <t>54.57</t>
  </si>
  <si>
    <t>144.72</t>
  </si>
  <si>
    <t>2.27</t>
  </si>
  <si>
    <t>98.28</t>
  </si>
  <si>
    <t>8.24</t>
  </si>
  <si>
    <t>56.22</t>
  </si>
  <si>
    <t>147.02</t>
  </si>
  <si>
    <t>11.3</t>
  </si>
  <si>
    <t>75.23</t>
  </si>
  <si>
    <t>26.44</t>
  </si>
  <si>
    <t>144.81</t>
  </si>
  <si>
    <t>79.24</t>
  </si>
  <si>
    <t>26.48</t>
  </si>
  <si>
    <t>56.48</t>
  </si>
  <si>
    <t>146.63</t>
  </si>
  <si>
    <t>12.82</t>
  </si>
  <si>
    <t>74.35</t>
  </si>
  <si>
    <t>7.89</t>
  </si>
  <si>
    <t>26.74</t>
  </si>
  <si>
    <t>56.43</t>
  </si>
  <si>
    <r>
      <t xml:space="preserve">3.73 </t>
    </r>
    <r>
      <rPr>
        <b/>
        <sz val="14"/>
        <color rgb="FFFF0000"/>
        <rFont val="Calibri"/>
      </rPr>
      <t>↓</t>
    </r>
  </si>
  <si>
    <r>
      <t xml:space="preserve">3.32 </t>
    </r>
    <r>
      <rPr>
        <b/>
        <sz val="14"/>
        <color rgb="FFFF0000"/>
        <rFont val="Calibri"/>
      </rPr>
      <t>↓</t>
    </r>
  </si>
  <si>
    <t>147.92</t>
  </si>
  <si>
    <t>78.1</t>
  </si>
  <si>
    <t>38.27</t>
  </si>
  <si>
    <t>26.62</t>
  </si>
  <si>
    <t>56.41</t>
  </si>
  <si>
    <t>147.62</t>
  </si>
  <si>
    <t>8.68</t>
  </si>
  <si>
    <t>26.83</t>
  </si>
  <si>
    <t>3.86</t>
  </si>
  <si>
    <t>142.41</t>
  </si>
  <si>
    <t>17.96</t>
  </si>
  <si>
    <t>97.08</t>
  </si>
  <si>
    <t>8.59</t>
  </si>
  <si>
    <r>
      <t xml:space="preserve">26.03 </t>
    </r>
    <r>
      <rPr>
        <b/>
        <sz val="14"/>
        <color rgb="FFFF0000"/>
        <rFont val="Calibri"/>
      </rPr>
      <t>↓</t>
    </r>
  </si>
  <si>
    <t>57.11</t>
  </si>
  <si>
    <t>144.66</t>
  </si>
  <si>
    <r>
      <t xml:space="preserve">106.62 </t>
    </r>
    <r>
      <rPr>
        <b/>
        <sz val="14"/>
        <color rgb="FF00FF00"/>
        <rFont val="Calibri"/>
      </rPr>
      <t>↑</t>
    </r>
  </si>
  <si>
    <r>
      <t xml:space="preserve">8.64 </t>
    </r>
    <r>
      <rPr>
        <b/>
        <sz val="14"/>
        <color rgb="FF00FF00"/>
        <rFont val="Calibri"/>
      </rPr>
      <t>↑</t>
    </r>
  </si>
  <si>
    <t>26.04</t>
  </si>
  <si>
    <t>56.55</t>
  </si>
  <si>
    <t>4.25</t>
  </si>
  <si>
    <t>142.56</t>
  </si>
  <si>
    <t>100.16</t>
  </si>
  <si>
    <t>8.39</t>
  </si>
  <si>
    <t>56.76</t>
  </si>
  <si>
    <t>3.44</t>
  </si>
  <si>
    <t>141.44</t>
  </si>
  <si>
    <t>72.34</t>
  </si>
  <si>
    <t>26.59</t>
  </si>
  <si>
    <r>
      <t xml:space="preserve">56.92 </t>
    </r>
    <r>
      <rPr>
        <b/>
        <sz val="14"/>
        <color rgb="FF00FF00"/>
        <rFont val="Calibri"/>
      </rPr>
      <t>↑</t>
    </r>
  </si>
  <si>
    <t>143.19</t>
  </si>
  <si>
    <t>22.77</t>
  </si>
  <si>
    <t>71.99</t>
  </si>
  <si>
    <t>3.65</t>
  </si>
  <si>
    <t>148.45</t>
  </si>
  <si>
    <t>17.03</t>
  </si>
  <si>
    <r>
      <t xml:space="preserve">69.16 </t>
    </r>
    <r>
      <rPr>
        <b/>
        <sz val="14"/>
        <color rgb="FFFF0000"/>
        <rFont val="Calibri"/>
      </rPr>
      <t>↓</t>
    </r>
  </si>
  <si>
    <t>7.87</t>
  </si>
  <si>
    <t>56.75</t>
  </si>
  <si>
    <t>3.66</t>
  </si>
  <si>
    <r>
      <t xml:space="preserve">3.29 </t>
    </r>
    <r>
      <rPr>
        <b/>
        <sz val="14"/>
        <color rgb="FFFF0000"/>
        <rFont val="Calibri"/>
      </rPr>
      <t>↓</t>
    </r>
  </si>
  <si>
    <t>146.83</t>
  </si>
  <si>
    <r>
      <t xml:space="preserve">11.32 </t>
    </r>
    <r>
      <rPr>
        <b/>
        <sz val="14"/>
        <color rgb="FFFF0000"/>
        <rFont val="Calibri"/>
      </rPr>
      <t>↓</t>
    </r>
  </si>
  <si>
    <r>
      <t xml:space="preserve">82.43 </t>
    </r>
    <r>
      <rPr>
        <b/>
        <sz val="14"/>
        <color rgb="FFFF0000"/>
        <rFont val="Calibri"/>
      </rPr>
      <t>↓</t>
    </r>
  </si>
  <si>
    <r>
      <t xml:space="preserve">7.87 </t>
    </r>
    <r>
      <rPr>
        <b/>
        <sz val="14"/>
        <color rgb="FFFF0000"/>
        <rFont val="Calibri"/>
      </rPr>
      <t>↓</t>
    </r>
  </si>
  <si>
    <t>26.86</t>
  </si>
  <si>
    <r>
      <t xml:space="preserve">3.58 </t>
    </r>
    <r>
      <rPr>
        <b/>
        <sz val="14"/>
        <color rgb="FFFF0000"/>
        <rFont val="Calibri"/>
      </rPr>
      <t>↓</t>
    </r>
  </si>
  <si>
    <t>3.32</t>
  </si>
  <si>
    <t>148.84</t>
  </si>
  <si>
    <r>
      <t xml:space="preserve">11.35 </t>
    </r>
    <r>
      <rPr>
        <b/>
        <sz val="14"/>
        <color rgb="FFFF0000"/>
        <rFont val="Calibri"/>
      </rPr>
      <t>↓</t>
    </r>
  </si>
  <si>
    <t>97.01</t>
  </si>
  <si>
    <r>
      <t xml:space="preserve">3.79 </t>
    </r>
    <r>
      <rPr>
        <b/>
        <sz val="14"/>
        <color rgb="FFFF0000"/>
        <rFont val="Calibri"/>
      </rPr>
      <t>↓</t>
    </r>
  </si>
  <si>
    <t>147.9</t>
  </si>
  <si>
    <t>101.03</t>
  </si>
  <si>
    <t>38.42</t>
  </si>
  <si>
    <t>26.4</t>
  </si>
  <si>
    <t>145.94</t>
  </si>
  <si>
    <t>106.62</t>
  </si>
  <si>
    <t>8.47</t>
  </si>
  <si>
    <r>
      <t xml:space="preserve">38.78 </t>
    </r>
    <r>
      <rPr>
        <b/>
        <sz val="14"/>
        <color rgb="FF00FF00"/>
        <rFont val="Calibri"/>
      </rPr>
      <t>↑</t>
    </r>
  </si>
  <si>
    <t>55.93</t>
  </si>
  <si>
    <r>
      <t xml:space="preserve">3.47 </t>
    </r>
    <r>
      <rPr>
        <b/>
        <sz val="14"/>
        <color rgb="FF00FF00"/>
        <rFont val="Calibri"/>
      </rPr>
      <t>↑</t>
    </r>
  </si>
  <si>
    <t>144.07</t>
  </si>
  <si>
    <t>18.01</t>
  </si>
  <si>
    <t>111.39</t>
  </si>
  <si>
    <t>38.55</t>
  </si>
  <si>
    <t>25.97</t>
  </si>
  <si>
    <t>4.12</t>
  </si>
  <si>
    <r>
      <t xml:space="preserve">3.45 </t>
    </r>
    <r>
      <rPr>
        <b/>
        <sz val="14"/>
        <color rgb="FF00FF00"/>
        <rFont val="Calibri"/>
      </rPr>
      <t>↑</t>
    </r>
  </si>
  <si>
    <t>146.57</t>
  </si>
  <si>
    <t>14.09</t>
  </si>
  <si>
    <t>2.68</t>
  </si>
  <si>
    <t>74.86</t>
  </si>
  <si>
    <r>
      <t xml:space="preserve">57.11 </t>
    </r>
    <r>
      <rPr>
        <b/>
        <sz val="14"/>
        <color rgb="FF00FF00"/>
        <rFont val="Calibri"/>
      </rPr>
      <t>↑</t>
    </r>
  </si>
  <si>
    <t>4.15</t>
  </si>
  <si>
    <t>146.68</t>
  </si>
  <si>
    <t>89.63</t>
  </si>
  <si>
    <t>7.93</t>
  </si>
  <si>
    <t>38.37</t>
  </si>
  <si>
    <t>146.09</t>
  </si>
  <si>
    <t>20.98</t>
  </si>
  <si>
    <t>7.78</t>
  </si>
  <si>
    <t>26.49</t>
  </si>
  <si>
    <t>3.28</t>
  </si>
  <si>
    <t>148.73</t>
  </si>
  <si>
    <t>24.15</t>
  </si>
  <si>
    <t>75.2</t>
  </si>
  <si>
    <t>38.25</t>
  </si>
  <si>
    <t>55.81</t>
  </si>
  <si>
    <t>3.26</t>
  </si>
  <si>
    <t>150.52</t>
  </si>
  <si>
    <t>13.26</t>
  </si>
  <si>
    <t>8.07</t>
  </si>
  <si>
    <t>38.82</t>
  </si>
  <si>
    <t>55.05</t>
  </si>
  <si>
    <t>3.78</t>
  </si>
  <si>
    <t>152.27</t>
  </si>
  <si>
    <t>8.43</t>
  </si>
  <si>
    <t>56.1</t>
  </si>
  <si>
    <t>148.51</t>
  </si>
  <si>
    <t>4.2 (3.78 - 4.62)</t>
  </si>
  <si>
    <t>8.48</t>
  </si>
  <si>
    <t>37.76</t>
  </si>
  <si>
    <t>55.74</t>
  </si>
  <si>
    <t>4.17</t>
  </si>
  <si>
    <t>141.8</t>
  </si>
  <si>
    <t>4.75 (4.28 - 5.23)</t>
  </si>
  <si>
    <t>109.73 (98.76 - 120.7)</t>
  </si>
  <si>
    <t>25.9</t>
  </si>
  <si>
    <t>3.9</t>
  </si>
  <si>
    <t>145.77</t>
  </si>
  <si>
    <t>0.56 (0.5 - 0.62)</t>
  </si>
  <si>
    <t>37.7</t>
  </si>
  <si>
    <t>54.31</t>
  </si>
  <si>
    <t>143.12</t>
  </si>
  <si>
    <t>38.01</t>
  </si>
  <si>
    <t>26.02</t>
  </si>
  <si>
    <t>56.16</t>
  </si>
  <si>
    <t>144.75</t>
  </si>
  <si>
    <t>3.15 (2.84 - 3.47)</t>
  </si>
  <si>
    <t>87.0 (78.3 - 95.7)</t>
  </si>
  <si>
    <t>38.17</t>
  </si>
  <si>
    <t>26.98</t>
  </si>
  <si>
    <t>147.44</t>
  </si>
  <si>
    <t>84.9 (76.41 - 93.39)</t>
  </si>
  <si>
    <t>7.82</t>
  </si>
  <si>
    <t>55.61</t>
  </si>
  <si>
    <t>3.25</t>
  </si>
  <si>
    <t>149.04</t>
  </si>
  <si>
    <t>1.42 (1.28 - 1.56)</t>
  </si>
  <si>
    <t>85.42 (76.88 - 93.96)</t>
  </si>
  <si>
    <t>7.91</t>
  </si>
  <si>
    <t>25.95</t>
  </si>
  <si>
    <t>55.92</t>
  </si>
  <si>
    <t>142.99</t>
  </si>
  <si>
    <t>0.04 (0.04 - 0.04)</t>
  </si>
  <si>
    <t>39.37</t>
  </si>
  <si>
    <t>24.5</t>
  </si>
  <si>
    <t>56.99</t>
  </si>
  <si>
    <t>4.14</t>
  </si>
  <si>
    <t>146.07</t>
  </si>
  <si>
    <t>1.66 (1.5 - 1.83)</t>
  </si>
  <si>
    <t>26.24</t>
  </si>
  <si>
    <t>56.04</t>
  </si>
  <si>
    <t>139.18</t>
  </si>
  <si>
    <t>80.73 (72.66 - 88.8)</t>
  </si>
  <si>
    <t>7.73</t>
  </si>
  <si>
    <t>37.96</t>
  </si>
  <si>
    <t>54.98</t>
  </si>
  <si>
    <t>142.53</t>
  </si>
  <si>
    <t>3.14 (2.83 - 3.45)</t>
  </si>
  <si>
    <t>85.22 (76.7 - 93.74)</t>
  </si>
  <si>
    <t>38.29</t>
  </si>
  <si>
    <t>26.55</t>
  </si>
  <si>
    <t>54.99</t>
  </si>
  <si>
    <r>
      <t xml:space="preserve">3.62 </t>
    </r>
    <r>
      <rPr>
        <b/>
        <sz val="14"/>
        <color rgb="FFFF0000"/>
        <rFont val="Calibri"/>
      </rPr>
      <t>↓</t>
    </r>
  </si>
  <si>
    <t>143.42</t>
  </si>
  <si>
    <t>83.19 (74.87 - 91.51)</t>
  </si>
  <si>
    <t>38.61</t>
  </si>
  <si>
    <t>25.54</t>
  </si>
  <si>
    <t>56.57</t>
  </si>
  <si>
    <t>145.17</t>
  </si>
  <si>
    <t>1.5 (1.35 - 1.65)</t>
  </si>
  <si>
    <t>84.34 (75.91 - 92.77)</t>
  </si>
  <si>
    <t>56.2</t>
  </si>
  <si>
    <t>144.17</t>
  </si>
  <si>
    <t>89.46 (80.51 - 98.41)</t>
  </si>
  <si>
    <t>25.57</t>
  </si>
  <si>
    <t>56.78</t>
  </si>
  <si>
    <t>139.04</t>
  </si>
  <si>
    <t>5.28 (4.75 - 5.8)</t>
  </si>
  <si>
    <t>8.28</t>
  </si>
  <si>
    <t>25.59</t>
  </si>
  <si>
    <t>56.54</t>
  </si>
  <si>
    <t>4.28</t>
  </si>
  <si>
    <t>139.12</t>
  </si>
  <si>
    <t>1.79 (1.61 - 1.97)</t>
  </si>
  <si>
    <t>108.77 (97.89 - 119.65)</t>
  </si>
  <si>
    <t>8.13</t>
  </si>
  <si>
    <t>39.57</t>
  </si>
  <si>
    <t>23.86</t>
  </si>
  <si>
    <t>56.87</t>
  </si>
  <si>
    <t>4.2</t>
  </si>
  <si>
    <t>3.46</t>
  </si>
  <si>
    <t>5.15 (4.64 - 5.67)</t>
  </si>
  <si>
    <t>8.23</t>
  </si>
  <si>
    <t>56.18</t>
  </si>
  <si>
    <t>135.27</t>
  </si>
  <si>
    <t>84.72 (76.25 - 93.19)</t>
  </si>
  <si>
    <t>25.67</t>
  </si>
  <si>
    <t>56.11</t>
  </si>
  <si>
    <t>3.27</t>
  </si>
  <si>
    <t>0.02 (0.02 - 0.02)</t>
  </si>
  <si>
    <t>92.05 (82.85 - 101.26)</t>
  </si>
  <si>
    <t>39.06</t>
  </si>
  <si>
    <t>25.55</t>
  </si>
  <si>
    <t>56.38</t>
  </si>
  <si>
    <t>143.91</t>
  </si>
  <si>
    <t>101.56 (91.4 - 111.72)</t>
  </si>
  <si>
    <t>25.82</t>
  </si>
  <si>
    <t>144.65</t>
  </si>
  <si>
    <t>4.06 (3.65 - 4.47)</t>
  </si>
  <si>
    <t>26.84</t>
  </si>
  <si>
    <t>54.62</t>
  </si>
  <si>
    <t>3.92</t>
  </si>
  <si>
    <t>139.21</t>
  </si>
  <si>
    <t>112.02 (100.82 - 123.22)</t>
  </si>
  <si>
    <t>7.84</t>
  </si>
  <si>
    <t>38.1</t>
  </si>
  <si>
    <t>55.2</t>
  </si>
  <si>
    <t>141.97</t>
  </si>
  <si>
    <t>0.47 (0.42 - 0.51)</t>
  </si>
  <si>
    <t>7.92</t>
  </si>
  <si>
    <t>38.33</t>
  </si>
  <si>
    <t>144.34</t>
  </si>
  <si>
    <t>95.51 (85.96 - 105.06)</t>
  </si>
  <si>
    <t>7.8</t>
  </si>
  <si>
    <t>37.79</t>
  </si>
  <si>
    <t>139.67</t>
  </si>
  <si>
    <t>1.11 (1.0 - 1.22)</t>
  </si>
  <si>
    <t>93.78 (84.4 - 103.16)</t>
  </si>
  <si>
    <t>26.22</t>
  </si>
  <si>
    <t>3.89</t>
  </si>
  <si>
    <t>143.32</t>
  </si>
  <si>
    <t>85.72 (77.15 - 94.29)</t>
  </si>
  <si>
    <t>25.81</t>
  </si>
  <si>
    <t>143.63</t>
  </si>
  <si>
    <r>
      <t xml:space="preserve">3.96 </t>
    </r>
    <r>
      <rPr>
        <b/>
        <sz val="14"/>
        <color rgb="FF00FF00"/>
        <rFont val="Calibri"/>
      </rPr>
      <t>↑</t>
    </r>
  </si>
  <si>
    <t>3.52 (3.17 - 3.87)</t>
  </si>
  <si>
    <t>85.8 (77.22 - 94.38)</t>
  </si>
  <si>
    <t>37.72</t>
  </si>
  <si>
    <t>55.36</t>
  </si>
  <si>
    <t>141.01</t>
  </si>
  <si>
    <t>79.84 (71.86 - 87.82)</t>
  </si>
  <si>
    <t>55.55</t>
  </si>
  <si>
    <t>3.83</t>
  </si>
  <si>
    <t>143.85</t>
  </si>
  <si>
    <t>Std.Dev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</si>
</sst>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</font>
    <font>
      <b/>
      <sz val="14"/>
      <color rgb="FF00FF00"/>
      <name val="Calibri"/>
    </font>
    <font>
      <sz val="11"/>
      <color indexed="8"/>
      <name val="Calibri"/>
      <family val="2"/>
      <scheme val="minor"/>
    </font>
    <font>
      <b/>
      <sz val="14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7DC6F"/>
      </patternFill>
    </fill>
    <fill>
      <patternFill patternType="solid">
        <fgColor rgb="FFF89BA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0" xfId="0" applyFill="1"/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5" fillId="0" borderId="0" xfId="1"/>
    <xf numFmtId="14" fontId="2" fillId="0" borderId="0" xfId="1" applyNumberFormat="1" applyFont="1"/>
    <xf numFmtId="14" fontId="5" fillId="0" borderId="0" xfId="1" applyNumberFormat="1" applyAlignment="1">
      <alignment horizontal="left"/>
    </xf>
    <xf numFmtId="0" fontId="5" fillId="3" borderId="0" xfId="1" applyFill="1" applyAlignment="1">
      <alignment wrapText="1"/>
    </xf>
    <xf numFmtId="0" fontId="5" fillId="0" borderId="0" xfId="1" applyAlignment="1">
      <alignment wrapText="1"/>
    </xf>
    <xf numFmtId="0" fontId="3" fillId="0" borderId="0" xfId="1" applyFont="1"/>
    <xf numFmtId="0" fontId="5" fillId="4" borderId="0" xfId="1" applyFill="1"/>
    <xf numFmtId="0" fontId="3" fillId="4" borderId="0" xfId="1" applyFont="1" applyFill="1"/>
    <xf numFmtId="0" fontId="5" fillId="0" borderId="0" xfId="1" applyFill="1" applyBorder="1" applyAlignment="1">
      <alignment horizontal="center"/>
    </xf>
    <xf numFmtId="0" fontId="5" fillId="0" borderId="0" xfId="1"/>
    <xf numFmtId="0" fontId="5" fillId="0" borderId="0" xfId="1"/>
    <xf numFmtId="14" fontId="2" fillId="0" borderId="0" xfId="1" applyNumberFormat="1" applyFont="1"/>
    <xf numFmtId="14" fontId="5" fillId="0" borderId="0" xfId="1" applyNumberFormat="1" applyAlignment="1">
      <alignment horizontal="left"/>
    </xf>
    <xf numFmtId="0" fontId="5" fillId="3" borderId="0" xfId="1" applyFill="1" applyAlignment="1">
      <alignment wrapText="1"/>
    </xf>
    <xf numFmtId="0" fontId="5" fillId="0" borderId="0" xfId="1" applyAlignment="1">
      <alignment wrapText="1"/>
    </xf>
    <xf numFmtId="0" fontId="5" fillId="4" borderId="0" xfId="1" applyFill="1"/>
    <xf numFmtId="0" fontId="3" fillId="0" borderId="0" xfId="1" applyFont="1"/>
    <xf numFmtId="0" fontId="3" fillId="4" borderId="0" xfId="1" applyFont="1" applyFill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" xfId="1" xr:uid="{13341B9E-D064-488A-AF9F-D1DA551256A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9"/>
  <sheetViews>
    <sheetView tabSelected="1" workbookViewId="0">
      <selection activeCell="AP50" sqref="AP50"/>
    </sheetView>
  </sheetViews>
  <sheetFormatPr defaultRowHeight="14.4" x14ac:dyDescent="0.3"/>
  <cols>
    <col min="1" max="1" width="10.33203125" style="1" bestFit="1" customWidth="1"/>
    <col min="2" max="2" width="12" bestFit="1" customWidth="1"/>
    <col min="3" max="3" width="12.109375" bestFit="1" customWidth="1"/>
    <col min="4" max="4" width="13" bestFit="1" customWidth="1"/>
    <col min="5" max="6" width="12.109375" bestFit="1" customWidth="1"/>
    <col min="7" max="7" width="6.109375" bestFit="1" customWidth="1"/>
    <col min="8" max="9" width="12.109375" bestFit="1" customWidth="1"/>
    <col min="10" max="10" width="15.88671875" bestFit="1" customWidth="1"/>
    <col min="11" max="11" width="14.77734375" bestFit="1" customWidth="1"/>
    <col min="12" max="12" width="15.5546875" bestFit="1" customWidth="1"/>
    <col min="13" max="13" width="21.6640625" bestFit="1" customWidth="1"/>
    <col min="14" max="14" width="26.6640625" bestFit="1" customWidth="1"/>
    <col min="15" max="15" width="23.109375" bestFit="1" customWidth="1"/>
    <col min="16" max="16" width="18.109375" bestFit="1" customWidth="1"/>
    <col min="17" max="17" width="11.109375" bestFit="1" customWidth="1"/>
    <col min="18" max="18" width="10.109375" bestFit="1" customWidth="1"/>
    <col min="19" max="19" width="22.6640625" bestFit="1" customWidth="1"/>
    <col min="20" max="20" width="14.109375" bestFit="1" customWidth="1"/>
    <col min="21" max="21" width="15.21875" bestFit="1" customWidth="1"/>
    <col min="22" max="22" width="18.21875" bestFit="1" customWidth="1"/>
    <col min="23" max="23" width="24.21875" bestFit="1" customWidth="1"/>
    <col min="24" max="24" width="8.6640625" bestFit="1" customWidth="1"/>
    <col min="25" max="25" width="13.77734375" customWidth="1"/>
    <col min="26" max="26" width="8.6640625" bestFit="1" customWidth="1"/>
    <col min="27" max="27" width="4.5546875" bestFit="1" customWidth="1"/>
  </cols>
  <sheetData>
    <row r="1" spans="1:44" x14ac:dyDescent="0.3">
      <c r="B1" s="2" t="s">
        <v>30</v>
      </c>
      <c r="C1" s="2">
        <v>8.15</v>
      </c>
      <c r="D1" s="2">
        <v>38.78</v>
      </c>
      <c r="E1" s="2">
        <v>26.21</v>
      </c>
      <c r="F1" s="2">
        <v>55.07</v>
      </c>
      <c r="G1" s="2">
        <v>3.81</v>
      </c>
      <c r="H1" s="2">
        <v>3.4</v>
      </c>
      <c r="I1" s="2">
        <v>152.22999999999999</v>
      </c>
      <c r="K1" t="s">
        <v>33</v>
      </c>
      <c r="L1" t="s">
        <v>34</v>
      </c>
      <c r="M1">
        <v>16520.68</v>
      </c>
      <c r="O1" t="s">
        <v>35</v>
      </c>
      <c r="P1" t="s">
        <v>34</v>
      </c>
      <c r="Q1">
        <v>9.23</v>
      </c>
      <c r="S1" t="s">
        <v>36</v>
      </c>
      <c r="T1">
        <v>-3</v>
      </c>
      <c r="W1" t="s">
        <v>37</v>
      </c>
      <c r="X1">
        <v>8000</v>
      </c>
      <c r="Z1" t="s">
        <v>34</v>
      </c>
      <c r="AA1">
        <v>20</v>
      </c>
    </row>
    <row r="2" spans="1:44" x14ac:dyDescent="0.3">
      <c r="B2" s="2" t="s">
        <v>31</v>
      </c>
      <c r="C2">
        <v>0.1</v>
      </c>
      <c r="D2">
        <v>9999</v>
      </c>
      <c r="E2">
        <v>0.2</v>
      </c>
      <c r="F2">
        <v>-0.05</v>
      </c>
      <c r="G2">
        <v>7.0000000000000007E-2</v>
      </c>
      <c r="H2">
        <v>0.02</v>
      </c>
      <c r="I2">
        <v>9999</v>
      </c>
      <c r="L2" t="s">
        <v>38</v>
      </c>
      <c r="M2">
        <v>8000</v>
      </c>
      <c r="P2" t="s">
        <v>39</v>
      </c>
      <c r="Q2">
        <v>-0.75</v>
      </c>
    </row>
    <row r="3" spans="1:44" x14ac:dyDescent="0.3">
      <c r="B3" s="2" t="s">
        <v>32</v>
      </c>
      <c r="C3">
        <v>0.4</v>
      </c>
      <c r="D3">
        <v>0</v>
      </c>
      <c r="E3">
        <v>0.2</v>
      </c>
      <c r="F3">
        <v>0.1</v>
      </c>
      <c r="G3">
        <v>0.2</v>
      </c>
      <c r="H3">
        <v>0.1</v>
      </c>
      <c r="I3">
        <v>0</v>
      </c>
    </row>
    <row r="4" spans="1:44" x14ac:dyDescent="0.3">
      <c r="U4">
        <v>3</v>
      </c>
      <c r="X4">
        <v>12</v>
      </c>
      <c r="Y4">
        <v>20</v>
      </c>
      <c r="Z4">
        <v>32</v>
      </c>
      <c r="AA4">
        <v>28</v>
      </c>
    </row>
    <row r="6" spans="1:44" x14ac:dyDescent="0.3">
      <c r="A6" s="25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  <c r="K6" s="3" t="s">
        <v>10</v>
      </c>
      <c r="L6" s="3" t="s">
        <v>11</v>
      </c>
      <c r="M6" s="3" t="s">
        <v>12</v>
      </c>
      <c r="N6" s="3" t="s">
        <v>13</v>
      </c>
      <c r="O6" s="3" t="s">
        <v>14</v>
      </c>
      <c r="P6" s="3" t="s">
        <v>15</v>
      </c>
      <c r="Q6" s="3" t="s">
        <v>16</v>
      </c>
      <c r="R6" s="3" t="s">
        <v>17</v>
      </c>
      <c r="S6" s="3" t="s">
        <v>18</v>
      </c>
      <c r="T6" s="26" t="s">
        <v>22</v>
      </c>
      <c r="U6" s="26" t="s">
        <v>23</v>
      </c>
      <c r="V6" s="26" t="s">
        <v>24</v>
      </c>
      <c r="W6" s="26" t="s">
        <v>25</v>
      </c>
      <c r="X6" s="26" t="s">
        <v>26</v>
      </c>
      <c r="Y6" s="26" t="s">
        <v>27</v>
      </c>
      <c r="Z6" s="26" t="s">
        <v>28</v>
      </c>
      <c r="AA6" s="26" t="s">
        <v>29</v>
      </c>
      <c r="AE6" s="3" t="s">
        <v>2</v>
      </c>
      <c r="AF6" s="3" t="s">
        <v>3</v>
      </c>
      <c r="AG6" s="3" t="s">
        <v>4</v>
      </c>
      <c r="AH6" s="3" t="s">
        <v>5</v>
      </c>
      <c r="AI6" s="3" t="s">
        <v>6</v>
      </c>
      <c r="AJ6" s="3" t="s">
        <v>7</v>
      </c>
      <c r="AK6" s="3" t="s">
        <v>8</v>
      </c>
      <c r="AL6" s="3" t="s">
        <v>16</v>
      </c>
      <c r="AM6" s="3" t="s">
        <v>9</v>
      </c>
      <c r="AO6" s="5" t="s">
        <v>40</v>
      </c>
      <c r="AP6" s="5" t="s">
        <v>41</v>
      </c>
      <c r="AR6" s="6" t="s">
        <v>42</v>
      </c>
    </row>
    <row r="7" spans="1:44" x14ac:dyDescent="0.3">
      <c r="A7" s="27">
        <v>45519</v>
      </c>
      <c r="B7" s="28" t="s">
        <v>19</v>
      </c>
      <c r="C7" s="29">
        <v>8.0860000000000003</v>
      </c>
      <c r="D7" s="29">
        <v>37.166666666666657</v>
      </c>
      <c r="E7" s="29">
        <v>28.086666666666659</v>
      </c>
      <c r="F7" s="29">
        <v>55.72</v>
      </c>
      <c r="G7" s="29">
        <v>3.63</v>
      </c>
      <c r="H7" s="29">
        <v>3.22</v>
      </c>
      <c r="I7" s="29">
        <v>138.83333333333329</v>
      </c>
      <c r="J7" s="29">
        <v>10.507669250412389</v>
      </c>
      <c r="K7" s="29">
        <v>4.2344856454677596E-3</v>
      </c>
      <c r="L7" s="29">
        <v>4.4494574608194247E-2</v>
      </c>
      <c r="M7" s="29">
        <v>14.954068465932419</v>
      </c>
      <c r="N7" s="29">
        <v>2.6039000257246691E-3</v>
      </c>
      <c r="O7" s="29">
        <v>5225</v>
      </c>
      <c r="P7" s="29">
        <v>108.8617387056299</v>
      </c>
      <c r="Q7" s="29">
        <v>10865.212799999999</v>
      </c>
      <c r="R7" s="29">
        <v>1.2999999999999999E-2</v>
      </c>
      <c r="S7" s="29">
        <v>22.104724824710409</v>
      </c>
      <c r="T7" s="29">
        <f>AVERAGE(AO7:AP7)</f>
        <v>9.9871967380016216</v>
      </c>
      <c r="U7" s="29">
        <f>VLOOKUP($AR7,ggg,U$4,0)</f>
        <v>15.31</v>
      </c>
      <c r="V7" s="29">
        <f>VLOOKUP($AR7,fff,3,)</f>
        <v>15.81</v>
      </c>
      <c r="W7" s="29">
        <f>VLOOKUP($AR7,fff,2,)</f>
        <v>16.97</v>
      </c>
      <c r="X7" s="29">
        <f>VLOOKUP($AR7,ggg,X$4,0)</f>
        <v>7.89</v>
      </c>
      <c r="Y7" s="29">
        <f>VLOOKUP($AR7,ggg,Y$4,0)</f>
        <v>26.62</v>
      </c>
      <c r="Z7" s="29">
        <f>VLOOKUP($AR7,ggg,Z$4,0)</f>
        <v>3.24</v>
      </c>
      <c r="AA7" s="29">
        <f>VLOOKUP($AR7,ggg,AA$4,0)</f>
        <v>3.58</v>
      </c>
      <c r="AE7">
        <f>C$3*(C$1-C7)/C$2</f>
        <v>0.25600000000000023</v>
      </c>
      <c r="AF7">
        <f t="shared" ref="AF7:AK7" si="0">D$3*(D$1-D7)/D$2</f>
        <v>0</v>
      </c>
      <c r="AG7">
        <f t="shared" si="0"/>
        <v>-1.876666666666658</v>
      </c>
      <c r="AH7">
        <f t="shared" si="0"/>
        <v>1.2999999999999972</v>
      </c>
      <c r="AI7">
        <f t="shared" si="0"/>
        <v>0.51428571428571468</v>
      </c>
      <c r="AJ7">
        <f t="shared" si="0"/>
        <v>0.89999999999999858</v>
      </c>
      <c r="AK7">
        <f t="shared" si="0"/>
        <v>0</v>
      </c>
      <c r="AL7">
        <f>(Q7-$M$1)/$M$2</f>
        <v>-0.70693340000000016</v>
      </c>
      <c r="AM7">
        <f>(J7-$Q$1)/$Q$2</f>
        <v>-1.703559000549852</v>
      </c>
      <c r="AO7">
        <f>M7+SUM(AE7:AM7)+$T$1+R7/$X$1</f>
        <v>10.63719673800162</v>
      </c>
      <c r="AP7">
        <f>M7+SUM(AE7:AM7)+$T$1+R7/$X$1-AH7-AK7</f>
        <v>9.337196738001623</v>
      </c>
      <c r="AR7" t="str">
        <f>A7&amp;B7</f>
        <v>45519B</v>
      </c>
    </row>
    <row r="8" spans="1:44" x14ac:dyDescent="0.3">
      <c r="A8" s="27">
        <v>45519</v>
      </c>
      <c r="B8" s="28" t="s">
        <v>20</v>
      </c>
      <c r="C8" s="29">
        <v>7.89</v>
      </c>
      <c r="D8" s="29">
        <v>39.25</v>
      </c>
      <c r="E8" s="29">
        <v>26.625</v>
      </c>
      <c r="F8" s="29">
        <v>55.74</v>
      </c>
      <c r="G8" s="29">
        <v>3.58</v>
      </c>
      <c r="H8" s="29">
        <v>3.2349999999999999</v>
      </c>
      <c r="I8" s="29">
        <v>146.25</v>
      </c>
      <c r="J8" s="29">
        <v>7.2239089590873906</v>
      </c>
      <c r="K8" s="29">
        <v>1.4484465577777319E-3</v>
      </c>
      <c r="L8" s="29">
        <v>1.0463446065489849E-2</v>
      </c>
      <c r="M8" s="29">
        <v>22.528795616454751</v>
      </c>
      <c r="N8" s="29">
        <v>2.5935796050116111E-3</v>
      </c>
      <c r="O8" s="29">
        <v>5225</v>
      </c>
      <c r="P8" s="29">
        <v>80.223163154736739</v>
      </c>
      <c r="Q8" s="29">
        <v>3806.8319999999999</v>
      </c>
      <c r="R8" s="29">
        <v>1.7999999999999999E-2</v>
      </c>
      <c r="S8" s="29">
        <v>24.631900870402131</v>
      </c>
      <c r="T8" s="29">
        <f t="shared" ref="T8:T67" si="1">AVERAGE(AO8:AP8)</f>
        <v>23.391497778147762</v>
      </c>
      <c r="U8" s="29">
        <f>VLOOKUP($AR8,ggg,U$4,0)</f>
        <v>15.86</v>
      </c>
      <c r="V8" s="29" t="e">
        <f>VLOOKUP($AR8,fff,3,)</f>
        <v>#N/A</v>
      </c>
      <c r="W8" s="29" t="e">
        <f>VLOOKUP($AR8,fff,2,)</f>
        <v>#N/A</v>
      </c>
      <c r="X8" s="29">
        <f>VLOOKUP($AR8,ggg,X$4,0)</f>
        <v>8.1999999999999993</v>
      </c>
      <c r="Y8" s="29">
        <f>VLOOKUP($AR8,ggg,Y$4,0)</f>
        <v>25.44</v>
      </c>
      <c r="Z8" s="29">
        <f>VLOOKUP($AR8,ggg,Z$4,0)</f>
        <v>3.37</v>
      </c>
      <c r="AA8" s="29">
        <f>VLOOKUP($AR8,ggg,AA$4,0)</f>
        <v>3.58</v>
      </c>
      <c r="AE8">
        <f t="shared" ref="AE8:AE71" si="2">C$3*(C$1-C8)/C$2</f>
        <v>1.0400000000000027</v>
      </c>
      <c r="AF8">
        <f t="shared" ref="AF8:AF71" si="3">D$3*(D$1-D8)/D$2</f>
        <v>0</v>
      </c>
      <c r="AG8">
        <f t="shared" ref="AG8:AG71" si="4">E$3*(E$1-E8)/E$2</f>
        <v>-0.41499999999999915</v>
      </c>
      <c r="AH8">
        <f t="shared" ref="AH8:AH71" si="5">F$3*(F$1-F8)/F$2</f>
        <v>1.3400000000000034</v>
      </c>
      <c r="AI8">
        <f t="shared" ref="AI8:AI71" si="6">G$3*(G$1-G8)/G$2</f>
        <v>0.65714285714285703</v>
      </c>
      <c r="AJ8">
        <f t="shared" ref="AJ8:AJ71" si="7">H$3*(H$1-H8)/H$2</f>
        <v>0.82500000000000018</v>
      </c>
      <c r="AK8">
        <f t="shared" ref="AK8:AK71" si="8">I$3*(I$1-I8)/I$2</f>
        <v>0</v>
      </c>
      <c r="AL8">
        <f t="shared" ref="AL8:AL67" si="9">(Q8-$M$1)/$M$2</f>
        <v>-1.5892310000000001</v>
      </c>
      <c r="AM8">
        <f t="shared" ref="AM8:AM67" si="10">(J8-$Q$1)/$Q$2</f>
        <v>2.6747880545501466</v>
      </c>
      <c r="AO8">
        <f t="shared" ref="AO8:AO67" si="11">M8+SUM(AE8:AM8)+$T$1+R8/$X$1</f>
        <v>24.061497778147764</v>
      </c>
      <c r="AP8">
        <f t="shared" ref="AP8:AP67" si="12">M8+SUM(AE8:AM8)+$T$1+R8/$X$1-AH8-AK8</f>
        <v>22.721497778147761</v>
      </c>
      <c r="AR8" t="str">
        <f t="shared" ref="AR8:AR67" si="13">A8&amp;B8</f>
        <v>45519C</v>
      </c>
    </row>
    <row r="9" spans="1:44" x14ac:dyDescent="0.3">
      <c r="A9" s="27">
        <v>45520</v>
      </c>
      <c r="B9" s="28" t="s">
        <v>21</v>
      </c>
      <c r="C9" s="29">
        <v>8.1999999999999993</v>
      </c>
      <c r="D9" s="29">
        <v>39</v>
      </c>
      <c r="E9" s="29">
        <v>25.445</v>
      </c>
      <c r="F9" s="29">
        <v>55.74</v>
      </c>
      <c r="G9" s="29">
        <v>3.58</v>
      </c>
      <c r="H9" s="29">
        <v>3.37</v>
      </c>
      <c r="I9" s="29">
        <v>149</v>
      </c>
      <c r="J9" s="29">
        <v>7.4219118608778283</v>
      </c>
      <c r="K9" s="29">
        <v>8.3531419070328374E-3</v>
      </c>
      <c r="L9" s="29">
        <v>6.1996282995402663E-2</v>
      </c>
      <c r="M9" s="29">
        <v>15.651881715919769</v>
      </c>
      <c r="N9" s="29">
        <v>2.590151793800712E-3</v>
      </c>
      <c r="O9" s="29">
        <v>5225</v>
      </c>
      <c r="P9" s="29">
        <v>80.117527524695035</v>
      </c>
      <c r="Q9" s="29">
        <v>8873.2800000000007</v>
      </c>
      <c r="R9" s="29">
        <v>5.0000000000000001E-3</v>
      </c>
      <c r="S9" s="29">
        <v>16.275496051067499</v>
      </c>
      <c r="T9" s="29">
        <f t="shared" si="1"/>
        <v>16.148884383558858</v>
      </c>
      <c r="U9" s="29">
        <f>VLOOKUP($AR9,ggg,U$4,0)</f>
        <v>20.079999999999998</v>
      </c>
      <c r="V9" s="29">
        <f>VLOOKUP($AR9,fff,3,)</f>
        <v>20.83</v>
      </c>
      <c r="W9" s="29">
        <f>VLOOKUP($AR9,fff,2,)</f>
        <v>22.77</v>
      </c>
      <c r="X9" s="29">
        <f>VLOOKUP($AR9,ggg,X$4,0)</f>
        <v>8.08</v>
      </c>
      <c r="Y9" s="29">
        <f>VLOOKUP($AR9,ggg,Y$4,0)</f>
        <v>25.77</v>
      </c>
      <c r="Z9" s="29">
        <f>VLOOKUP($AR9,ggg,Z$4,0)</f>
        <v>3.34</v>
      </c>
      <c r="AA9" s="29">
        <f>VLOOKUP($AR9,ggg,AA$4,0)</f>
        <v>3.58</v>
      </c>
      <c r="AE9">
        <f t="shared" si="2"/>
        <v>-0.19999999999999574</v>
      </c>
      <c r="AF9">
        <f t="shared" si="3"/>
        <v>0</v>
      </c>
      <c r="AG9">
        <f t="shared" si="4"/>
        <v>0.76500000000000068</v>
      </c>
      <c r="AH9">
        <f t="shared" si="5"/>
        <v>1.3400000000000034</v>
      </c>
      <c r="AI9">
        <f t="shared" si="6"/>
        <v>0.65714285714285703</v>
      </c>
      <c r="AJ9">
        <f t="shared" si="7"/>
        <v>0.14999999999999902</v>
      </c>
      <c r="AK9">
        <f t="shared" si="8"/>
        <v>0</v>
      </c>
      <c r="AL9">
        <f t="shared" si="9"/>
        <v>-0.95592499999999991</v>
      </c>
      <c r="AM9">
        <f t="shared" si="10"/>
        <v>2.4107841854962295</v>
      </c>
      <c r="AO9">
        <f t="shared" si="11"/>
        <v>16.81888438355886</v>
      </c>
      <c r="AP9">
        <f t="shared" si="12"/>
        <v>15.478884383558857</v>
      </c>
      <c r="AR9" t="str">
        <f t="shared" si="13"/>
        <v>45520A</v>
      </c>
    </row>
    <row r="10" spans="1:44" x14ac:dyDescent="0.3">
      <c r="A10" s="27">
        <v>45520</v>
      </c>
      <c r="B10" s="28" t="s">
        <v>19</v>
      </c>
      <c r="C10" s="29">
        <v>7.9680000000000009</v>
      </c>
      <c r="D10" s="29">
        <v>37.75</v>
      </c>
      <c r="E10" s="29">
        <v>25.438749999999999</v>
      </c>
      <c r="F10" s="29">
        <v>55</v>
      </c>
      <c r="G10" s="29">
        <v>3.58</v>
      </c>
      <c r="H10" s="29">
        <v>3.3574999999999999</v>
      </c>
      <c r="I10" s="29">
        <v>147.5</v>
      </c>
      <c r="J10" s="29">
        <v>9.5067343615167541</v>
      </c>
      <c r="K10" s="29">
        <v>2.0434710134890001E-3</v>
      </c>
      <c r="L10" s="29">
        <v>1.9426736100699341E-2</v>
      </c>
      <c r="M10" s="29">
        <v>17.520315367845441</v>
      </c>
      <c r="N10" s="29">
        <v>2.5910830976083139E-3</v>
      </c>
      <c r="O10" s="29">
        <v>5225</v>
      </c>
      <c r="P10" s="29">
        <v>80.146091756666692</v>
      </c>
      <c r="Q10" s="29">
        <v>5830.76</v>
      </c>
      <c r="R10" s="29">
        <v>1.4E-2</v>
      </c>
      <c r="S10" s="29">
        <v>20.173066092313029</v>
      </c>
      <c r="T10" s="29">
        <f t="shared" si="1"/>
        <v>15.113990826299293</v>
      </c>
      <c r="U10" s="29">
        <f>VLOOKUP($AR10,ggg,U$4,0)</f>
        <v>18.809999999999999</v>
      </c>
      <c r="V10" s="29">
        <f>VLOOKUP($AR10,fff,3,)</f>
        <v>16.93</v>
      </c>
      <c r="W10" s="29">
        <f>VLOOKUP($AR10,fff,2,)</f>
        <v>15.72</v>
      </c>
      <c r="X10" s="29">
        <f>VLOOKUP($AR10,ggg,X$4,0)</f>
        <v>8.1</v>
      </c>
      <c r="Y10" s="29">
        <f>VLOOKUP($AR10,ggg,Y$4,0)</f>
        <v>27.27</v>
      </c>
      <c r="Z10" s="29">
        <f>VLOOKUP($AR10,ggg,Z$4,0)</f>
        <v>3.34</v>
      </c>
      <c r="AA10" s="29">
        <f>VLOOKUP($AR10,ggg,AA$4,0)</f>
        <v>3.7</v>
      </c>
      <c r="AE10">
        <f t="shared" si="2"/>
        <v>0.72799999999999787</v>
      </c>
      <c r="AF10">
        <f t="shared" si="3"/>
        <v>0</v>
      </c>
      <c r="AG10">
        <f t="shared" si="4"/>
        <v>0.77125000000000199</v>
      </c>
      <c r="AH10">
        <f t="shared" si="5"/>
        <v>-0.14000000000000057</v>
      </c>
      <c r="AI10">
        <f t="shared" si="6"/>
        <v>0.65714285714285703</v>
      </c>
      <c r="AJ10">
        <f t="shared" si="7"/>
        <v>0.21249999999999991</v>
      </c>
      <c r="AK10">
        <f t="shared" si="8"/>
        <v>0</v>
      </c>
      <c r="AL10">
        <f t="shared" si="9"/>
        <v>-1.3362400000000001</v>
      </c>
      <c r="AM10">
        <f t="shared" si="10"/>
        <v>-0.36897914868900489</v>
      </c>
      <c r="AO10">
        <f t="shared" si="11"/>
        <v>15.043990826299293</v>
      </c>
      <c r="AP10">
        <f t="shared" si="12"/>
        <v>15.183990826299294</v>
      </c>
      <c r="AR10" t="str">
        <f t="shared" si="13"/>
        <v>45520B</v>
      </c>
    </row>
    <row r="11" spans="1:44" x14ac:dyDescent="0.3">
      <c r="A11" s="27">
        <v>45520</v>
      </c>
      <c r="B11" s="28" t="s">
        <v>20</v>
      </c>
      <c r="C11" s="29">
        <v>8.1399999999999988</v>
      </c>
      <c r="D11" s="29">
        <v>38</v>
      </c>
      <c r="E11" s="29">
        <v>27.228571428571431</v>
      </c>
      <c r="F11" s="29">
        <v>55</v>
      </c>
      <c r="G11" s="29">
        <v>3.7</v>
      </c>
      <c r="H11" s="29">
        <v>3.2971428571428572</v>
      </c>
      <c r="I11" s="29">
        <v>143.57142857142861</v>
      </c>
      <c r="J11" s="29">
        <v>11.00852800952725</v>
      </c>
      <c r="K11" s="29">
        <v>5.1477463974876382E-3</v>
      </c>
      <c r="L11" s="29">
        <v>5.6669110402685692E-2</v>
      </c>
      <c r="M11" s="29">
        <v>13.477665323583</v>
      </c>
      <c r="N11" s="29">
        <v>2.5990322862347579E-3</v>
      </c>
      <c r="O11" s="29">
        <v>5225</v>
      </c>
      <c r="P11" s="29">
        <v>99.024778509064902</v>
      </c>
      <c r="Q11" s="29">
        <v>17082.96</v>
      </c>
      <c r="R11" s="29">
        <v>1.4999999999999999E-2</v>
      </c>
      <c r="S11" s="29">
        <v>19.34451853195549</v>
      </c>
      <c r="T11" s="29">
        <f t="shared" si="1"/>
        <v>7.9565815192133371</v>
      </c>
      <c r="U11" s="29">
        <f>VLOOKUP($AR11,ggg,U$4,0)</f>
        <v>16.03</v>
      </c>
      <c r="V11" s="29" t="e">
        <f>VLOOKUP($AR11,fff,3,)</f>
        <v>#N/A</v>
      </c>
      <c r="W11" s="29" t="e">
        <f>VLOOKUP($AR11,fff,2,)</f>
        <v>#N/A</v>
      </c>
      <c r="X11" s="29">
        <f>VLOOKUP($AR11,ggg,X$4,0)</f>
        <v>8.4499999999999993</v>
      </c>
      <c r="Y11" s="29">
        <f>VLOOKUP($AR11,ggg,Y$4,0)</f>
        <v>26.6</v>
      </c>
      <c r="Z11" s="29">
        <f>VLOOKUP($AR11,ggg,Z$4,0)</f>
        <v>3.44</v>
      </c>
      <c r="AA11" s="29">
        <f>VLOOKUP($AR11,ggg,AA$4,0)</f>
        <v>3.7</v>
      </c>
      <c r="AE11">
        <f t="shared" si="2"/>
        <v>4.0000000000006253E-2</v>
      </c>
      <c r="AF11">
        <f t="shared" si="3"/>
        <v>0</v>
      </c>
      <c r="AG11">
        <f t="shared" si="4"/>
        <v>-1.0185714285714305</v>
      </c>
      <c r="AH11">
        <f t="shared" si="5"/>
        <v>-0.14000000000000057</v>
      </c>
      <c r="AI11">
        <f t="shared" si="6"/>
        <v>0.31428571428571395</v>
      </c>
      <c r="AJ11">
        <f t="shared" si="7"/>
        <v>0.51428571428571379</v>
      </c>
      <c r="AK11">
        <f t="shared" si="8"/>
        <v>0</v>
      </c>
      <c r="AL11">
        <f t="shared" si="9"/>
        <v>7.0284999999999848E-2</v>
      </c>
      <c r="AM11">
        <f t="shared" si="10"/>
        <v>-2.3713706793696665</v>
      </c>
      <c r="AO11">
        <f t="shared" si="11"/>
        <v>7.8865815192133359</v>
      </c>
      <c r="AP11">
        <f t="shared" si="12"/>
        <v>8.0265815192133374</v>
      </c>
      <c r="AR11" t="str">
        <f t="shared" si="13"/>
        <v>45520C</v>
      </c>
    </row>
    <row r="12" spans="1:44" x14ac:dyDescent="0.3">
      <c r="A12" s="27">
        <v>45523</v>
      </c>
      <c r="B12" s="28" t="s">
        <v>21</v>
      </c>
      <c r="C12" s="29">
        <v>8.4500000000000011</v>
      </c>
      <c r="D12" s="29">
        <v>39</v>
      </c>
      <c r="E12" s="29">
        <v>26.533333333333331</v>
      </c>
      <c r="F12" s="29">
        <v>55</v>
      </c>
      <c r="G12" s="29">
        <v>3.7</v>
      </c>
      <c r="H12" s="29">
        <v>3.4266666666666659</v>
      </c>
      <c r="I12" s="29">
        <v>150.66666666666671</v>
      </c>
      <c r="J12" s="29">
        <v>8.9054512705763091</v>
      </c>
      <c r="K12" s="29">
        <v>8.3200540638979862E-3</v>
      </c>
      <c r="L12" s="29">
        <v>7.4093836034603913E-2</v>
      </c>
      <c r="M12" s="29">
        <v>11.28268965205449</v>
      </c>
      <c r="N12" s="29">
        <v>2.5880426553065031E-3</v>
      </c>
      <c r="O12" s="29">
        <v>5225</v>
      </c>
      <c r="P12" s="29">
        <v>80.050749100556743</v>
      </c>
      <c r="Q12" s="29">
        <v>25728.639999999999</v>
      </c>
      <c r="R12" s="29">
        <v>1.4999999999999999E-2</v>
      </c>
      <c r="S12" s="29">
        <v>12.234400521909549</v>
      </c>
      <c r="T12" s="29">
        <f t="shared" si="1"/>
        <v>8.4540372139051296</v>
      </c>
      <c r="U12" s="29">
        <f>VLOOKUP($AR12,ggg,U$4,0)</f>
        <v>15.37</v>
      </c>
      <c r="V12" s="29">
        <f>VLOOKUP($AR12,fff,3,)</f>
        <v>15.1</v>
      </c>
      <c r="W12" s="29">
        <f>VLOOKUP($AR12,fff,2,)</f>
        <v>14.66</v>
      </c>
      <c r="X12" s="29">
        <f>VLOOKUP($AR12,ggg,X$4,0)</f>
        <v>8.43</v>
      </c>
      <c r="Y12" s="29">
        <f>VLOOKUP($AR12,ggg,Y$4,0)</f>
        <v>28.38</v>
      </c>
      <c r="Z12" s="29">
        <f>VLOOKUP($AR12,ggg,Z$4,0)</f>
        <v>3.51</v>
      </c>
      <c r="AA12" s="29">
        <f>VLOOKUP($AR12,ggg,AA$4,0)</f>
        <v>3.96</v>
      </c>
      <c r="AE12">
        <f t="shared" si="2"/>
        <v>-1.2000000000000028</v>
      </c>
      <c r="AF12">
        <f t="shared" si="3"/>
        <v>0</v>
      </c>
      <c r="AG12">
        <f t="shared" si="4"/>
        <v>-0.32333333333333059</v>
      </c>
      <c r="AH12">
        <f t="shared" si="5"/>
        <v>-0.14000000000000057</v>
      </c>
      <c r="AI12">
        <f t="shared" si="6"/>
        <v>0.31428571428571395</v>
      </c>
      <c r="AJ12">
        <f t="shared" si="7"/>
        <v>-0.13333333333332975</v>
      </c>
      <c r="AK12">
        <f t="shared" si="8"/>
        <v>0</v>
      </c>
      <c r="AL12">
        <f t="shared" si="9"/>
        <v>1.150995</v>
      </c>
      <c r="AM12">
        <f t="shared" si="10"/>
        <v>0.43273163923158836</v>
      </c>
      <c r="AO12">
        <f t="shared" si="11"/>
        <v>8.3840372139051293</v>
      </c>
      <c r="AP12">
        <f t="shared" si="12"/>
        <v>8.5240372139051299</v>
      </c>
      <c r="AR12" t="str">
        <f t="shared" si="13"/>
        <v>45523A</v>
      </c>
    </row>
    <row r="13" spans="1:44" x14ac:dyDescent="0.3">
      <c r="A13" s="27">
        <v>45523</v>
      </c>
      <c r="B13" s="28" t="s">
        <v>19</v>
      </c>
      <c r="C13" s="29">
        <v>8.418000000000001</v>
      </c>
      <c r="D13" s="29">
        <v>37.714285714285722</v>
      </c>
      <c r="E13" s="29">
        <v>27.76857142857143</v>
      </c>
      <c r="F13" s="29">
        <v>55.77</v>
      </c>
      <c r="G13" s="29">
        <v>3.96</v>
      </c>
      <c r="H13" s="29">
        <v>3.5371428571428569</v>
      </c>
      <c r="I13" s="29">
        <v>142.42857142857139</v>
      </c>
      <c r="J13" s="29">
        <v>8.7198338177585395</v>
      </c>
      <c r="K13" s="29">
        <v>1.189423875032708E-5</v>
      </c>
      <c r="L13" s="29">
        <v>1.0371578529159611E-4</v>
      </c>
      <c r="M13" s="29">
        <v>8.3332857381618126</v>
      </c>
      <c r="N13" s="29">
        <v>2.5904849933411798E-3</v>
      </c>
      <c r="O13" s="29">
        <v>5225</v>
      </c>
      <c r="P13" s="29">
        <v>88.108272563856389</v>
      </c>
      <c r="Q13" s="29">
        <v>29.760000000000009</v>
      </c>
      <c r="R13" s="29">
        <v>1.2E-2</v>
      </c>
      <c r="S13" s="29">
        <v>10.446901913333001</v>
      </c>
      <c r="T13" s="29">
        <f t="shared" si="1"/>
        <v>0.9072866716266168</v>
      </c>
      <c r="U13" s="29">
        <f>VLOOKUP($AR13,ggg,U$4,0)</f>
        <v>13.68</v>
      </c>
      <c r="V13" s="29">
        <f>VLOOKUP($AR13,fff,3,)</f>
        <v>10.97</v>
      </c>
      <c r="W13" s="29">
        <f>VLOOKUP($AR13,fff,2,)</f>
        <v>10.5</v>
      </c>
      <c r="X13" s="29">
        <f>VLOOKUP($AR13,ggg,X$4,0)</f>
        <v>8.5</v>
      </c>
      <c r="Y13" s="29">
        <f>VLOOKUP($AR13,ggg,Y$4,0)</f>
        <v>27</v>
      </c>
      <c r="Z13" s="29">
        <f>VLOOKUP($AR13,ggg,Z$4,0)</f>
        <v>3.65</v>
      </c>
      <c r="AA13" s="29">
        <f>VLOOKUP($AR13,ggg,AA$4,0)</f>
        <v>4.04</v>
      </c>
      <c r="AE13">
        <f t="shared" si="2"/>
        <v>-1.0720000000000027</v>
      </c>
      <c r="AF13">
        <f t="shared" si="3"/>
        <v>0</v>
      </c>
      <c r="AG13">
        <f t="shared" si="4"/>
        <v>-1.5585714285714296</v>
      </c>
      <c r="AH13">
        <f t="shared" si="5"/>
        <v>1.4000000000000057</v>
      </c>
      <c r="AI13">
        <f t="shared" si="6"/>
        <v>-0.42857142857142833</v>
      </c>
      <c r="AJ13">
        <f t="shared" si="7"/>
        <v>-0.68571428571428505</v>
      </c>
      <c r="AK13">
        <f t="shared" si="8"/>
        <v>0</v>
      </c>
      <c r="AL13">
        <f t="shared" si="9"/>
        <v>-2.0613650000000003</v>
      </c>
      <c r="AM13">
        <f t="shared" si="10"/>
        <v>0.68022157632194791</v>
      </c>
      <c r="AO13">
        <f t="shared" si="11"/>
        <v>1.6072866716266196</v>
      </c>
      <c r="AP13">
        <f t="shared" si="12"/>
        <v>0.20728667162661396</v>
      </c>
      <c r="AR13" t="str">
        <f t="shared" si="13"/>
        <v>45523B</v>
      </c>
    </row>
    <row r="14" spans="1:44" x14ac:dyDescent="0.3">
      <c r="A14" s="27">
        <v>45523</v>
      </c>
      <c r="B14" s="28" t="s">
        <v>20</v>
      </c>
      <c r="C14" s="29">
        <v>8.5766666666666662</v>
      </c>
      <c r="D14" s="29">
        <v>38.166666666666657</v>
      </c>
      <c r="E14" s="29">
        <v>27.7</v>
      </c>
      <c r="F14" s="29">
        <v>54.98</v>
      </c>
      <c r="G14" s="29">
        <v>4.04</v>
      </c>
      <c r="H14" s="29">
        <v>3.583333333333333</v>
      </c>
      <c r="I14" s="29">
        <v>144.66666666666671</v>
      </c>
      <c r="J14" s="29">
        <v>10.06349066299633</v>
      </c>
      <c r="K14" s="29">
        <v>5.1473356507806094E-3</v>
      </c>
      <c r="L14" s="29">
        <v>5.1800164260938801E-2</v>
      </c>
      <c r="M14" s="29">
        <v>8.3408793419195995</v>
      </c>
      <c r="N14" s="29">
        <v>2.6019965973264761E-3</v>
      </c>
      <c r="O14" s="29">
        <v>5225</v>
      </c>
      <c r="P14" s="29">
        <v>92.951506306648525</v>
      </c>
      <c r="Q14" s="29">
        <v>20624.080000000002</v>
      </c>
      <c r="R14" s="29">
        <v>1.7000000000000001E-2</v>
      </c>
      <c r="S14" s="29">
        <v>8.3275693812761737</v>
      </c>
      <c r="T14" s="29">
        <f t="shared" si="1"/>
        <v>-0.11799060755169408</v>
      </c>
      <c r="U14" s="29">
        <f>VLOOKUP($AR14,ggg,U$4,0)</f>
        <v>11.08</v>
      </c>
      <c r="V14" s="29" t="e">
        <f>VLOOKUP($AR14,fff,3,)</f>
        <v>#N/A</v>
      </c>
      <c r="W14" s="29" t="e">
        <f>VLOOKUP($AR14,fff,2,)</f>
        <v>#N/A</v>
      </c>
      <c r="X14" s="29">
        <f>VLOOKUP($AR14,ggg,X$4,0)</f>
        <v>8.57</v>
      </c>
      <c r="Y14" s="29">
        <f>VLOOKUP($AR14,ggg,Y$4,0)</f>
        <v>26.92</v>
      </c>
      <c r="Z14" s="29">
        <f>VLOOKUP($AR14,ggg,Z$4,0)</f>
        <v>3.44</v>
      </c>
      <c r="AA14" s="29">
        <f>VLOOKUP($AR14,ggg,AA$4,0)</f>
        <v>4.04</v>
      </c>
      <c r="AE14">
        <f t="shared" si="2"/>
        <v>-1.7066666666666634</v>
      </c>
      <c r="AF14">
        <f t="shared" si="3"/>
        <v>0</v>
      </c>
      <c r="AG14">
        <f t="shared" si="4"/>
        <v>-1.4899999999999984</v>
      </c>
      <c r="AH14">
        <f t="shared" si="5"/>
        <v>-0.18000000000000682</v>
      </c>
      <c r="AI14">
        <f t="shared" si="6"/>
        <v>-0.65714285714285703</v>
      </c>
      <c r="AJ14">
        <f t="shared" si="7"/>
        <v>-0.91666666666666563</v>
      </c>
      <c r="AK14">
        <f t="shared" si="8"/>
        <v>0</v>
      </c>
      <c r="AL14">
        <f t="shared" si="9"/>
        <v>0.51292500000000019</v>
      </c>
      <c r="AM14">
        <f t="shared" si="10"/>
        <v>-1.1113208839951056</v>
      </c>
      <c r="AO14">
        <f t="shared" si="11"/>
        <v>-0.20799060755169749</v>
      </c>
      <c r="AP14">
        <f t="shared" si="12"/>
        <v>-2.7990607551690666E-2</v>
      </c>
      <c r="AR14" t="str">
        <f t="shared" si="13"/>
        <v>45523C</v>
      </c>
    </row>
    <row r="15" spans="1:44" x14ac:dyDescent="0.3">
      <c r="A15" s="27">
        <v>45524</v>
      </c>
      <c r="B15" s="28" t="s">
        <v>21</v>
      </c>
      <c r="C15" s="29">
        <v>8.5749999999999993</v>
      </c>
      <c r="D15" s="29">
        <v>38.714285714285722</v>
      </c>
      <c r="E15" s="29">
        <v>26.92285714285714</v>
      </c>
      <c r="F15" s="29">
        <v>54.98</v>
      </c>
      <c r="G15" s="29">
        <v>4.04</v>
      </c>
      <c r="H15" s="29">
        <v>3.44</v>
      </c>
      <c r="I15" s="29">
        <v>149.28571428571431</v>
      </c>
      <c r="J15" s="29">
        <v>6.4726133662859997</v>
      </c>
      <c r="K15" s="29">
        <v>4.1169729522164099E-3</v>
      </c>
      <c r="L15" s="29">
        <v>2.6647574159153871E-2</v>
      </c>
      <c r="M15" s="29">
        <v>8.3371708395030666</v>
      </c>
      <c r="N15" s="29">
        <v>2.5917042320956602E-3</v>
      </c>
      <c r="O15" s="29">
        <v>5225</v>
      </c>
      <c r="P15" s="29">
        <v>90.58410020218723</v>
      </c>
      <c r="Q15" s="29">
        <v>12766.08</v>
      </c>
      <c r="R15" s="29">
        <v>8.0000000000000002E-3</v>
      </c>
      <c r="S15" s="29">
        <v>8.4954443592514082</v>
      </c>
      <c r="T15" s="29">
        <f t="shared" si="1"/>
        <v>5.1843623511217389</v>
      </c>
      <c r="U15" s="29">
        <f>VLOOKUP($AR15,ggg,U$4,0)</f>
        <v>12.64</v>
      </c>
      <c r="V15" s="29">
        <f>VLOOKUP($AR15,fff,3,)</f>
        <v>13.73</v>
      </c>
      <c r="W15" s="29">
        <f>VLOOKUP($AR15,fff,2,)</f>
        <v>13.72</v>
      </c>
      <c r="X15" s="29">
        <f>VLOOKUP($AR15,ggg,X$4,0)</f>
        <v>8.15</v>
      </c>
      <c r="Y15" s="29">
        <f>VLOOKUP($AR15,ggg,Y$4,0)</f>
        <v>26.4</v>
      </c>
      <c r="Z15" s="29">
        <f>VLOOKUP($AR15,ggg,Z$4,0)</f>
        <v>3.34</v>
      </c>
      <c r="AA15" s="29">
        <f>VLOOKUP($AR15,ggg,AA$4,0)</f>
        <v>4.0599999999999996</v>
      </c>
      <c r="AE15">
        <f t="shared" si="2"/>
        <v>-1.699999999999996</v>
      </c>
      <c r="AF15">
        <f t="shared" si="3"/>
        <v>0</v>
      </c>
      <c r="AG15">
        <f t="shared" si="4"/>
        <v>-0.71285714285713908</v>
      </c>
      <c r="AH15">
        <f t="shared" si="5"/>
        <v>-0.18000000000000682</v>
      </c>
      <c r="AI15">
        <f t="shared" si="6"/>
        <v>-0.65714285714285703</v>
      </c>
      <c r="AJ15">
        <f t="shared" si="7"/>
        <v>-0.20000000000000018</v>
      </c>
      <c r="AK15">
        <f t="shared" si="8"/>
        <v>0</v>
      </c>
      <c r="AL15">
        <f t="shared" si="9"/>
        <v>-0.46932500000000005</v>
      </c>
      <c r="AM15">
        <f t="shared" si="10"/>
        <v>3.6765155116186676</v>
      </c>
      <c r="AO15">
        <f t="shared" si="11"/>
        <v>5.0943623511217355</v>
      </c>
      <c r="AP15">
        <f t="shared" si="12"/>
        <v>5.2743623511217423</v>
      </c>
      <c r="AR15" t="str">
        <f t="shared" si="13"/>
        <v>45524A</v>
      </c>
    </row>
    <row r="16" spans="1:44" x14ac:dyDescent="0.3">
      <c r="A16" s="27">
        <v>45524</v>
      </c>
      <c r="B16" s="28" t="s">
        <v>19</v>
      </c>
      <c r="C16" s="29">
        <v>8.1980000000000004</v>
      </c>
      <c r="D16" s="29">
        <v>38.714285714285722</v>
      </c>
      <c r="E16" s="29">
        <v>26.12285714285715</v>
      </c>
      <c r="F16" s="29">
        <v>54.44</v>
      </c>
      <c r="G16" s="29">
        <v>4.0599999999999996</v>
      </c>
      <c r="H16" s="29">
        <v>3.4</v>
      </c>
      <c r="I16" s="29">
        <v>142.57142857142861</v>
      </c>
      <c r="J16" s="29">
        <v>8.9531132200430488</v>
      </c>
      <c r="K16" s="29">
        <v>3.8049791107273899E-3</v>
      </c>
      <c r="L16" s="29">
        <v>3.406640877824104E-2</v>
      </c>
      <c r="M16" s="29">
        <v>8.3481897014750484</v>
      </c>
      <c r="N16" s="29">
        <v>2.5951130931797951E-3</v>
      </c>
      <c r="O16" s="29">
        <v>5225</v>
      </c>
      <c r="P16" s="29">
        <v>97.610699401478882</v>
      </c>
      <c r="Q16" s="29">
        <v>9053.08</v>
      </c>
      <c r="R16" s="29">
        <v>1.6E-2</v>
      </c>
      <c r="S16" s="29">
        <v>13.780979955225931</v>
      </c>
      <c r="T16" s="29">
        <f t="shared" si="1"/>
        <v>3.3347812176081191</v>
      </c>
      <c r="U16" s="29">
        <f>VLOOKUP($AR16,ggg,U$4,0)</f>
        <v>14.23</v>
      </c>
      <c r="V16" s="29">
        <f>VLOOKUP($AR16,fff,3,)</f>
        <v>13.91</v>
      </c>
      <c r="W16" s="29">
        <f>VLOOKUP($AR16,fff,2,)</f>
        <v>13.94</v>
      </c>
      <c r="X16" s="29">
        <f>VLOOKUP($AR16,ggg,X$4,0)</f>
        <v>8.07</v>
      </c>
      <c r="Y16" s="29">
        <f>VLOOKUP($AR16,ggg,Y$4,0)</f>
        <v>26.9</v>
      </c>
      <c r="Z16" s="29">
        <f>VLOOKUP($AR16,ggg,Z$4,0)</f>
        <v>3.28</v>
      </c>
      <c r="AA16" s="29">
        <f>VLOOKUP($AR16,ggg,AA$4,0)</f>
        <v>4.0599999999999996</v>
      </c>
      <c r="AE16">
        <f t="shared" si="2"/>
        <v>-0.19200000000000017</v>
      </c>
      <c r="AF16">
        <f t="shared" si="3"/>
        <v>0</v>
      </c>
      <c r="AG16">
        <f t="shared" si="4"/>
        <v>8.7142857142850957E-2</v>
      </c>
      <c r="AH16">
        <f t="shared" si="5"/>
        <v>-1.2600000000000051</v>
      </c>
      <c r="AI16">
        <f t="shared" si="6"/>
        <v>-0.71428571428571297</v>
      </c>
      <c r="AJ16">
        <f t="shared" si="7"/>
        <v>0</v>
      </c>
      <c r="AK16">
        <f t="shared" si="8"/>
        <v>0</v>
      </c>
      <c r="AL16">
        <f t="shared" si="9"/>
        <v>-0.93345</v>
      </c>
      <c r="AM16">
        <f t="shared" si="10"/>
        <v>0.36918237327593556</v>
      </c>
      <c r="AO16">
        <f t="shared" si="11"/>
        <v>2.7047812176081165</v>
      </c>
      <c r="AP16">
        <f t="shared" si="12"/>
        <v>3.9647812176081216</v>
      </c>
      <c r="AR16" t="str">
        <f t="shared" si="13"/>
        <v>45524B</v>
      </c>
    </row>
    <row r="17" spans="1:44" x14ac:dyDescent="0.3">
      <c r="A17" s="27">
        <v>45524</v>
      </c>
      <c r="B17" s="28" t="s">
        <v>20</v>
      </c>
      <c r="C17" s="29">
        <v>8.0749999999999993</v>
      </c>
      <c r="D17" s="29">
        <v>38.4</v>
      </c>
      <c r="E17" s="29">
        <v>26.82</v>
      </c>
      <c r="F17" s="29">
        <v>56.44</v>
      </c>
      <c r="G17" s="29">
        <v>4.0599999999999996</v>
      </c>
      <c r="H17" s="29">
        <v>3.2440000000000002</v>
      </c>
      <c r="I17" s="29">
        <v>149</v>
      </c>
      <c r="J17" s="29">
        <v>10.150971185143639</v>
      </c>
      <c r="K17" s="29">
        <v>6.0152016047697009E-3</v>
      </c>
      <c r="L17" s="29">
        <v>6.1060138162847E-2</v>
      </c>
      <c r="M17" s="29">
        <v>19.15675242870412</v>
      </c>
      <c r="N17" s="29">
        <v>2.5941162541228552E-3</v>
      </c>
      <c r="O17" s="29">
        <v>5225</v>
      </c>
      <c r="P17" s="29">
        <v>84.777534146814816</v>
      </c>
      <c r="Q17" s="29">
        <v>29283.16</v>
      </c>
      <c r="R17" s="29">
        <v>2.1999999999999999E-2</v>
      </c>
      <c r="S17" s="29">
        <v>17.774636857174489</v>
      </c>
      <c r="T17" s="29">
        <f t="shared" si="1"/>
        <v>17.649817884226891</v>
      </c>
      <c r="U17" s="29">
        <f>VLOOKUP($AR17,ggg,U$4,0)</f>
        <v>13.98</v>
      </c>
      <c r="V17" s="29" t="e">
        <f>VLOOKUP($AR17,fff,3,)</f>
        <v>#N/A</v>
      </c>
      <c r="W17" s="29" t="e">
        <f>VLOOKUP($AR17,fff,2,)</f>
        <v>#N/A</v>
      </c>
      <c r="X17" s="29">
        <f>VLOOKUP($AR17,ggg,X$4,0)</f>
        <v>8.11</v>
      </c>
      <c r="Y17" s="29">
        <f>VLOOKUP($AR17,ggg,Y$4,0)</f>
        <v>26.22</v>
      </c>
      <c r="Z17" s="29">
        <f>VLOOKUP($AR17,ggg,Z$4,0)</f>
        <v>3.25</v>
      </c>
      <c r="AA17" s="29">
        <f>VLOOKUP($AR17,ggg,AA$4,0)</f>
        <v>3.65</v>
      </c>
      <c r="AE17">
        <f t="shared" si="2"/>
        <v>0.30000000000000426</v>
      </c>
      <c r="AF17">
        <f t="shared" si="3"/>
        <v>0</v>
      </c>
      <c r="AG17">
        <f t="shared" si="4"/>
        <v>-0.60999999999999943</v>
      </c>
      <c r="AH17">
        <f t="shared" si="5"/>
        <v>2.7399999999999949</v>
      </c>
      <c r="AI17">
        <f t="shared" si="6"/>
        <v>-0.71428571428571297</v>
      </c>
      <c r="AJ17">
        <f t="shared" si="7"/>
        <v>0.77999999999999847</v>
      </c>
      <c r="AK17">
        <f t="shared" si="8"/>
        <v>0</v>
      </c>
      <c r="AL17">
        <f t="shared" si="9"/>
        <v>1.59531</v>
      </c>
      <c r="AM17">
        <f t="shared" si="10"/>
        <v>-1.2279615801915185</v>
      </c>
      <c r="AO17">
        <f t="shared" si="11"/>
        <v>19.019817884226889</v>
      </c>
      <c r="AP17">
        <f t="shared" si="12"/>
        <v>16.279817884226894</v>
      </c>
      <c r="AR17" t="str">
        <f t="shared" si="13"/>
        <v>45524C</v>
      </c>
    </row>
    <row r="18" spans="1:44" x14ac:dyDescent="0.3">
      <c r="A18" s="27">
        <v>45525</v>
      </c>
      <c r="B18" s="28" t="s">
        <v>21</v>
      </c>
      <c r="C18" s="29">
        <v>8.1125000000000007</v>
      </c>
      <c r="D18" s="29">
        <v>37.714285714285722</v>
      </c>
      <c r="E18" s="29">
        <v>26.221428571428572</v>
      </c>
      <c r="F18" s="29">
        <v>56.43</v>
      </c>
      <c r="G18" s="29">
        <v>3.65</v>
      </c>
      <c r="H18" s="29">
        <v>3.245714285714286</v>
      </c>
      <c r="I18" s="29">
        <v>147.57142857142861</v>
      </c>
      <c r="J18" s="29">
        <v>6.620025326916533</v>
      </c>
      <c r="K18" s="29">
        <v>1.4588945088583609E-3</v>
      </c>
      <c r="L18" s="29">
        <v>9.6579185979418052E-3</v>
      </c>
      <c r="M18" s="29">
        <v>20.738033399356549</v>
      </c>
      <c r="N18" s="29">
        <v>2.5928367703340191E-3</v>
      </c>
      <c r="O18" s="29">
        <v>5225</v>
      </c>
      <c r="P18" s="29">
        <v>80.195299048961104</v>
      </c>
      <c r="Q18" s="29">
        <v>4569.4799999999996</v>
      </c>
      <c r="R18" s="29">
        <v>1.4999999999999999E-2</v>
      </c>
      <c r="S18" s="29">
        <v>20.9875267678215</v>
      </c>
      <c r="T18" s="29">
        <f t="shared" si="1"/>
        <v>22.451244362277361</v>
      </c>
      <c r="U18" s="29">
        <f>VLOOKUP($AR18,ggg,U$4,0)</f>
        <v>21.47</v>
      </c>
      <c r="V18" s="29">
        <f>VLOOKUP($AR18,fff,3,)</f>
        <v>23.05</v>
      </c>
      <c r="W18" s="29">
        <f>VLOOKUP($AR18,fff,2,)</f>
        <v>22.68</v>
      </c>
      <c r="X18" s="29">
        <f>VLOOKUP($AR18,ggg,X$4,0)</f>
        <v>7.9</v>
      </c>
      <c r="Y18" s="29">
        <f>VLOOKUP($AR18,ggg,Y$4,0)</f>
        <v>25.9</v>
      </c>
      <c r="Z18" s="29">
        <f>VLOOKUP($AR18,ggg,Z$4,0)</f>
        <v>3.32</v>
      </c>
      <c r="AA18" s="29">
        <f>VLOOKUP($AR18,ggg,AA$4,0)</f>
        <v>3.65</v>
      </c>
      <c r="AE18">
        <f t="shared" si="2"/>
        <v>0.14999999999999858</v>
      </c>
      <c r="AF18">
        <f t="shared" si="3"/>
        <v>0</v>
      </c>
      <c r="AG18">
        <f t="shared" si="4"/>
        <v>-1.1428571428570676E-2</v>
      </c>
      <c r="AH18">
        <f t="shared" si="5"/>
        <v>2.7199999999999989</v>
      </c>
      <c r="AI18">
        <f t="shared" si="6"/>
        <v>0.45714285714285752</v>
      </c>
      <c r="AJ18">
        <f t="shared" si="7"/>
        <v>0.77142857142856958</v>
      </c>
      <c r="AK18">
        <f t="shared" si="8"/>
        <v>0</v>
      </c>
      <c r="AL18">
        <f t="shared" si="9"/>
        <v>-1.4939</v>
      </c>
      <c r="AM18">
        <f t="shared" si="10"/>
        <v>3.4799662307779564</v>
      </c>
      <c r="AO18">
        <f t="shared" si="11"/>
        <v>23.81124436227736</v>
      </c>
      <c r="AP18">
        <f t="shared" si="12"/>
        <v>21.091244362277362</v>
      </c>
      <c r="AR18" t="str">
        <f t="shared" si="13"/>
        <v>45525A</v>
      </c>
    </row>
    <row r="19" spans="1:44" x14ac:dyDescent="0.3">
      <c r="A19" s="27">
        <v>45525</v>
      </c>
      <c r="B19" s="28" t="s">
        <v>19</v>
      </c>
      <c r="C19" s="29">
        <v>7.9249999999999998</v>
      </c>
      <c r="D19" s="29">
        <v>38.200000000000003</v>
      </c>
      <c r="E19" s="29">
        <v>25.582000000000001</v>
      </c>
      <c r="F19" s="29">
        <v>55.79</v>
      </c>
      <c r="G19" s="29">
        <v>3.65</v>
      </c>
      <c r="H19" s="29">
        <v>3.351999999999999</v>
      </c>
      <c r="I19" s="29">
        <v>145</v>
      </c>
      <c r="J19" s="29">
        <v>12.786211408572131</v>
      </c>
      <c r="K19" s="29">
        <v>3.048726928732399E-3</v>
      </c>
      <c r="L19" s="29">
        <v>3.8981667037779263E-2</v>
      </c>
      <c r="M19" s="29">
        <v>17.77002180536201</v>
      </c>
      <c r="N19" s="29">
        <v>2.592277957649481E-3</v>
      </c>
      <c r="O19" s="29">
        <v>5225</v>
      </c>
      <c r="P19" s="29">
        <v>80.149912895727468</v>
      </c>
      <c r="Q19" s="29">
        <v>6827.6</v>
      </c>
      <c r="R19" s="29">
        <v>0.01</v>
      </c>
      <c r="S19" s="29">
        <v>20.457319704259302</v>
      </c>
      <c r="T19" s="29">
        <f t="shared" si="1"/>
        <v>11.761915701075367</v>
      </c>
      <c r="U19" s="29">
        <f>VLOOKUP($AR19,ggg,U$4,0)</f>
        <v>20.350000000000001</v>
      </c>
      <c r="V19" s="29">
        <f>VLOOKUP($AR19,fff,3,)</f>
        <v>16.170000000000002</v>
      </c>
      <c r="W19" s="29">
        <f>VLOOKUP($AR19,fff,2,)</f>
        <v>14.13</v>
      </c>
      <c r="X19" s="29">
        <f>VLOOKUP($AR19,ggg,X$4,0)</f>
        <v>7.96</v>
      </c>
      <c r="Y19" s="29">
        <f>VLOOKUP($AR19,ggg,Y$4,0)</f>
        <v>26.9</v>
      </c>
      <c r="Z19" s="29">
        <f>VLOOKUP($AR19,ggg,Z$4,0)</f>
        <v>3.41</v>
      </c>
      <c r="AA19" s="29">
        <f>VLOOKUP($AR19,ggg,AA$4,0)</f>
        <v>3.65</v>
      </c>
      <c r="AE19">
        <f t="shared" si="2"/>
        <v>0.90000000000000213</v>
      </c>
      <c r="AF19">
        <f t="shared" si="3"/>
        <v>0</v>
      </c>
      <c r="AG19">
        <f t="shared" si="4"/>
        <v>0.628</v>
      </c>
      <c r="AH19">
        <f t="shared" si="5"/>
        <v>1.4399999999999975</v>
      </c>
      <c r="AI19">
        <f t="shared" si="6"/>
        <v>0.45714285714285752</v>
      </c>
      <c r="AJ19">
        <f t="shared" si="7"/>
        <v>0.24000000000000465</v>
      </c>
      <c r="AK19">
        <f t="shared" si="8"/>
        <v>0</v>
      </c>
      <c r="AL19">
        <f t="shared" si="9"/>
        <v>-1.211635</v>
      </c>
      <c r="AM19">
        <f t="shared" si="10"/>
        <v>-4.7416152114295071</v>
      </c>
      <c r="AO19">
        <f t="shared" si="11"/>
        <v>12.481915701075366</v>
      </c>
      <c r="AP19">
        <f t="shared" si="12"/>
        <v>11.041915701075368</v>
      </c>
      <c r="AR19" t="str">
        <f t="shared" si="13"/>
        <v>45525B</v>
      </c>
    </row>
    <row r="20" spans="1:44" x14ac:dyDescent="0.3">
      <c r="A20" s="27">
        <v>45525</v>
      </c>
      <c r="B20" s="28" t="s">
        <v>20</v>
      </c>
      <c r="C20" s="29">
        <v>8.0299999999999994</v>
      </c>
      <c r="D20" s="29">
        <v>38.5</v>
      </c>
      <c r="E20" s="29">
        <v>26.033333333333331</v>
      </c>
      <c r="F20" s="29">
        <v>55.09</v>
      </c>
      <c r="G20" s="29">
        <v>3.65</v>
      </c>
      <c r="H20" s="29">
        <v>3.395</v>
      </c>
      <c r="I20" s="29">
        <v>142.25</v>
      </c>
      <c r="J20" s="29">
        <v>9.9397398536296055</v>
      </c>
      <c r="K20" s="29">
        <v>7.2732766463186596E-3</v>
      </c>
      <c r="L20" s="29">
        <v>7.2294477747887068E-2</v>
      </c>
      <c r="M20" s="29">
        <v>12.436388716114701</v>
      </c>
      <c r="N20" s="29">
        <v>2.5903905064143381E-3</v>
      </c>
      <c r="O20" s="29">
        <v>5225</v>
      </c>
      <c r="P20" s="29">
        <v>83.810057665529726</v>
      </c>
      <c r="Q20" s="29">
        <v>27303.599999999999</v>
      </c>
      <c r="R20" s="29">
        <v>1.6E-2</v>
      </c>
      <c r="S20" s="29">
        <v>18.066983663825301</v>
      </c>
      <c r="T20" s="29">
        <f t="shared" si="1"/>
        <v>10.99674543508476</v>
      </c>
      <c r="U20" s="29">
        <f>VLOOKUP($AR20,ggg,U$4,0)</f>
        <v>16.21</v>
      </c>
      <c r="V20" s="29" t="e">
        <f>VLOOKUP($AR20,fff,3,)</f>
        <v>#N/A</v>
      </c>
      <c r="W20" s="29" t="e">
        <f>VLOOKUP($AR20,fff,2,)</f>
        <v>#N/A</v>
      </c>
      <c r="X20" s="29">
        <f>VLOOKUP($AR20,ggg,X$4,0)</f>
        <v>8.3000000000000007</v>
      </c>
      <c r="Y20" s="29">
        <f>VLOOKUP($AR20,ggg,Y$4,0)</f>
        <v>26.5</v>
      </c>
      <c r="Z20" s="29">
        <f>VLOOKUP($AR20,ggg,Z$4,0)</f>
        <v>3.43</v>
      </c>
      <c r="AA20" s="29">
        <f>VLOOKUP($AR20,ggg,AA$4,0)</f>
        <v>3.65</v>
      </c>
      <c r="AE20">
        <f t="shared" si="2"/>
        <v>0.48000000000000403</v>
      </c>
      <c r="AF20">
        <f t="shared" si="3"/>
        <v>0</v>
      </c>
      <c r="AG20">
        <f t="shared" si="4"/>
        <v>0.17666666666666941</v>
      </c>
      <c r="AH20">
        <f t="shared" si="5"/>
        <v>4.0000000000006253E-2</v>
      </c>
      <c r="AI20">
        <f t="shared" si="6"/>
        <v>0.45714285714285752</v>
      </c>
      <c r="AJ20">
        <f t="shared" si="7"/>
        <v>2.4999999999999467E-2</v>
      </c>
      <c r="AK20">
        <f t="shared" si="8"/>
        <v>0</v>
      </c>
      <c r="AL20">
        <f t="shared" si="9"/>
        <v>1.3478649999999999</v>
      </c>
      <c r="AM20">
        <f t="shared" si="10"/>
        <v>-0.94631980483947353</v>
      </c>
      <c r="AO20">
        <f t="shared" si="11"/>
        <v>11.016745435084763</v>
      </c>
      <c r="AP20">
        <f t="shared" si="12"/>
        <v>10.976745435084757</v>
      </c>
      <c r="AR20" t="str">
        <f t="shared" si="13"/>
        <v>45525C</v>
      </c>
    </row>
    <row r="21" spans="1:44" x14ac:dyDescent="0.3">
      <c r="A21" s="27">
        <v>45526</v>
      </c>
      <c r="B21" s="28" t="s">
        <v>21</v>
      </c>
      <c r="C21" s="29">
        <v>8.3000000000000007</v>
      </c>
      <c r="D21" s="29">
        <v>38.5</v>
      </c>
      <c r="E21" s="29">
        <v>26.5</v>
      </c>
      <c r="F21" s="29">
        <v>55.08</v>
      </c>
      <c r="G21" s="29">
        <v>3.65</v>
      </c>
      <c r="H21" s="29">
        <v>3.43</v>
      </c>
      <c r="I21" s="29">
        <v>147.5</v>
      </c>
      <c r="J21" s="29">
        <v>8.547786287929739</v>
      </c>
      <c r="K21" s="29">
        <v>5.5408994496284258E-3</v>
      </c>
      <c r="L21" s="29">
        <v>4.7362424338331287E-2</v>
      </c>
      <c r="M21" s="29">
        <v>12.09085118690985</v>
      </c>
      <c r="N21" s="29">
        <v>2.5883843832820602E-3</v>
      </c>
      <c r="O21" s="29">
        <v>5225</v>
      </c>
      <c r="P21" s="29">
        <v>80.06309623783072</v>
      </c>
      <c r="Q21" s="29">
        <v>9577.44</v>
      </c>
      <c r="R21" s="29">
        <v>0.01</v>
      </c>
      <c r="S21" s="29">
        <v>14.60600638235956</v>
      </c>
      <c r="T21" s="29">
        <f t="shared" si="1"/>
        <v>8.559708576813053</v>
      </c>
      <c r="U21" s="29">
        <f>VLOOKUP($AR21,ggg,U$4,0)</f>
        <v>21.21</v>
      </c>
      <c r="V21" s="29">
        <f>VLOOKUP($AR21,fff,3,)</f>
        <v>20.72</v>
      </c>
      <c r="W21" s="29">
        <f>VLOOKUP($AR21,fff,2,)</f>
        <v>17.88</v>
      </c>
      <c r="X21" s="29">
        <f>VLOOKUP($AR21,ggg,X$4,0)</f>
        <v>7.85</v>
      </c>
      <c r="Y21" s="29">
        <f>VLOOKUP($AR21,ggg,Y$4,0)</f>
        <v>25</v>
      </c>
      <c r="Z21" s="29">
        <f>VLOOKUP($AR21,ggg,Z$4,0)</f>
        <v>3.37</v>
      </c>
      <c r="AA21" s="29">
        <f>VLOOKUP($AR21,ggg,AA$4,0)</f>
        <v>3.65</v>
      </c>
      <c r="AE21">
        <f t="shared" si="2"/>
        <v>-0.60000000000000142</v>
      </c>
      <c r="AF21">
        <f t="shared" si="3"/>
        <v>0</v>
      </c>
      <c r="AG21">
        <f t="shared" si="4"/>
        <v>-0.28999999999999915</v>
      </c>
      <c r="AH21">
        <f t="shared" si="5"/>
        <v>1.9999999999996021E-2</v>
      </c>
      <c r="AI21">
        <f t="shared" si="6"/>
        <v>0.45714285714285752</v>
      </c>
      <c r="AJ21">
        <f t="shared" si="7"/>
        <v>-0.15000000000000127</v>
      </c>
      <c r="AK21">
        <f t="shared" si="8"/>
        <v>0</v>
      </c>
      <c r="AL21">
        <f t="shared" si="9"/>
        <v>-0.86790499999999993</v>
      </c>
      <c r="AM21">
        <f t="shared" si="10"/>
        <v>0.90961828276034851</v>
      </c>
      <c r="AO21">
        <f t="shared" si="11"/>
        <v>8.569708576813051</v>
      </c>
      <c r="AP21">
        <f t="shared" si="12"/>
        <v>8.549708576813055</v>
      </c>
      <c r="AR21" t="str">
        <f t="shared" si="13"/>
        <v>45526A</v>
      </c>
    </row>
    <row r="22" spans="1:44" x14ac:dyDescent="0.3">
      <c r="A22" s="27">
        <v>45526</v>
      </c>
      <c r="B22" s="28" t="s">
        <v>19</v>
      </c>
      <c r="C22" s="29">
        <v>7.9124999999999996</v>
      </c>
      <c r="D22" s="29">
        <v>38.75</v>
      </c>
      <c r="E22" s="29">
        <v>25</v>
      </c>
      <c r="F22" s="29">
        <v>55.08</v>
      </c>
      <c r="G22" s="29">
        <v>3.65</v>
      </c>
      <c r="H22" s="29">
        <v>3.38</v>
      </c>
      <c r="I22" s="29">
        <v>145.5</v>
      </c>
      <c r="J22" s="29">
        <v>8.6556062457569585</v>
      </c>
      <c r="K22" s="29">
        <v>2.8319428526868569E-3</v>
      </c>
      <c r="L22" s="29">
        <v>2.4512182243343141E-2</v>
      </c>
      <c r="M22" s="29">
        <v>15.768105905317441</v>
      </c>
      <c r="N22" s="29">
        <v>2.5902019421967589E-3</v>
      </c>
      <c r="O22" s="29">
        <v>5225</v>
      </c>
      <c r="P22" s="29">
        <v>80.119304382401651</v>
      </c>
      <c r="Q22" s="29">
        <v>6499.16</v>
      </c>
      <c r="R22" s="29">
        <v>1.2E-2</v>
      </c>
      <c r="S22" s="29">
        <v>19.35950052445915</v>
      </c>
      <c r="T22" s="29">
        <f t="shared" si="1"/>
        <v>15.008418601451023</v>
      </c>
      <c r="U22" s="29">
        <f>VLOOKUP($AR22,ggg,U$4,0)</f>
        <v>19.45</v>
      </c>
      <c r="V22" s="29">
        <f>VLOOKUP($AR22,fff,3,)</f>
        <v>17.5</v>
      </c>
      <c r="W22" s="29">
        <f>VLOOKUP($AR22,fff,2,)</f>
        <v>17.32</v>
      </c>
      <c r="X22" s="29">
        <f>VLOOKUP($AR22,ggg,X$4,0)</f>
        <v>7.98</v>
      </c>
      <c r="Y22" s="29">
        <f>VLOOKUP($AR22,ggg,Y$4,0)</f>
        <v>27.9</v>
      </c>
      <c r="Z22" s="29">
        <f>VLOOKUP($AR22,ggg,Z$4,0)</f>
        <v>3.42</v>
      </c>
      <c r="AA22" s="29">
        <f>VLOOKUP($AR22,ggg,AA$4,0)</f>
        <v>3.84</v>
      </c>
      <c r="AE22">
        <f t="shared" si="2"/>
        <v>0.95000000000000284</v>
      </c>
      <c r="AF22">
        <f t="shared" si="3"/>
        <v>0</v>
      </c>
      <c r="AG22">
        <f t="shared" si="4"/>
        <v>1.2100000000000009</v>
      </c>
      <c r="AH22">
        <f t="shared" si="5"/>
        <v>1.9999999999996021E-2</v>
      </c>
      <c r="AI22">
        <f t="shared" si="6"/>
        <v>0.45714285714285752</v>
      </c>
      <c r="AJ22">
        <f t="shared" si="7"/>
        <v>0.10000000000000009</v>
      </c>
      <c r="AK22">
        <f t="shared" si="8"/>
        <v>0</v>
      </c>
      <c r="AL22">
        <f t="shared" si="9"/>
        <v>-1.2526900000000001</v>
      </c>
      <c r="AM22">
        <f t="shared" si="10"/>
        <v>0.76585833899072264</v>
      </c>
      <c r="AO22">
        <f t="shared" si="11"/>
        <v>15.018418601451021</v>
      </c>
      <c r="AP22">
        <f t="shared" si="12"/>
        <v>14.998418601451025</v>
      </c>
      <c r="AR22" t="str">
        <f t="shared" si="13"/>
        <v>45526B</v>
      </c>
    </row>
    <row r="23" spans="1:44" x14ac:dyDescent="0.3">
      <c r="A23" s="27">
        <v>45526</v>
      </c>
      <c r="B23" s="28" t="s">
        <v>20</v>
      </c>
      <c r="C23" s="29">
        <v>8.07</v>
      </c>
      <c r="D23" s="29">
        <v>37.666666666666657</v>
      </c>
      <c r="E23" s="29">
        <v>26.233333333333331</v>
      </c>
      <c r="F23" s="29">
        <v>55.45333333333334</v>
      </c>
      <c r="G23" s="29">
        <v>3.8450000000000002</v>
      </c>
      <c r="H23" s="29">
        <v>3.5066666666666659</v>
      </c>
      <c r="I23" s="29">
        <v>143</v>
      </c>
      <c r="J23" s="29">
        <v>10.333741320990759</v>
      </c>
      <c r="K23" s="29">
        <v>1.0130450957718969E-2</v>
      </c>
      <c r="L23" s="29">
        <v>0.10468545966205089</v>
      </c>
      <c r="M23" s="29">
        <v>9.3052069448782859</v>
      </c>
      <c r="N23" s="29">
        <v>2.5887503157390572E-3</v>
      </c>
      <c r="O23" s="29">
        <v>5225</v>
      </c>
      <c r="P23" s="29">
        <v>83.504214953677632</v>
      </c>
      <c r="Q23" s="29">
        <v>41254.76</v>
      </c>
      <c r="R23" s="29">
        <v>1.4999999999999999E-2</v>
      </c>
      <c r="S23" s="29">
        <v>13.9078219533704</v>
      </c>
      <c r="T23" s="29">
        <f t="shared" si="1"/>
        <v>7.9719803918906216</v>
      </c>
      <c r="U23" s="29">
        <f>VLOOKUP($AR23,ggg,U$4,0)</f>
        <v>16.95</v>
      </c>
      <c r="V23" s="29" t="e">
        <f>VLOOKUP($AR23,fff,3,)</f>
        <v>#N/A</v>
      </c>
      <c r="W23" s="29" t="e">
        <f>VLOOKUP($AR23,fff,2,)</f>
        <v>#N/A</v>
      </c>
      <c r="X23" s="29">
        <f>VLOOKUP($AR23,ggg,X$4,0)</f>
        <v>8.5500000000000007</v>
      </c>
      <c r="Y23" s="29">
        <f>VLOOKUP($AR23,ggg,Y$4,0)</f>
        <v>25.61</v>
      </c>
      <c r="Z23" s="29">
        <f>VLOOKUP($AR23,ggg,Z$4,0)</f>
        <v>3.59</v>
      </c>
      <c r="AA23" s="29">
        <f>VLOOKUP($AR23,ggg,AA$4,0)</f>
        <v>3.84</v>
      </c>
      <c r="AE23">
        <f t="shared" si="2"/>
        <v>0.32000000000000028</v>
      </c>
      <c r="AF23">
        <f t="shared" si="3"/>
        <v>0</v>
      </c>
      <c r="AG23">
        <f t="shared" si="4"/>
        <v>-2.3333333333329872E-2</v>
      </c>
      <c r="AH23">
        <f t="shared" si="5"/>
        <v>0.76666666666667993</v>
      </c>
      <c r="AI23">
        <f t="shared" si="6"/>
        <v>-0.10000000000000041</v>
      </c>
      <c r="AJ23">
        <f t="shared" si="7"/>
        <v>-0.53333333333333011</v>
      </c>
      <c r="AK23">
        <f t="shared" si="8"/>
        <v>0</v>
      </c>
      <c r="AL23">
        <f t="shared" si="9"/>
        <v>3.0917600000000003</v>
      </c>
      <c r="AM23">
        <f t="shared" si="10"/>
        <v>-1.471655094654345</v>
      </c>
      <c r="AO23">
        <f t="shared" si="11"/>
        <v>8.3553137252239615</v>
      </c>
      <c r="AP23">
        <f t="shared" si="12"/>
        <v>7.5886470585572816</v>
      </c>
      <c r="AR23" t="str">
        <f t="shared" si="13"/>
        <v>45526C</v>
      </c>
    </row>
    <row r="24" spans="1:44" x14ac:dyDescent="0.3">
      <c r="A24" s="27">
        <v>45530</v>
      </c>
      <c r="B24" s="28" t="s">
        <v>21</v>
      </c>
      <c r="C24" s="29">
        <v>8.5500000000000007</v>
      </c>
      <c r="D24" s="29">
        <v>38.666666666666657</v>
      </c>
      <c r="E24" s="29">
        <v>25.61</v>
      </c>
      <c r="F24" s="29">
        <v>55.24</v>
      </c>
      <c r="G24" s="29">
        <v>3.84</v>
      </c>
      <c r="H24" s="29">
        <v>3.586666666666666</v>
      </c>
      <c r="I24" s="29">
        <v>147.33333333333329</v>
      </c>
      <c r="J24" s="29">
        <v>6.9524741321938466</v>
      </c>
      <c r="K24" s="29">
        <v>5.5308729959501384E-3</v>
      </c>
      <c r="L24" s="29">
        <v>3.8453251432792823E-2</v>
      </c>
      <c r="M24" s="29">
        <v>8.3241993492083619</v>
      </c>
      <c r="N24" s="29">
        <v>2.5884537662619641E-3</v>
      </c>
      <c r="O24" s="29">
        <v>5225</v>
      </c>
      <c r="P24" s="29">
        <v>82.306239831581422</v>
      </c>
      <c r="Q24" s="29">
        <v>17853.96</v>
      </c>
      <c r="R24" s="29">
        <v>9.0000000000000011E-3</v>
      </c>
      <c r="S24" s="29">
        <v>9.0010193194181944</v>
      </c>
      <c r="T24" s="29">
        <f t="shared" si="1"/>
        <v>6.6785140122356195</v>
      </c>
      <c r="U24" s="29">
        <f>VLOOKUP($AR24,ggg,U$4,0)</f>
        <v>16.440000000000001</v>
      </c>
      <c r="V24" s="29">
        <f>VLOOKUP($AR24,fff,3,)</f>
        <v>17.43</v>
      </c>
      <c r="W24" s="29">
        <f>VLOOKUP($AR24,fff,2,)</f>
        <v>18.989999999999998</v>
      </c>
      <c r="X24" s="29">
        <f>VLOOKUP($AR24,ggg,X$4,0)</f>
        <v>8.41</v>
      </c>
      <c r="Y24" s="29">
        <f>VLOOKUP($AR24,ggg,Y$4,0)</f>
        <v>26.08</v>
      </c>
      <c r="Z24" s="29">
        <f>VLOOKUP($AR24,ggg,Z$4,0)</f>
        <v>3.55</v>
      </c>
      <c r="AA24" s="29">
        <f>VLOOKUP($AR24,ggg,AA$4,0)</f>
        <v>3.75</v>
      </c>
      <c r="AE24">
        <f t="shared" si="2"/>
        <v>-1.6000000000000014</v>
      </c>
      <c r="AF24">
        <f t="shared" si="3"/>
        <v>0</v>
      </c>
      <c r="AG24">
        <f t="shared" si="4"/>
        <v>0.60000000000000142</v>
      </c>
      <c r="AH24">
        <f t="shared" si="5"/>
        <v>0.34000000000000341</v>
      </c>
      <c r="AI24">
        <f t="shared" si="6"/>
        <v>-8.5714285714285146E-2</v>
      </c>
      <c r="AJ24">
        <f t="shared" si="7"/>
        <v>-0.93333333333333046</v>
      </c>
      <c r="AK24">
        <f t="shared" si="8"/>
        <v>0</v>
      </c>
      <c r="AL24">
        <f t="shared" si="9"/>
        <v>0.16665999999999986</v>
      </c>
      <c r="AM24">
        <f t="shared" si="10"/>
        <v>3.0367011570748716</v>
      </c>
      <c r="AO24">
        <f t="shared" si="11"/>
        <v>6.8485140122356212</v>
      </c>
      <c r="AP24">
        <f t="shared" si="12"/>
        <v>6.5085140122356178</v>
      </c>
      <c r="AR24" t="str">
        <f t="shared" si="13"/>
        <v>45530A</v>
      </c>
    </row>
    <row r="25" spans="1:44" x14ac:dyDescent="0.3">
      <c r="A25" s="27">
        <v>45530</v>
      </c>
      <c r="B25" s="28" t="s">
        <v>19</v>
      </c>
      <c r="C25" s="29">
        <v>8.41</v>
      </c>
      <c r="D25" s="29">
        <v>38.4</v>
      </c>
      <c r="E25" s="29">
        <v>26.082000000000001</v>
      </c>
      <c r="F25" s="29">
        <v>56.12</v>
      </c>
      <c r="G25" s="29">
        <v>3.75</v>
      </c>
      <c r="H25" s="29">
        <v>3.5539999999999998</v>
      </c>
      <c r="I25" s="29">
        <v>134</v>
      </c>
      <c r="J25" s="29">
        <v>10.61038371700077</v>
      </c>
      <c r="K25" s="29">
        <v>2.9140024485204959E-4</v>
      </c>
      <c r="L25" s="29">
        <v>3.0918684131082241E-3</v>
      </c>
      <c r="M25" s="29">
        <v>8.3241856690390836</v>
      </c>
      <c r="N25" s="29">
        <v>2.587749756831167E-3</v>
      </c>
      <c r="O25" s="29">
        <v>5225</v>
      </c>
      <c r="P25" s="29">
        <v>82.306247819874088</v>
      </c>
      <c r="Q25" s="29">
        <v>686.2</v>
      </c>
      <c r="R25" s="29">
        <v>3030.1129999999998</v>
      </c>
      <c r="S25" s="29">
        <v>10.590305339334201</v>
      </c>
      <c r="T25" s="29">
        <f t="shared" si="1"/>
        <v>1.4225567427999604</v>
      </c>
      <c r="U25" s="29">
        <f>VLOOKUP($AR25,ggg,U$4,0)</f>
        <v>11.12</v>
      </c>
      <c r="V25" s="29">
        <f>VLOOKUP($AR25,fff,3,)</f>
        <v>9.3800000000000008</v>
      </c>
      <c r="W25" s="29">
        <f>VLOOKUP($AR25,fff,2,)</f>
        <v>8.6</v>
      </c>
      <c r="X25" s="29">
        <f>VLOOKUP($AR25,ggg,X$4,0)</f>
        <v>8.86</v>
      </c>
      <c r="Y25" s="29">
        <f>VLOOKUP($AR25,ggg,Y$4,0)</f>
        <v>27.15</v>
      </c>
      <c r="Z25" s="29">
        <f>VLOOKUP($AR25,ggg,Z$4,0)</f>
        <v>3.68</v>
      </c>
      <c r="AA25" s="29">
        <f>VLOOKUP($AR25,ggg,AA$4,0)</f>
        <v>4.29</v>
      </c>
      <c r="AE25">
        <f t="shared" si="2"/>
        <v>-1.0399999999999991</v>
      </c>
      <c r="AF25">
        <f t="shared" si="3"/>
        <v>0</v>
      </c>
      <c r="AG25">
        <f t="shared" si="4"/>
        <v>0.12800000000000011</v>
      </c>
      <c r="AH25">
        <f t="shared" si="5"/>
        <v>2.0999999999999943</v>
      </c>
      <c r="AI25">
        <f t="shared" si="6"/>
        <v>0.17142857142857157</v>
      </c>
      <c r="AJ25">
        <f t="shared" si="7"/>
        <v>-0.76999999999999957</v>
      </c>
      <c r="AK25">
        <f t="shared" si="8"/>
        <v>0</v>
      </c>
      <c r="AL25">
        <f t="shared" si="9"/>
        <v>-1.9793099999999999</v>
      </c>
      <c r="AM25">
        <f t="shared" si="10"/>
        <v>-1.8405116226676934</v>
      </c>
      <c r="AO25">
        <f t="shared" si="11"/>
        <v>2.4725567427999575</v>
      </c>
      <c r="AP25">
        <f t="shared" si="12"/>
        <v>0.3725567427999632</v>
      </c>
      <c r="AR25" t="str">
        <f t="shared" si="13"/>
        <v>45530B</v>
      </c>
    </row>
    <row r="26" spans="1:44" x14ac:dyDescent="0.3">
      <c r="A26" s="27">
        <v>45530</v>
      </c>
      <c r="B26" s="28" t="s">
        <v>20</v>
      </c>
      <c r="C26" s="29">
        <v>8.8524999999999991</v>
      </c>
      <c r="D26" s="29">
        <v>38.714285714285722</v>
      </c>
      <c r="E26" s="29">
        <v>27.542857142857141</v>
      </c>
      <c r="F26" s="29">
        <v>56.47</v>
      </c>
      <c r="G26" s="29">
        <v>4.29</v>
      </c>
      <c r="H26" s="29">
        <v>3.694285714285714</v>
      </c>
      <c r="I26" s="29">
        <v>141.42857142857139</v>
      </c>
      <c r="J26" s="29">
        <v>10.006905921436569</v>
      </c>
      <c r="K26" s="29">
        <v>5.2441708532127698E-3</v>
      </c>
      <c r="L26" s="29">
        <v>5.2477924364039918E-2</v>
      </c>
      <c r="M26" s="29">
        <v>8.3241830036046576</v>
      </c>
      <c r="N26" s="29">
        <v>2.5877698952054412E-3</v>
      </c>
      <c r="O26" s="29">
        <v>5225</v>
      </c>
      <c r="P26" s="29">
        <v>82.30626784366936</v>
      </c>
      <c r="Q26" s="29">
        <v>21941.439999999999</v>
      </c>
      <c r="R26" s="29">
        <v>10668.941000000001</v>
      </c>
      <c r="S26" s="29">
        <v>8.3249402339896044</v>
      </c>
      <c r="T26" s="29">
        <f t="shared" si="1"/>
        <v>0.71380678097495354</v>
      </c>
      <c r="U26" s="29">
        <f>VLOOKUP($AR26,ggg,U$4,0)</f>
        <v>9.32</v>
      </c>
      <c r="V26" s="29" t="e">
        <f>VLOOKUP($AR26,fff,3,)</f>
        <v>#N/A</v>
      </c>
      <c r="W26" s="29" t="e">
        <f>VLOOKUP($AR26,fff,2,)</f>
        <v>#N/A</v>
      </c>
      <c r="X26" s="29">
        <f>VLOOKUP($AR26,ggg,X$4,0)</f>
        <v>8.5</v>
      </c>
      <c r="Y26" s="29">
        <f>VLOOKUP($AR26,ggg,Y$4,0)</f>
        <v>25.75</v>
      </c>
      <c r="Z26" s="29">
        <f>VLOOKUP($AR26,ggg,Z$4,0)</f>
        <v>3.58</v>
      </c>
      <c r="AA26" s="29">
        <f>VLOOKUP($AR26,ggg,AA$4,0)</f>
        <v>4.29</v>
      </c>
      <c r="AE26">
        <f t="shared" si="2"/>
        <v>-2.8099999999999952</v>
      </c>
      <c r="AF26">
        <f t="shared" si="3"/>
        <v>0</v>
      </c>
      <c r="AG26">
        <f t="shared" si="4"/>
        <v>-1.3328571428571401</v>
      </c>
      <c r="AH26">
        <f t="shared" si="5"/>
        <v>2.7999999999999972</v>
      </c>
      <c r="AI26">
        <f t="shared" si="6"/>
        <v>-1.3714285714285712</v>
      </c>
      <c r="AJ26">
        <f t="shared" si="7"/>
        <v>-1.4714285714285702</v>
      </c>
      <c r="AK26">
        <f t="shared" si="8"/>
        <v>0</v>
      </c>
      <c r="AL26">
        <f t="shared" si="9"/>
        <v>0.67759499999999984</v>
      </c>
      <c r="AM26">
        <f t="shared" si="10"/>
        <v>-1.0358745619154253</v>
      </c>
      <c r="AO26">
        <f t="shared" si="11"/>
        <v>2.1138067809749521</v>
      </c>
      <c r="AP26">
        <f t="shared" si="12"/>
        <v>-0.68619321902504504</v>
      </c>
      <c r="AR26" t="str">
        <f t="shared" si="13"/>
        <v>45530C</v>
      </c>
    </row>
    <row r="27" spans="1:44" x14ac:dyDescent="0.3">
      <c r="A27" s="27">
        <v>45531</v>
      </c>
      <c r="B27" s="28" t="s">
        <v>21</v>
      </c>
      <c r="C27" s="29">
        <v>8.5</v>
      </c>
      <c r="D27" s="29">
        <v>38.333333333333343</v>
      </c>
      <c r="E27" s="29">
        <v>25.75333333333333</v>
      </c>
      <c r="F27" s="29">
        <v>56.46</v>
      </c>
      <c r="G27" s="29">
        <v>4.29</v>
      </c>
      <c r="H27" s="29">
        <v>3.583333333333333</v>
      </c>
      <c r="I27" s="29">
        <v>144.83333333333329</v>
      </c>
      <c r="J27" s="29">
        <v>8.6905054962166837</v>
      </c>
      <c r="K27" s="29">
        <v>8.3771888685040541E-3</v>
      </c>
      <c r="L27" s="29">
        <v>7.2802005904579706E-2</v>
      </c>
      <c r="M27" s="29">
        <v>8.3241848366802316</v>
      </c>
      <c r="N27" s="29">
        <v>2.587695312612518E-3</v>
      </c>
      <c r="O27" s="29">
        <v>5225</v>
      </c>
      <c r="P27" s="29">
        <v>82.306250502821641</v>
      </c>
      <c r="Q27" s="29">
        <v>22908.68</v>
      </c>
      <c r="R27" s="29">
        <v>5844.6450000000004</v>
      </c>
      <c r="S27" s="29">
        <v>8.3241897310687669</v>
      </c>
      <c r="T27" s="29">
        <f t="shared" si="1"/>
        <v>5.7311628952960891</v>
      </c>
      <c r="U27" s="29">
        <f>VLOOKUP($AR27,ggg,U$4,0)</f>
        <v>15.69</v>
      </c>
      <c r="V27" s="29">
        <f>VLOOKUP($AR27,fff,3,)</f>
        <v>16.5</v>
      </c>
      <c r="W27" s="29">
        <f>VLOOKUP($AR27,fff,2,)</f>
        <v>15.34</v>
      </c>
      <c r="X27" s="29">
        <f>VLOOKUP($AR27,ggg,X$4,0)</f>
        <v>8.4</v>
      </c>
      <c r="Y27" s="29">
        <f>VLOOKUP($AR27,ggg,Y$4,0)</f>
        <v>25.46</v>
      </c>
      <c r="Z27" s="29">
        <f>VLOOKUP($AR27,ggg,Z$4,0)</f>
        <v>3.2</v>
      </c>
      <c r="AA27" s="29">
        <f>VLOOKUP($AR27,ggg,AA$4,0)</f>
        <v>4.29</v>
      </c>
      <c r="AE27">
        <f t="shared" si="2"/>
        <v>-1.3999999999999986</v>
      </c>
      <c r="AF27">
        <f t="shared" si="3"/>
        <v>0</v>
      </c>
      <c r="AG27">
        <f t="shared" si="4"/>
        <v>0.45666666666667055</v>
      </c>
      <c r="AH27">
        <f t="shared" si="5"/>
        <v>2.7800000000000011</v>
      </c>
      <c r="AI27">
        <f t="shared" si="6"/>
        <v>-1.3714285714285712</v>
      </c>
      <c r="AJ27">
        <f t="shared" si="7"/>
        <v>-0.91666666666666563</v>
      </c>
      <c r="AK27">
        <f t="shared" si="8"/>
        <v>0</v>
      </c>
      <c r="AL27">
        <f t="shared" si="9"/>
        <v>0.79849999999999999</v>
      </c>
      <c r="AM27">
        <f t="shared" si="10"/>
        <v>0.71932600504442235</v>
      </c>
      <c r="AO27">
        <f t="shared" si="11"/>
        <v>7.1211628952960897</v>
      </c>
      <c r="AP27">
        <f t="shared" si="12"/>
        <v>4.3411628952960886</v>
      </c>
      <c r="AR27" t="str">
        <f t="shared" si="13"/>
        <v>45531A</v>
      </c>
    </row>
    <row r="28" spans="1:44" x14ac:dyDescent="0.3">
      <c r="A28" s="27">
        <v>45531</v>
      </c>
      <c r="B28" s="28" t="s">
        <v>19</v>
      </c>
      <c r="C28" s="29">
        <v>8.3949999999999996</v>
      </c>
      <c r="D28" s="29">
        <v>37</v>
      </c>
      <c r="E28" s="29">
        <v>25.132000000000001</v>
      </c>
      <c r="F28" s="29">
        <v>57.09</v>
      </c>
      <c r="G28" s="29">
        <v>4.29</v>
      </c>
      <c r="H28" s="29">
        <v>3.3639999999999999</v>
      </c>
      <c r="I28" s="29">
        <v>135.19999999999999</v>
      </c>
      <c r="J28" s="29">
        <v>10.203497823250141</v>
      </c>
      <c r="K28" s="29">
        <v>5.0649025563603567E-3</v>
      </c>
      <c r="L28" s="29">
        <v>5.1679722208796977E-2</v>
      </c>
      <c r="M28" s="29">
        <v>8.3241835576545817</v>
      </c>
      <c r="N28" s="29">
        <v>2.5876705016857301E-3</v>
      </c>
      <c r="O28" s="29">
        <v>5225</v>
      </c>
      <c r="P28" s="29">
        <v>82.306286418607812</v>
      </c>
      <c r="Q28" s="29">
        <v>13900.76</v>
      </c>
      <c r="R28" s="29">
        <v>9216.9230000000007</v>
      </c>
      <c r="S28" s="29">
        <v>9.9176496014812425</v>
      </c>
      <c r="T28" s="29">
        <f t="shared" si="1"/>
        <v>5.7773832635591633</v>
      </c>
      <c r="U28" s="29">
        <f>VLOOKUP($AR28,ggg,U$4,0)</f>
        <v>14.72</v>
      </c>
      <c r="V28" s="29">
        <f>VLOOKUP($AR28,fff,3,)</f>
        <v>13.37</v>
      </c>
      <c r="W28" s="29">
        <f>VLOOKUP($AR28,fff,2,)</f>
        <v>10.42</v>
      </c>
      <c r="X28" s="29">
        <f>VLOOKUP($AR28,ggg,X$4,0)</f>
        <v>8.4499999999999993</v>
      </c>
      <c r="Y28" s="29">
        <f>VLOOKUP($AR28,ggg,Y$4,0)</f>
        <v>27.46</v>
      </c>
      <c r="Z28" s="29">
        <f>VLOOKUP($AR28,ggg,Z$4,0)</f>
        <v>3.38</v>
      </c>
      <c r="AA28" s="29">
        <f>VLOOKUP($AR28,ggg,AA$4,0)</f>
        <v>4.29</v>
      </c>
      <c r="AE28">
        <f t="shared" si="2"/>
        <v>-0.97999999999999698</v>
      </c>
      <c r="AF28">
        <f t="shared" si="3"/>
        <v>0</v>
      </c>
      <c r="AG28">
        <f t="shared" si="4"/>
        <v>1.0779999999999994</v>
      </c>
      <c r="AH28">
        <f t="shared" si="5"/>
        <v>4.0400000000000063</v>
      </c>
      <c r="AI28">
        <f t="shared" si="6"/>
        <v>-1.3714285714285712</v>
      </c>
      <c r="AJ28">
        <f t="shared" si="7"/>
        <v>0.18000000000000016</v>
      </c>
      <c r="AK28">
        <f t="shared" si="8"/>
        <v>0</v>
      </c>
      <c r="AL28">
        <f t="shared" si="9"/>
        <v>-0.32749</v>
      </c>
      <c r="AM28">
        <f t="shared" si="10"/>
        <v>-1.2979970976668536</v>
      </c>
      <c r="AO28">
        <f t="shared" si="11"/>
        <v>7.7973832635591664</v>
      </c>
      <c r="AP28">
        <f t="shared" si="12"/>
        <v>3.7573832635591602</v>
      </c>
      <c r="AR28" t="str">
        <f t="shared" si="13"/>
        <v>45531B</v>
      </c>
    </row>
    <row r="29" spans="1:44" x14ac:dyDescent="0.3">
      <c r="A29" s="27">
        <v>45531</v>
      </c>
      <c r="B29" s="28" t="s">
        <v>20</v>
      </c>
      <c r="C29" s="29">
        <v>8.3975000000000009</v>
      </c>
      <c r="D29" s="29">
        <v>38.428571428571431</v>
      </c>
      <c r="E29" s="29">
        <v>27.071428571428569</v>
      </c>
      <c r="F29" s="29">
        <v>57.78</v>
      </c>
      <c r="G29" s="29">
        <v>4.29</v>
      </c>
      <c r="H29" s="29">
        <v>3.3857142857142861</v>
      </c>
      <c r="I29" s="29">
        <v>145.28571428571431</v>
      </c>
      <c r="J29" s="29">
        <v>10.272851463018711</v>
      </c>
      <c r="K29" s="29">
        <v>8.626305985948237E-3</v>
      </c>
      <c r="L29" s="29">
        <v>8.8616760068195355E-2</v>
      </c>
      <c r="M29" s="29">
        <v>11.309692984024521</v>
      </c>
      <c r="N29" s="29">
        <v>2.588003571653777E-3</v>
      </c>
      <c r="O29" s="29">
        <v>5225</v>
      </c>
      <c r="P29" s="29">
        <v>80.05211235058934</v>
      </c>
      <c r="Q29" s="29">
        <v>32590.32</v>
      </c>
      <c r="R29" s="29">
        <v>12531.216</v>
      </c>
      <c r="S29" s="29">
        <v>8.9434742270156207</v>
      </c>
      <c r="T29" s="29">
        <f t="shared" si="1"/>
        <v>10.052902795237667</v>
      </c>
      <c r="U29" s="29">
        <f>VLOOKUP($AR29,ggg,U$4,0)</f>
        <v>13.62</v>
      </c>
      <c r="V29" s="29" t="e">
        <f>VLOOKUP($AR29,fff,3,)</f>
        <v>#N/A</v>
      </c>
      <c r="W29" s="29" t="e">
        <f>VLOOKUP($AR29,fff,2,)</f>
        <v>#N/A</v>
      </c>
      <c r="X29" s="29">
        <f>VLOOKUP($AR29,ggg,X$4,0)</f>
        <v>8.32</v>
      </c>
      <c r="Y29" s="29">
        <f>VLOOKUP($AR29,ggg,Y$4,0)</f>
        <v>26.34</v>
      </c>
      <c r="Z29" s="29">
        <f>VLOOKUP($AR29,ggg,Z$4,0)</f>
        <v>3.41</v>
      </c>
      <c r="AA29" s="29">
        <f>VLOOKUP($AR29,ggg,AA$4,0)</f>
        <v>4.29</v>
      </c>
      <c r="AE29">
        <f t="shared" si="2"/>
        <v>-0.99000000000000199</v>
      </c>
      <c r="AF29">
        <f t="shared" si="3"/>
        <v>0</v>
      </c>
      <c r="AG29">
        <f t="shared" si="4"/>
        <v>-0.86142857142856855</v>
      </c>
      <c r="AH29">
        <f t="shared" si="5"/>
        <v>5.4200000000000008</v>
      </c>
      <c r="AI29">
        <f t="shared" si="6"/>
        <v>-1.3714285714285712</v>
      </c>
      <c r="AJ29">
        <f t="shared" si="7"/>
        <v>7.1428571428568954E-2</v>
      </c>
      <c r="AK29">
        <f t="shared" si="8"/>
        <v>0</v>
      </c>
      <c r="AL29">
        <f t="shared" si="9"/>
        <v>2.008705</v>
      </c>
      <c r="AM29">
        <f t="shared" si="10"/>
        <v>-1.3904686173582803</v>
      </c>
      <c r="AO29">
        <f t="shared" si="11"/>
        <v>12.762902795237668</v>
      </c>
      <c r="AP29">
        <f t="shared" si="12"/>
        <v>7.3429027952376673</v>
      </c>
      <c r="AR29" t="str">
        <f t="shared" si="13"/>
        <v>45531C</v>
      </c>
    </row>
    <row r="30" spans="1:44" x14ac:dyDescent="0.3">
      <c r="A30" s="27">
        <v>45532</v>
      </c>
      <c r="B30" s="28" t="s">
        <v>21</v>
      </c>
      <c r="C30" s="29">
        <v>8.3249999999999993</v>
      </c>
      <c r="D30" s="29">
        <v>38.428571428571431</v>
      </c>
      <c r="E30" s="29">
        <v>26.341428571428569</v>
      </c>
      <c r="F30" s="29">
        <v>57.78</v>
      </c>
      <c r="G30" s="29">
        <v>4.29</v>
      </c>
      <c r="H30" s="29">
        <v>3.4085714285714279</v>
      </c>
      <c r="I30" s="29">
        <v>144.71428571428569</v>
      </c>
      <c r="J30" s="29">
        <v>6.9350617496581837</v>
      </c>
      <c r="K30" s="29">
        <v>3.7339164457575922E-3</v>
      </c>
      <c r="L30" s="29">
        <v>2.5894941119393111E-2</v>
      </c>
      <c r="M30" s="29">
        <v>11.23572432956901</v>
      </c>
      <c r="N30" s="29">
        <v>2.587958145104183E-3</v>
      </c>
      <c r="O30" s="29">
        <v>5225</v>
      </c>
      <c r="P30" s="29">
        <v>80.050014621438507</v>
      </c>
      <c r="Q30" s="29">
        <v>11742.32</v>
      </c>
      <c r="R30" s="29">
        <v>7487.1010000000006</v>
      </c>
      <c r="S30" s="29">
        <v>10.08466135310575</v>
      </c>
      <c r="T30" s="29">
        <f t="shared" si="1"/>
        <v>12.098520335977156</v>
      </c>
      <c r="U30" s="29">
        <f>VLOOKUP($AR30,ggg,U$4,0)</f>
        <v>19.82</v>
      </c>
      <c r="V30" s="29">
        <f>VLOOKUP($AR30,fff,3,)</f>
        <v>20.02</v>
      </c>
      <c r="W30" s="29">
        <f>VLOOKUP($AR30,fff,2,)</f>
        <v>20.399999999999999</v>
      </c>
      <c r="X30" s="29">
        <f>VLOOKUP($AR30,ggg,X$4,0)</f>
        <v>8.33</v>
      </c>
      <c r="Y30" s="29">
        <f>VLOOKUP($AR30,ggg,Y$4,0)</f>
        <v>25.6</v>
      </c>
      <c r="Z30" s="29">
        <f>VLOOKUP($AR30,ggg,Z$4,0)</f>
        <v>3.41</v>
      </c>
      <c r="AA30" s="29">
        <f>VLOOKUP($AR30,ggg,AA$4,0)</f>
        <v>4.0199999999999996</v>
      </c>
      <c r="AE30">
        <f t="shared" si="2"/>
        <v>-0.69999999999999574</v>
      </c>
      <c r="AF30">
        <f t="shared" si="3"/>
        <v>0</v>
      </c>
      <c r="AG30">
        <f t="shared" si="4"/>
        <v>-0.13142857142856812</v>
      </c>
      <c r="AH30">
        <f t="shared" si="5"/>
        <v>5.4200000000000008</v>
      </c>
      <c r="AI30">
        <f t="shared" si="6"/>
        <v>-1.3714285714285712</v>
      </c>
      <c r="AJ30">
        <f t="shared" si="7"/>
        <v>-4.285714285714004E-2</v>
      </c>
      <c r="AK30">
        <f t="shared" si="8"/>
        <v>0</v>
      </c>
      <c r="AL30">
        <f t="shared" si="9"/>
        <v>-0.59729500000000002</v>
      </c>
      <c r="AM30">
        <f t="shared" si="10"/>
        <v>3.0599176671224222</v>
      </c>
      <c r="AO30">
        <f t="shared" si="11"/>
        <v>14.808520335977157</v>
      </c>
      <c r="AP30">
        <f t="shared" si="12"/>
        <v>9.3885203359771552</v>
      </c>
      <c r="AR30" t="str">
        <f t="shared" si="13"/>
        <v>45532A</v>
      </c>
    </row>
    <row r="31" spans="1:44" x14ac:dyDescent="0.3">
      <c r="A31" s="27">
        <v>45532</v>
      </c>
      <c r="B31" s="28" t="s">
        <v>19</v>
      </c>
      <c r="C31" s="29">
        <v>8.3140000000000001</v>
      </c>
      <c r="D31" s="29">
        <v>37.571428571428569</v>
      </c>
      <c r="E31" s="29">
        <v>25.48714285714286</v>
      </c>
      <c r="F31" s="29">
        <v>56.04</v>
      </c>
      <c r="G31" s="29">
        <v>4.0199999999999996</v>
      </c>
      <c r="H31" s="29">
        <v>3.4085714285714279</v>
      </c>
      <c r="I31" s="29">
        <v>139</v>
      </c>
      <c r="J31" s="29">
        <v>10.299578127637</v>
      </c>
      <c r="K31" s="29">
        <v>9.9822344769051885E-3</v>
      </c>
      <c r="L31" s="29">
        <v>0.1028128038832767</v>
      </c>
      <c r="M31" s="29">
        <v>8.32722921789731</v>
      </c>
      <c r="N31" s="29">
        <v>2.5885851660799862E-3</v>
      </c>
      <c r="O31" s="29">
        <v>5225</v>
      </c>
      <c r="P31" s="29">
        <v>84.248546586321069</v>
      </c>
      <c r="Q31" s="29">
        <v>25586.2</v>
      </c>
      <c r="R31" s="29">
        <v>8367.6280000000006</v>
      </c>
      <c r="S31" s="29">
        <v>11.299291928160191</v>
      </c>
      <c r="T31" s="29">
        <f t="shared" si="1"/>
        <v>6.4742685477146455</v>
      </c>
      <c r="U31" s="29">
        <f>VLOOKUP($AR31,ggg,U$4,0)</f>
        <v>20.47</v>
      </c>
      <c r="V31" s="29">
        <f>VLOOKUP($AR31,fff,3,)</f>
        <v>14.23</v>
      </c>
      <c r="W31" s="29">
        <f>VLOOKUP($AR31,fff,2,)</f>
        <v>14.04</v>
      </c>
      <c r="X31" s="29">
        <f>VLOOKUP($AR31,ggg,X$4,0)</f>
        <v>8.36</v>
      </c>
      <c r="Y31" s="29">
        <f>VLOOKUP($AR31,ggg,Y$4,0)</f>
        <v>26.6</v>
      </c>
      <c r="Z31" s="29">
        <f>VLOOKUP($AR31,ggg,Z$4,0)</f>
        <v>3.52</v>
      </c>
      <c r="AA31" s="29">
        <f>VLOOKUP($AR31,ggg,AA$4,0)</f>
        <v>4.0199999999999996</v>
      </c>
      <c r="AE31">
        <f t="shared" si="2"/>
        <v>-0.65599999999999881</v>
      </c>
      <c r="AF31">
        <f t="shared" si="3"/>
        <v>0</v>
      </c>
      <c r="AG31">
        <f t="shared" si="4"/>
        <v>0.72285714285714064</v>
      </c>
      <c r="AH31">
        <f t="shared" si="5"/>
        <v>1.9399999999999977</v>
      </c>
      <c r="AI31">
        <f t="shared" si="6"/>
        <v>-0.59999999999999865</v>
      </c>
      <c r="AJ31">
        <f t="shared" si="7"/>
        <v>-4.285714285714004E-2</v>
      </c>
      <c r="AK31">
        <f t="shared" si="8"/>
        <v>0</v>
      </c>
      <c r="AL31">
        <f t="shared" si="9"/>
        <v>1.1331900000000001</v>
      </c>
      <c r="AM31">
        <f t="shared" si="10"/>
        <v>-1.426104170182666</v>
      </c>
      <c r="AO31">
        <f t="shared" si="11"/>
        <v>7.4442685477146444</v>
      </c>
      <c r="AP31">
        <f t="shared" si="12"/>
        <v>5.5042685477146467</v>
      </c>
      <c r="AR31" t="str">
        <f t="shared" si="13"/>
        <v>45532B</v>
      </c>
    </row>
    <row r="32" spans="1:44" x14ac:dyDescent="0.3">
      <c r="A32" s="27">
        <v>45532</v>
      </c>
      <c r="B32" s="28" t="s">
        <v>20</v>
      </c>
      <c r="C32" s="29">
        <v>8.3550000000000004</v>
      </c>
      <c r="D32" s="29">
        <v>37.75</v>
      </c>
      <c r="E32" s="29">
        <v>27.3</v>
      </c>
      <c r="F32" s="29">
        <v>56.435000000000002</v>
      </c>
      <c r="G32" s="29">
        <v>4.0199999999999996</v>
      </c>
      <c r="H32" s="29">
        <v>3.45</v>
      </c>
      <c r="I32" s="29">
        <v>146.75</v>
      </c>
      <c r="J32" s="29">
        <v>11.71435890494276</v>
      </c>
      <c r="K32" s="29">
        <v>1.8801516881098821E-3</v>
      </c>
      <c r="L32" s="29">
        <v>2.2024771670253171E-2</v>
      </c>
      <c r="M32" s="29">
        <v>11.78523406479882</v>
      </c>
      <c r="N32" s="29">
        <v>2.5883377868613422E-3</v>
      </c>
      <c r="O32" s="29">
        <v>5225</v>
      </c>
      <c r="P32" s="29">
        <v>80.058430464200455</v>
      </c>
      <c r="Q32" s="29">
        <v>6663</v>
      </c>
      <c r="R32" s="29">
        <v>11682.025</v>
      </c>
      <c r="S32" s="29">
        <v>12.127423466431379</v>
      </c>
      <c r="T32" s="29">
        <f t="shared" si="1"/>
        <v>4.3057986498751415</v>
      </c>
      <c r="U32" s="29">
        <f>VLOOKUP($AR32,ggg,U$4,0)</f>
        <v>14.23</v>
      </c>
      <c r="V32" s="29" t="e">
        <f>VLOOKUP($AR32,fff,3,)</f>
        <v>#N/A</v>
      </c>
      <c r="W32" s="29" t="e">
        <f>VLOOKUP($AR32,fff,2,)</f>
        <v>#N/A</v>
      </c>
      <c r="X32" s="29">
        <f>VLOOKUP($AR32,ggg,X$4,0)</f>
        <v>9</v>
      </c>
      <c r="Y32" s="29">
        <f>VLOOKUP($AR32,ggg,Y$4,0)</f>
        <v>25.85</v>
      </c>
      <c r="Z32" s="29">
        <f>VLOOKUP($AR32,ggg,Z$4,0)</f>
        <v>3.78</v>
      </c>
      <c r="AA32" s="29">
        <f>VLOOKUP($AR32,ggg,AA$4,0)</f>
        <v>4.0199999999999996</v>
      </c>
      <c r="AE32">
        <f t="shared" si="2"/>
        <v>-0.82000000000000028</v>
      </c>
      <c r="AF32">
        <f t="shared" si="3"/>
        <v>0</v>
      </c>
      <c r="AG32">
        <f t="shared" si="4"/>
        <v>-1.0899999999999999</v>
      </c>
      <c r="AH32">
        <f t="shared" si="5"/>
        <v>2.730000000000004</v>
      </c>
      <c r="AI32">
        <f t="shared" si="6"/>
        <v>-0.59999999999999865</v>
      </c>
      <c r="AJ32">
        <f t="shared" si="7"/>
        <v>-0.25000000000000133</v>
      </c>
      <c r="AK32">
        <f t="shared" si="8"/>
        <v>0</v>
      </c>
      <c r="AL32">
        <f t="shared" si="9"/>
        <v>-1.23221</v>
      </c>
      <c r="AM32">
        <f t="shared" si="10"/>
        <v>-3.3124785399236791</v>
      </c>
      <c r="AO32">
        <f t="shared" si="11"/>
        <v>5.6707986498751435</v>
      </c>
      <c r="AP32">
        <f t="shared" si="12"/>
        <v>2.9407986498751395</v>
      </c>
      <c r="AR32" t="str">
        <f t="shared" si="13"/>
        <v>45532C</v>
      </c>
    </row>
    <row r="33" spans="1:44" x14ac:dyDescent="0.3">
      <c r="A33" s="27">
        <v>45533</v>
      </c>
      <c r="B33" s="28" t="s">
        <v>21</v>
      </c>
      <c r="C33" s="29">
        <v>9.0333333333333332</v>
      </c>
      <c r="D33" s="29">
        <v>38.333333333333343</v>
      </c>
      <c r="E33" s="29">
        <v>26.2</v>
      </c>
      <c r="F33" s="29">
        <v>56.84</v>
      </c>
      <c r="G33" s="29">
        <v>4.0199999999999996</v>
      </c>
      <c r="H33" s="29">
        <v>3.7866666666666671</v>
      </c>
      <c r="I33" s="29">
        <v>146.66666666666671</v>
      </c>
      <c r="J33" s="29">
        <v>8.2170402800152615</v>
      </c>
      <c r="K33" s="29">
        <v>1.552855708283725E-3</v>
      </c>
      <c r="L33" s="29">
        <v>1.2759877904018989E-2</v>
      </c>
      <c r="M33" s="29">
        <v>8.3241858902952934</v>
      </c>
      <c r="N33" s="29">
        <v>2.5883696907341891E-3</v>
      </c>
      <c r="O33" s="29">
        <v>5225</v>
      </c>
      <c r="P33" s="29">
        <v>82.30624902795563</v>
      </c>
      <c r="Q33" s="29">
        <v>2407.84</v>
      </c>
      <c r="R33" s="29">
        <v>4898.6769999999997</v>
      </c>
      <c r="S33" s="29">
        <v>8.3241832897663066</v>
      </c>
      <c r="T33" s="29">
        <f t="shared" si="1"/>
        <v>1.2363618086082839</v>
      </c>
      <c r="U33" s="29">
        <f>VLOOKUP($AR33,ggg,U$4,0)</f>
        <v>10.57</v>
      </c>
      <c r="V33" s="29">
        <f>VLOOKUP($AR33,fff,3,)</f>
        <v>10.19</v>
      </c>
      <c r="W33" s="29">
        <f>VLOOKUP($AR33,fff,2,)</f>
        <v>9.4600000000000009</v>
      </c>
      <c r="X33" s="29">
        <f>VLOOKUP($AR33,ggg,X$4,0)</f>
        <v>8.65</v>
      </c>
      <c r="Y33" s="29">
        <f>VLOOKUP($AR33,ggg,Y$4,0)</f>
        <v>25.4</v>
      </c>
      <c r="Z33" s="29">
        <f>VLOOKUP($AR33,ggg,Z$4,0)</f>
        <v>3.36</v>
      </c>
      <c r="AA33" s="29">
        <f>VLOOKUP($AR33,ggg,AA$4,0)</f>
        <v>4.0199999999999996</v>
      </c>
      <c r="AE33">
        <f t="shared" si="2"/>
        <v>-3.5333333333333314</v>
      </c>
      <c r="AF33">
        <f t="shared" si="3"/>
        <v>0</v>
      </c>
      <c r="AG33">
        <f t="shared" si="4"/>
        <v>1.0000000000001563E-2</v>
      </c>
      <c r="AH33">
        <f t="shared" si="5"/>
        <v>3.5400000000000063</v>
      </c>
      <c r="AI33">
        <f t="shared" si="6"/>
        <v>-0.59999999999999865</v>
      </c>
      <c r="AJ33">
        <f t="shared" si="7"/>
        <v>-1.9333333333333358</v>
      </c>
      <c r="AK33">
        <f t="shared" si="8"/>
        <v>0</v>
      </c>
      <c r="AL33">
        <f t="shared" si="9"/>
        <v>-1.764105</v>
      </c>
      <c r="AM33">
        <f t="shared" si="10"/>
        <v>1.3506129599796519</v>
      </c>
      <c r="AO33">
        <f t="shared" si="11"/>
        <v>3.0063618086082871</v>
      </c>
      <c r="AP33">
        <f t="shared" si="12"/>
        <v>-0.5336381913917192</v>
      </c>
      <c r="AR33" t="str">
        <f t="shared" si="13"/>
        <v>45533A</v>
      </c>
    </row>
    <row r="34" spans="1:44" x14ac:dyDescent="0.3">
      <c r="A34" s="27">
        <v>45533</v>
      </c>
      <c r="B34" s="28" t="s">
        <v>19</v>
      </c>
      <c r="C34" s="29">
        <v>8.6533333333333342</v>
      </c>
      <c r="D34" s="29">
        <v>38.5</v>
      </c>
      <c r="E34" s="29">
        <v>26.563333333333329</v>
      </c>
      <c r="F34" s="29">
        <v>53.2</v>
      </c>
      <c r="G34" s="29">
        <v>4.0199999999999996</v>
      </c>
      <c r="H34" s="29">
        <v>3.4816666666666669</v>
      </c>
      <c r="I34" s="29">
        <v>139.83333333333329</v>
      </c>
      <c r="J34" s="29">
        <v>9.3829678143574835</v>
      </c>
      <c r="K34" s="29">
        <v>3.2661419880299879E-3</v>
      </c>
      <c r="L34" s="29">
        <v>3.064610515080694E-2</v>
      </c>
      <c r="M34" s="29">
        <v>8.3619790471662991</v>
      </c>
      <c r="N34" s="29">
        <v>3.4093731187796008</v>
      </c>
      <c r="O34" s="29">
        <v>5225</v>
      </c>
      <c r="P34" s="29">
        <v>102.9950230704267</v>
      </c>
      <c r="Q34" s="29">
        <v>9992.0400000000009</v>
      </c>
      <c r="R34" s="29">
        <v>10015.950000000001</v>
      </c>
      <c r="S34" s="29">
        <v>8.3241873588338766</v>
      </c>
      <c r="T34" s="29">
        <f t="shared" si="1"/>
        <v>0.34893571135632717</v>
      </c>
      <c r="U34" s="29">
        <f>VLOOKUP($AR34,ggg,U$4,0)</f>
        <v>11.84</v>
      </c>
      <c r="V34" s="29">
        <f>VLOOKUP($AR34,fff,3,)</f>
        <v>14.69</v>
      </c>
      <c r="W34" s="29">
        <f>VLOOKUP($AR34,fff,2,)</f>
        <v>14.65</v>
      </c>
      <c r="X34" s="29">
        <f>VLOOKUP($AR34,ggg,X$4,0)</f>
        <v>8.2799999999999994</v>
      </c>
      <c r="Y34" s="29">
        <f>VLOOKUP($AR34,ggg,Y$4,0)</f>
        <v>26.87</v>
      </c>
      <c r="Z34" s="29">
        <f>VLOOKUP($AR34,ggg,Z$4,0)</f>
        <v>3.23</v>
      </c>
      <c r="AA34" s="29">
        <f>VLOOKUP($AR34,ggg,AA$4,0)</f>
        <v>4.0199999999999996</v>
      </c>
      <c r="AE34">
        <f t="shared" si="2"/>
        <v>-2.0133333333333354</v>
      </c>
      <c r="AF34">
        <f t="shared" si="3"/>
        <v>0</v>
      </c>
      <c r="AG34">
        <f t="shared" si="4"/>
        <v>-0.35333333333332817</v>
      </c>
      <c r="AH34">
        <f t="shared" si="5"/>
        <v>-3.7399999999999949</v>
      </c>
      <c r="AI34">
        <f t="shared" si="6"/>
        <v>-0.59999999999999865</v>
      </c>
      <c r="AJ34">
        <f t="shared" si="7"/>
        <v>-0.40833333333333499</v>
      </c>
      <c r="AK34">
        <f t="shared" si="8"/>
        <v>0</v>
      </c>
      <c r="AL34">
        <f t="shared" si="9"/>
        <v>-0.81607999999999992</v>
      </c>
      <c r="AM34">
        <f t="shared" si="10"/>
        <v>-0.20395708580997743</v>
      </c>
      <c r="AO34">
        <f t="shared" si="11"/>
        <v>-1.5210642886436703</v>
      </c>
      <c r="AP34">
        <f t="shared" si="12"/>
        <v>2.2189357113563246</v>
      </c>
      <c r="AR34" t="str">
        <f t="shared" si="13"/>
        <v>45533B</v>
      </c>
    </row>
    <row r="35" spans="1:44" x14ac:dyDescent="0.3">
      <c r="A35" s="27">
        <v>45533</v>
      </c>
      <c r="B35" s="28" t="s">
        <v>20</v>
      </c>
      <c r="C35" s="29">
        <v>8.2750000000000004</v>
      </c>
      <c r="D35" s="29">
        <v>36.25</v>
      </c>
      <c r="E35" s="29">
        <v>26.574999999999999</v>
      </c>
      <c r="F35" s="29">
        <v>54.98</v>
      </c>
      <c r="G35" s="29">
        <v>4.0199999999999996</v>
      </c>
      <c r="H35" s="29">
        <v>3.22</v>
      </c>
      <c r="I35" s="29">
        <v>143.25</v>
      </c>
      <c r="J35" s="29">
        <v>8.8478557475126696</v>
      </c>
      <c r="K35" s="29">
        <v>4.8068631303150259E-3</v>
      </c>
      <c r="L35" s="29">
        <v>4.2530431575064552E-2</v>
      </c>
      <c r="M35" s="29">
        <v>9.9397259029970382</v>
      </c>
      <c r="N35" s="29">
        <v>2.6016110116435041E-3</v>
      </c>
      <c r="O35" s="29">
        <v>5225</v>
      </c>
      <c r="P35" s="29">
        <v>109.36473889219199</v>
      </c>
      <c r="Q35" s="29">
        <v>16833.8</v>
      </c>
      <c r="R35" s="29">
        <v>11779.987999999999</v>
      </c>
      <c r="S35" s="29">
        <v>16.08128723740413</v>
      </c>
      <c r="T35" s="29">
        <f t="shared" si="1"/>
        <v>8.3058900729801444</v>
      </c>
      <c r="U35" s="29">
        <f>VLOOKUP($AR35,ggg,U$4,0)</f>
        <v>14.83</v>
      </c>
      <c r="V35" s="29" t="e">
        <f>VLOOKUP($AR35,fff,3,)</f>
        <v>#N/A</v>
      </c>
      <c r="W35" s="29" t="e">
        <f>VLOOKUP($AR35,fff,2,)</f>
        <v>#N/A</v>
      </c>
      <c r="X35" s="29">
        <f>VLOOKUP($AR35,ggg,X$4,0)</f>
        <v>8.1</v>
      </c>
      <c r="Y35" s="29">
        <f>VLOOKUP($AR35,ggg,Y$4,0)</f>
        <v>26.17</v>
      </c>
      <c r="Z35" s="29">
        <f>VLOOKUP($AR35,ggg,Z$4,0)</f>
        <v>3.29</v>
      </c>
      <c r="AA35" s="29">
        <f>VLOOKUP($AR35,ggg,AA$4,0)</f>
        <v>4.0199999999999996</v>
      </c>
      <c r="AE35">
        <f t="shared" si="2"/>
        <v>-0.5</v>
      </c>
      <c r="AF35">
        <f t="shared" si="3"/>
        <v>0</v>
      </c>
      <c r="AG35">
        <f t="shared" si="4"/>
        <v>-0.36499999999999844</v>
      </c>
      <c r="AH35">
        <f t="shared" si="5"/>
        <v>-0.18000000000000682</v>
      </c>
      <c r="AI35">
        <f t="shared" si="6"/>
        <v>-0.59999999999999865</v>
      </c>
      <c r="AJ35">
        <f t="shared" si="7"/>
        <v>0.89999999999999858</v>
      </c>
      <c r="AK35">
        <f t="shared" si="8"/>
        <v>0</v>
      </c>
      <c r="AL35">
        <f t="shared" si="9"/>
        <v>3.9139999999999869E-2</v>
      </c>
      <c r="AM35">
        <f t="shared" si="10"/>
        <v>0.50952566998310778</v>
      </c>
      <c r="AO35">
        <f t="shared" si="11"/>
        <v>8.215890072980141</v>
      </c>
      <c r="AP35">
        <f t="shared" si="12"/>
        <v>8.3958900729801478</v>
      </c>
      <c r="AR35" t="str">
        <f t="shared" si="13"/>
        <v>45533C</v>
      </c>
    </row>
    <row r="36" spans="1:44" x14ac:dyDescent="0.3">
      <c r="A36" s="27">
        <v>45538</v>
      </c>
      <c r="B36" s="28" t="s">
        <v>21</v>
      </c>
      <c r="C36" s="29">
        <v>8</v>
      </c>
      <c r="D36" s="29">
        <v>37.777777777777779</v>
      </c>
      <c r="E36" s="29">
        <v>26.02</v>
      </c>
      <c r="F36" s="29">
        <v>56.77</v>
      </c>
      <c r="G36" s="29">
        <v>4.0199999999999996</v>
      </c>
      <c r="H36" s="29">
        <v>3.2844444444444441</v>
      </c>
      <c r="I36" s="29">
        <v>143.2222222222222</v>
      </c>
      <c r="J36" s="29">
        <v>9.6136977820488632</v>
      </c>
      <c r="K36" s="29">
        <v>1.0860455393712311E-2</v>
      </c>
      <c r="L36" s="29">
        <v>0.10440913593057261</v>
      </c>
      <c r="M36" s="29">
        <v>15.779499186895491</v>
      </c>
      <c r="N36" s="29">
        <v>2.5920544570251411E-3</v>
      </c>
      <c r="O36" s="29">
        <v>5225</v>
      </c>
      <c r="P36" s="29">
        <v>83.91821130195973</v>
      </c>
      <c r="Q36" s="29">
        <v>35418.920000000013</v>
      </c>
      <c r="R36" s="29">
        <v>6246.9120000000003</v>
      </c>
      <c r="S36" s="29">
        <v>17.342841650684711</v>
      </c>
      <c r="T36" s="29">
        <f t="shared" si="1"/>
        <v>17.878823921941461</v>
      </c>
      <c r="U36" s="29">
        <f>VLOOKUP($AR36,ggg,U$4,0)</f>
        <v>21.41</v>
      </c>
      <c r="V36" s="29">
        <f>VLOOKUP($AR36,fff,3,)</f>
        <v>20.84</v>
      </c>
      <c r="W36" s="29">
        <f>VLOOKUP($AR36,fff,2,)</f>
        <v>21.51</v>
      </c>
      <c r="X36" s="29">
        <f>VLOOKUP($AR36,ggg,X$4,0)</f>
        <v>8.09</v>
      </c>
      <c r="Y36" s="29">
        <f>VLOOKUP($AR36,ggg,Y$4,0)</f>
        <v>26.23</v>
      </c>
      <c r="Z36" s="29">
        <f>VLOOKUP($AR36,ggg,Z$4,0)</f>
        <v>3.41</v>
      </c>
      <c r="AA36" s="29">
        <f>VLOOKUP($AR36,ggg,AA$4,0)</f>
        <v>4.0199999999999996</v>
      </c>
      <c r="AE36">
        <f t="shared" si="2"/>
        <v>0.60000000000000142</v>
      </c>
      <c r="AF36">
        <f t="shared" si="3"/>
        <v>0</v>
      </c>
      <c r="AG36">
        <f t="shared" si="4"/>
        <v>0.19000000000000128</v>
      </c>
      <c r="AH36">
        <f t="shared" si="5"/>
        <v>3.4000000000000057</v>
      </c>
      <c r="AI36">
        <f t="shared" si="6"/>
        <v>-0.59999999999999865</v>
      </c>
      <c r="AJ36">
        <f t="shared" si="7"/>
        <v>0.57777777777777928</v>
      </c>
      <c r="AK36">
        <f t="shared" si="8"/>
        <v>0</v>
      </c>
      <c r="AL36">
        <f t="shared" si="9"/>
        <v>2.3622800000000015</v>
      </c>
      <c r="AM36">
        <f t="shared" si="10"/>
        <v>-0.51159704273181694</v>
      </c>
      <c r="AO36">
        <f t="shared" si="11"/>
        <v>19.578823921941463</v>
      </c>
      <c r="AP36">
        <f t="shared" si="12"/>
        <v>16.178823921941458</v>
      </c>
      <c r="AR36" t="str">
        <f t="shared" si="13"/>
        <v>45538A</v>
      </c>
    </row>
    <row r="37" spans="1:44" x14ac:dyDescent="0.3">
      <c r="A37" s="27">
        <v>45538</v>
      </c>
      <c r="B37" s="28" t="s">
        <v>19</v>
      </c>
      <c r="C37" s="29">
        <v>8.0939999999999994</v>
      </c>
      <c r="D37" s="29">
        <v>38.857142857142847</v>
      </c>
      <c r="E37" s="29">
        <v>25.997142857142851</v>
      </c>
      <c r="F37" s="29">
        <v>55.8</v>
      </c>
      <c r="G37" s="29">
        <v>4.0199999999999996</v>
      </c>
      <c r="H37" s="29">
        <v>3.422857142857143</v>
      </c>
      <c r="I37" s="29">
        <v>144.57142857142861</v>
      </c>
      <c r="J37" s="29">
        <v>9.8521459760907373</v>
      </c>
      <c r="K37" s="29">
        <v>3.1257445530413221E-4</v>
      </c>
      <c r="L37" s="29">
        <v>3.07952916205336E-3</v>
      </c>
      <c r="M37" s="29">
        <v>12.213906158837069</v>
      </c>
      <c r="N37" s="29">
        <v>2.5884855367466759E-3</v>
      </c>
      <c r="O37" s="29">
        <v>5225</v>
      </c>
      <c r="P37" s="29">
        <v>80.064970676809878</v>
      </c>
      <c r="Q37" s="29">
        <v>603.56000000000006</v>
      </c>
      <c r="R37" s="29">
        <v>5527.0240000000003</v>
      </c>
      <c r="S37" s="29">
        <v>15.108528488255571</v>
      </c>
      <c r="T37" s="29">
        <f t="shared" si="1"/>
        <v>7.5381876192875215</v>
      </c>
      <c r="U37" s="29">
        <f>VLOOKUP($AR37,ggg,U$4,0)</f>
        <v>18.22</v>
      </c>
      <c r="V37" s="29">
        <f>VLOOKUP($AR37,fff,3,)</f>
        <v>16.79</v>
      </c>
      <c r="W37" s="29">
        <f>VLOOKUP($AR37,fff,2,)</f>
        <v>15.82</v>
      </c>
      <c r="X37" s="29">
        <f>VLOOKUP($AR37,ggg,X$4,0)</f>
        <v>8.3000000000000007</v>
      </c>
      <c r="Y37" s="29">
        <f>VLOOKUP($AR37,ggg,Y$4,0)</f>
        <v>28.1</v>
      </c>
      <c r="Z37" s="29">
        <f>VLOOKUP($AR37,ggg,Z$4,0)</f>
        <v>3.44</v>
      </c>
      <c r="AA37" s="29">
        <f>VLOOKUP($AR37,ggg,AA$4,0)</f>
        <v>3.97</v>
      </c>
      <c r="AE37">
        <f t="shared" si="2"/>
        <v>0.22400000000000378</v>
      </c>
      <c r="AF37">
        <f t="shared" si="3"/>
        <v>0</v>
      </c>
      <c r="AG37">
        <f t="shared" si="4"/>
        <v>0.21285714285714977</v>
      </c>
      <c r="AH37">
        <f t="shared" si="5"/>
        <v>1.4599999999999937</v>
      </c>
      <c r="AI37">
        <f t="shared" si="6"/>
        <v>-0.59999999999999865</v>
      </c>
      <c r="AJ37">
        <f t="shared" si="7"/>
        <v>-0.11428571428571566</v>
      </c>
      <c r="AK37">
        <f t="shared" si="8"/>
        <v>0</v>
      </c>
      <c r="AL37">
        <f t="shared" si="9"/>
        <v>-1.9896400000000001</v>
      </c>
      <c r="AM37">
        <f t="shared" si="10"/>
        <v>-0.82952796812098251</v>
      </c>
      <c r="AO37">
        <f t="shared" si="11"/>
        <v>8.2681876192875183</v>
      </c>
      <c r="AP37">
        <f t="shared" si="12"/>
        <v>6.8081876192875246</v>
      </c>
      <c r="AR37" t="str">
        <f t="shared" si="13"/>
        <v>45538B</v>
      </c>
    </row>
    <row r="38" spans="1:44" x14ac:dyDescent="0.3">
      <c r="A38" s="27">
        <v>45538</v>
      </c>
      <c r="B38" s="28" t="s">
        <v>20</v>
      </c>
      <c r="C38" s="29">
        <v>8.2524999999999995</v>
      </c>
      <c r="D38" s="29">
        <v>38.428571428571431</v>
      </c>
      <c r="E38" s="29">
        <v>27.828571428571429</v>
      </c>
      <c r="F38" s="29">
        <v>56</v>
      </c>
      <c r="G38" s="29">
        <v>3.9049999999999998</v>
      </c>
      <c r="H38" s="29">
        <v>3.4457142857142862</v>
      </c>
      <c r="I38" s="29">
        <v>143.85714285714289</v>
      </c>
      <c r="J38" s="29">
        <v>9.0366516138324258</v>
      </c>
      <c r="K38" s="29">
        <v>9.7461229840524778E-3</v>
      </c>
      <c r="L38" s="29">
        <v>8.8072317992447122E-2</v>
      </c>
      <c r="M38" s="29">
        <v>9.661860412375658</v>
      </c>
      <c r="N38" s="29">
        <v>2.5950327420637001E-3</v>
      </c>
      <c r="O38" s="29">
        <v>5225</v>
      </c>
      <c r="P38" s="29">
        <v>96.152625234641746</v>
      </c>
      <c r="Q38" s="29">
        <v>41582.199999999997</v>
      </c>
      <c r="R38" s="29">
        <v>14129.743</v>
      </c>
      <c r="S38" s="29">
        <v>12.77824135963972</v>
      </c>
      <c r="T38" s="29">
        <f t="shared" si="1"/>
        <v>10.219994707027665</v>
      </c>
      <c r="U38" s="29">
        <f>VLOOKUP($AR38,ggg,U$4,0)</f>
        <v>16.36</v>
      </c>
      <c r="V38" s="29" t="e">
        <f>VLOOKUP($AR38,fff,3,)</f>
        <v>#N/A</v>
      </c>
      <c r="W38" s="29" t="e">
        <f>VLOOKUP($AR38,fff,2,)</f>
        <v>#N/A</v>
      </c>
      <c r="X38" s="29">
        <f>VLOOKUP($AR38,ggg,X$4,0)</f>
        <v>8.4700000000000006</v>
      </c>
      <c r="Y38" s="29">
        <f>VLOOKUP($AR38,ggg,Y$4,0)</f>
        <v>26.52</v>
      </c>
      <c r="Z38" s="29">
        <f>VLOOKUP($AR38,ggg,Z$4,0)</f>
        <v>3.5</v>
      </c>
      <c r="AA38" s="29">
        <f>VLOOKUP($AR38,ggg,AA$4,0)</f>
        <v>3.91</v>
      </c>
      <c r="AE38">
        <f t="shared" si="2"/>
        <v>-0.40999999999999659</v>
      </c>
      <c r="AF38">
        <f t="shared" si="3"/>
        <v>0</v>
      </c>
      <c r="AG38">
        <f t="shared" si="4"/>
        <v>-1.6185714285714283</v>
      </c>
      <c r="AH38">
        <f t="shared" si="5"/>
        <v>1.8599999999999994</v>
      </c>
      <c r="AI38">
        <f t="shared" si="6"/>
        <v>-0.27142857142857069</v>
      </c>
      <c r="AJ38">
        <f t="shared" si="7"/>
        <v>-0.22857142857143131</v>
      </c>
      <c r="AK38">
        <f t="shared" si="8"/>
        <v>0</v>
      </c>
      <c r="AL38">
        <f t="shared" si="9"/>
        <v>3.1326899999999998</v>
      </c>
      <c r="AM38">
        <f t="shared" si="10"/>
        <v>0.25779784822343288</v>
      </c>
      <c r="AO38">
        <f t="shared" si="11"/>
        <v>11.149994707027664</v>
      </c>
      <c r="AP38">
        <f t="shared" si="12"/>
        <v>9.2899947070276649</v>
      </c>
      <c r="AR38" t="str">
        <f t="shared" si="13"/>
        <v>45538C</v>
      </c>
    </row>
    <row r="39" spans="1:44" x14ac:dyDescent="0.3">
      <c r="A39" s="27">
        <v>45539</v>
      </c>
      <c r="B39" s="28" t="s">
        <v>21</v>
      </c>
      <c r="C39" s="29">
        <v>8.4666666666666668</v>
      </c>
      <c r="D39" s="29">
        <v>37.25</v>
      </c>
      <c r="E39" s="29">
        <v>26.524999999999999</v>
      </c>
      <c r="F39" s="29">
        <v>55.99</v>
      </c>
      <c r="G39" s="29">
        <v>3.91</v>
      </c>
      <c r="H39" s="29">
        <v>3.5049999999999999</v>
      </c>
      <c r="I39" s="29">
        <v>141.75</v>
      </c>
      <c r="J39" s="29">
        <v>9.2324068386317837</v>
      </c>
      <c r="K39" s="29">
        <v>2.2197895242148661E-2</v>
      </c>
      <c r="L39" s="29">
        <v>0.2049399998368453</v>
      </c>
      <c r="M39" s="29">
        <v>8.3411934210684642</v>
      </c>
      <c r="N39" s="29">
        <v>2.5929428036516721E-3</v>
      </c>
      <c r="O39" s="29">
        <v>5225</v>
      </c>
      <c r="P39" s="29">
        <v>93.151680737089379</v>
      </c>
      <c r="Q39" s="29">
        <v>50244.320000000007</v>
      </c>
      <c r="R39" s="29">
        <v>2964.9009999999998</v>
      </c>
      <c r="S39" s="29">
        <v>8.3377018405096788</v>
      </c>
      <c r="T39" s="29">
        <f t="shared" si="1"/>
        <v>8.4516709755118065</v>
      </c>
      <c r="U39" s="29">
        <f>VLOOKUP($AR39,ggg,U$4,0)</f>
        <v>19.89</v>
      </c>
      <c r="V39" s="29">
        <f>VLOOKUP($AR39,fff,3,)</f>
        <v>19.989999999999998</v>
      </c>
      <c r="W39" s="29">
        <f>VLOOKUP($AR39,fff,2,)</f>
        <v>20.32</v>
      </c>
      <c r="X39" s="29">
        <f>VLOOKUP($AR39,ggg,X$4,0)</f>
        <v>8.32</v>
      </c>
      <c r="Y39" s="29">
        <f>VLOOKUP($AR39,ggg,Y$4,0)</f>
        <v>27.31</v>
      </c>
      <c r="Z39" s="29">
        <f>VLOOKUP($AR39,ggg,Z$4,0)</f>
        <v>3.51</v>
      </c>
      <c r="AA39" s="29">
        <f>VLOOKUP($AR39,ggg,AA$4,0)</f>
        <v>4.05</v>
      </c>
      <c r="AE39">
        <f t="shared" si="2"/>
        <v>-1.2666666666666655</v>
      </c>
      <c r="AF39">
        <f t="shared" si="3"/>
        <v>0</v>
      </c>
      <c r="AG39">
        <f t="shared" si="4"/>
        <v>-0.31499999999999767</v>
      </c>
      <c r="AH39">
        <f t="shared" si="5"/>
        <v>1.8400000000000034</v>
      </c>
      <c r="AI39">
        <f t="shared" si="6"/>
        <v>-0.28571428571428592</v>
      </c>
      <c r="AJ39">
        <f t="shared" si="7"/>
        <v>-0.52499999999999991</v>
      </c>
      <c r="AK39">
        <f t="shared" si="8"/>
        <v>0</v>
      </c>
      <c r="AL39">
        <f t="shared" si="9"/>
        <v>4.2154550000000004</v>
      </c>
      <c r="AM39">
        <f t="shared" si="10"/>
        <v>-3.2091181757110121E-3</v>
      </c>
      <c r="AO39">
        <f t="shared" si="11"/>
        <v>9.3716709755118082</v>
      </c>
      <c r="AP39">
        <f t="shared" si="12"/>
        <v>7.5316709755118048</v>
      </c>
      <c r="AR39" t="str">
        <f t="shared" si="13"/>
        <v>45539A</v>
      </c>
    </row>
    <row r="40" spans="1:44" x14ac:dyDescent="0.3">
      <c r="A40" s="27">
        <v>45539</v>
      </c>
      <c r="B40" s="28" t="s">
        <v>19</v>
      </c>
      <c r="C40" s="29">
        <v>8.2449999999999992</v>
      </c>
      <c r="D40" s="29">
        <v>37.888888888888893</v>
      </c>
      <c r="E40" s="29">
        <v>26.90111111111111</v>
      </c>
      <c r="F40" s="29">
        <v>54.89</v>
      </c>
      <c r="G40" s="29">
        <v>4.05</v>
      </c>
      <c r="H40" s="29">
        <v>3.4866666666666659</v>
      </c>
      <c r="I40" s="29">
        <v>147.2222222222222</v>
      </c>
      <c r="J40" s="29">
        <v>8.652920433527246</v>
      </c>
      <c r="K40" s="29">
        <v>1.541855595519863E-3</v>
      </c>
      <c r="L40" s="29">
        <v>1.334155378802215E-2</v>
      </c>
      <c r="M40" s="29">
        <v>8.6069999609116365</v>
      </c>
      <c r="N40" s="29">
        <v>2.5913771280812168E-3</v>
      </c>
      <c r="O40" s="29">
        <v>5225</v>
      </c>
      <c r="P40" s="29">
        <v>89.665665383562114</v>
      </c>
      <c r="Q40" s="29">
        <v>4371.2</v>
      </c>
      <c r="R40" s="29">
        <v>9315.1209999999992</v>
      </c>
      <c r="S40" s="29">
        <v>12.35374388038462</v>
      </c>
      <c r="T40" s="29">
        <f t="shared" si="1"/>
        <v>3.6519857777165905</v>
      </c>
      <c r="U40" s="29">
        <f>VLOOKUP($AR40,ggg,U$4,0)</f>
        <v>17.64</v>
      </c>
      <c r="V40" s="29">
        <f>VLOOKUP($AR40,fff,3,)</f>
        <v>14.5</v>
      </c>
      <c r="W40" s="29">
        <f>VLOOKUP($AR40,fff,2,)</f>
        <v>14.06</v>
      </c>
      <c r="X40" s="29">
        <f>VLOOKUP($AR40,ggg,X$4,0)</f>
        <v>8.32</v>
      </c>
      <c r="Y40" s="29">
        <f>VLOOKUP($AR40,ggg,Y$4,0)</f>
        <v>27.45</v>
      </c>
      <c r="Z40" s="29">
        <f>VLOOKUP($AR40,ggg,Z$4,0)</f>
        <v>3.53</v>
      </c>
      <c r="AA40" s="29">
        <f>VLOOKUP($AR40,ggg,AA$4,0)</f>
        <v>4.05</v>
      </c>
      <c r="AE40">
        <f t="shared" si="2"/>
        <v>-0.37999999999999545</v>
      </c>
      <c r="AF40">
        <f t="shared" si="3"/>
        <v>0</v>
      </c>
      <c r="AG40">
        <f t="shared" si="4"/>
        <v>-0.69111111111110901</v>
      </c>
      <c r="AH40">
        <f t="shared" si="5"/>
        <v>-0.35999999999999938</v>
      </c>
      <c r="AI40">
        <f t="shared" si="6"/>
        <v>-0.68571428571428505</v>
      </c>
      <c r="AJ40">
        <f t="shared" si="7"/>
        <v>-0.43333333333333002</v>
      </c>
      <c r="AK40">
        <f t="shared" si="8"/>
        <v>0</v>
      </c>
      <c r="AL40">
        <f t="shared" si="9"/>
        <v>-1.5186849999999998</v>
      </c>
      <c r="AM40">
        <f t="shared" si="10"/>
        <v>0.76943942196367254</v>
      </c>
      <c r="AO40">
        <f t="shared" si="11"/>
        <v>3.4719857777165908</v>
      </c>
      <c r="AP40">
        <f t="shared" si="12"/>
        <v>3.8319857777165902</v>
      </c>
      <c r="AR40" t="str">
        <f t="shared" si="13"/>
        <v>45539B</v>
      </c>
    </row>
    <row r="41" spans="1:44" x14ac:dyDescent="0.3">
      <c r="A41" s="27">
        <v>45539</v>
      </c>
      <c r="B41" s="28" t="s">
        <v>20</v>
      </c>
      <c r="C41" s="29">
        <v>8.3166666666666682</v>
      </c>
      <c r="D41" s="29">
        <v>38.4</v>
      </c>
      <c r="E41" s="29">
        <v>27.3</v>
      </c>
      <c r="F41" s="29">
        <v>55.24</v>
      </c>
      <c r="G41" s="29">
        <v>4.05</v>
      </c>
      <c r="H41" s="29">
        <v>3.54</v>
      </c>
      <c r="I41" s="29">
        <v>146.4</v>
      </c>
      <c r="J41" s="29">
        <v>8.7322634755159978</v>
      </c>
      <c r="K41" s="29">
        <v>1.6218656888617521E-2</v>
      </c>
      <c r="L41" s="29">
        <v>0.14162558517040069</v>
      </c>
      <c r="M41" s="29">
        <v>8.3489565762795497</v>
      </c>
      <c r="N41" s="29">
        <v>2.5953478276257028E-3</v>
      </c>
      <c r="O41" s="29">
        <v>5225</v>
      </c>
      <c r="P41" s="29">
        <v>98.100866977904658</v>
      </c>
      <c r="Q41" s="29">
        <v>66133.2</v>
      </c>
      <c r="R41" s="29">
        <v>12533.172</v>
      </c>
      <c r="S41" s="29">
        <v>8.3421213548675794</v>
      </c>
      <c r="T41" s="29">
        <f t="shared" si="1"/>
        <v>10.808435823210598</v>
      </c>
      <c r="U41" s="29">
        <f>VLOOKUP($AR41,ggg,U$4,0)</f>
        <v>13.39</v>
      </c>
      <c r="V41" s="29" t="e">
        <f>VLOOKUP($AR41,fff,3,)</f>
        <v>#N/A</v>
      </c>
      <c r="W41" s="29" t="e">
        <f>VLOOKUP($AR41,fff,2,)</f>
        <v>#N/A</v>
      </c>
      <c r="X41" s="29">
        <f>VLOOKUP($AR41,ggg,X$4,0)</f>
        <v>8.5</v>
      </c>
      <c r="Y41" s="29">
        <f>VLOOKUP($AR41,ggg,Y$4,0)</f>
        <v>26.89</v>
      </c>
      <c r="Z41" s="29">
        <f>VLOOKUP($AR41,ggg,Z$4,0)</f>
        <v>3.51</v>
      </c>
      <c r="AA41" s="29">
        <f>VLOOKUP($AR41,ggg,AA$4,0)</f>
        <v>4.05</v>
      </c>
      <c r="AE41">
        <f t="shared" si="2"/>
        <v>-0.66666666666667129</v>
      </c>
      <c r="AF41">
        <f t="shared" si="3"/>
        <v>0</v>
      </c>
      <c r="AG41">
        <f t="shared" si="4"/>
        <v>-1.0899999999999999</v>
      </c>
      <c r="AH41">
        <f t="shared" si="5"/>
        <v>0.34000000000000341</v>
      </c>
      <c r="AI41">
        <f t="shared" si="6"/>
        <v>-0.68571428571428505</v>
      </c>
      <c r="AJ41">
        <f t="shared" si="7"/>
        <v>-0.70000000000000062</v>
      </c>
      <c r="AK41">
        <f t="shared" si="8"/>
        <v>0</v>
      </c>
      <c r="AL41">
        <f t="shared" si="9"/>
        <v>6.2015649999999996</v>
      </c>
      <c r="AM41">
        <f t="shared" si="10"/>
        <v>0.66364869931200354</v>
      </c>
      <c r="AO41">
        <f t="shared" si="11"/>
        <v>10.978435823210599</v>
      </c>
      <c r="AP41">
        <f t="shared" si="12"/>
        <v>10.638435823210596</v>
      </c>
      <c r="AR41" t="str">
        <f t="shared" si="13"/>
        <v>45539C</v>
      </c>
    </row>
    <row r="42" spans="1:44" x14ac:dyDescent="0.3">
      <c r="A42" s="27">
        <v>45540</v>
      </c>
      <c r="B42" s="28" t="s">
        <v>21</v>
      </c>
      <c r="C42" s="29">
        <v>8.5</v>
      </c>
      <c r="D42" s="29">
        <v>38.714285714285722</v>
      </c>
      <c r="E42" s="29">
        <v>26.89142857142857</v>
      </c>
      <c r="F42" s="29">
        <v>54.89</v>
      </c>
      <c r="G42" s="29">
        <v>4.05</v>
      </c>
      <c r="H42" s="29">
        <v>3.5142857142857151</v>
      </c>
      <c r="I42" s="29">
        <v>145.85714285714289</v>
      </c>
      <c r="J42" s="29">
        <v>8.1365005839424374</v>
      </c>
      <c r="K42" s="29">
        <v>4.366254518413719E-3</v>
      </c>
      <c r="L42" s="29">
        <v>3.5526032438714529E-2</v>
      </c>
      <c r="M42" s="29">
        <v>8.3356688454693</v>
      </c>
      <c r="N42" s="29">
        <v>2.5914269047595659E-3</v>
      </c>
      <c r="O42" s="29">
        <v>5225</v>
      </c>
      <c r="P42" s="29">
        <v>89.629321457539788</v>
      </c>
      <c r="Q42" s="29">
        <v>12471.84</v>
      </c>
      <c r="R42" s="29">
        <v>5108.03</v>
      </c>
      <c r="S42" s="29">
        <v>8.3242366910407384</v>
      </c>
      <c r="T42" s="29">
        <f t="shared" si="1"/>
        <v>3.4074953883079555</v>
      </c>
      <c r="U42" s="29">
        <f>VLOOKUP($AR42,ggg,U$4,0)</f>
        <v>16.13</v>
      </c>
      <c r="V42" s="29">
        <f>VLOOKUP($AR42,fff,3,)</f>
        <v>15.74</v>
      </c>
      <c r="W42" s="29">
        <f>VLOOKUP($AR42,fff,2,)</f>
        <v>15.97</v>
      </c>
      <c r="X42" s="29">
        <f>VLOOKUP($AR42,ggg,X$4,0)</f>
        <v>8.4</v>
      </c>
      <c r="Y42" s="29">
        <f>VLOOKUP($AR42,ggg,Y$4,0)</f>
        <v>27.73</v>
      </c>
      <c r="Z42" s="29">
        <f>VLOOKUP($AR42,ggg,Z$4,0)</f>
        <v>3.5</v>
      </c>
      <c r="AA42" s="29">
        <f>VLOOKUP($AR42,ggg,AA$4,0)</f>
        <v>4.05</v>
      </c>
      <c r="AE42">
        <f t="shared" si="2"/>
        <v>-1.3999999999999986</v>
      </c>
      <c r="AF42">
        <f t="shared" si="3"/>
        <v>0</v>
      </c>
      <c r="AG42">
        <f t="shared" si="4"/>
        <v>-0.68142857142856872</v>
      </c>
      <c r="AH42">
        <f t="shared" si="5"/>
        <v>-0.35999999999999938</v>
      </c>
      <c r="AI42">
        <f t="shared" si="6"/>
        <v>-0.68571428571428505</v>
      </c>
      <c r="AJ42">
        <f t="shared" si="7"/>
        <v>-0.57142857142857606</v>
      </c>
      <c r="AK42">
        <f t="shared" si="8"/>
        <v>0</v>
      </c>
      <c r="AL42">
        <f t="shared" si="9"/>
        <v>-0.50610500000000003</v>
      </c>
      <c r="AM42">
        <f t="shared" si="10"/>
        <v>1.4579992214100841</v>
      </c>
      <c r="AO42">
        <f t="shared" si="11"/>
        <v>3.2274953883079558</v>
      </c>
      <c r="AP42">
        <f t="shared" si="12"/>
        <v>3.5874953883079552</v>
      </c>
      <c r="AR42" t="str">
        <f t="shared" si="13"/>
        <v>45540A</v>
      </c>
    </row>
    <row r="43" spans="1:44" x14ac:dyDescent="0.3">
      <c r="A43" s="27">
        <v>45540</v>
      </c>
      <c r="B43" s="28" t="s">
        <v>19</v>
      </c>
      <c r="C43" s="29">
        <v>8.4580000000000002</v>
      </c>
      <c r="D43" s="29">
        <v>37.285714285714278</v>
      </c>
      <c r="E43" s="29">
        <v>27.118571428571428</v>
      </c>
      <c r="F43" s="29">
        <v>54.1</v>
      </c>
      <c r="G43" s="29">
        <v>4.05</v>
      </c>
      <c r="H43" s="29">
        <v>3.5228571428571431</v>
      </c>
      <c r="I43" s="29">
        <v>138.85714285714289</v>
      </c>
      <c r="J43" s="29">
        <v>10.998658010791409</v>
      </c>
      <c r="K43" s="29">
        <v>6.5193720791456534E-3</v>
      </c>
      <c r="L43" s="29">
        <v>7.1704343943625196E-2</v>
      </c>
      <c r="M43" s="29">
        <v>8.3623179842186541</v>
      </c>
      <c r="N43" s="29">
        <v>3.4095138166140901</v>
      </c>
      <c r="O43" s="29">
        <v>5225</v>
      </c>
      <c r="P43" s="29">
        <v>103.21337049171861</v>
      </c>
      <c r="Q43" s="29">
        <v>17023.400000000001</v>
      </c>
      <c r="R43" s="29">
        <v>9050.5249999999996</v>
      </c>
      <c r="S43" s="29">
        <v>8.3491223924838991</v>
      </c>
      <c r="T43" s="29">
        <f t="shared" si="1"/>
        <v>-0.21230850040798455</v>
      </c>
      <c r="U43" s="29">
        <f>VLOOKUP($AR43,ggg,U$4,0)</f>
        <v>14.98</v>
      </c>
      <c r="V43" s="29">
        <f>VLOOKUP($AR43,fff,3,)</f>
        <v>11.37</v>
      </c>
      <c r="W43" s="29">
        <f>VLOOKUP($AR43,fff,2,)</f>
        <v>10.14</v>
      </c>
      <c r="X43" s="29">
        <f>VLOOKUP($AR43,ggg,X$4,0)</f>
        <v>8.35</v>
      </c>
      <c r="Y43" s="29">
        <f>VLOOKUP($AR43,ggg,Y$4,0)</f>
        <v>26.5</v>
      </c>
      <c r="Z43" s="29">
        <f>VLOOKUP($AR43,ggg,Z$4,0)</f>
        <v>3.46</v>
      </c>
      <c r="AA43" s="29">
        <f>VLOOKUP($AR43,ggg,AA$4,0)</f>
        <v>4</v>
      </c>
      <c r="AE43">
        <f t="shared" si="2"/>
        <v>-1.2319999999999993</v>
      </c>
      <c r="AF43">
        <f t="shared" si="3"/>
        <v>0</v>
      </c>
      <c r="AG43">
        <f t="shared" si="4"/>
        <v>-0.90857142857142748</v>
      </c>
      <c r="AH43">
        <f t="shared" si="5"/>
        <v>-1.9399999999999977</v>
      </c>
      <c r="AI43">
        <f t="shared" si="6"/>
        <v>-0.68571428571428505</v>
      </c>
      <c r="AJ43">
        <f t="shared" si="7"/>
        <v>-0.61428571428571621</v>
      </c>
      <c r="AK43">
        <f t="shared" si="8"/>
        <v>0</v>
      </c>
      <c r="AL43">
        <f t="shared" si="9"/>
        <v>6.2840000000000146E-2</v>
      </c>
      <c r="AM43">
        <f t="shared" si="10"/>
        <v>-2.3582106810552119</v>
      </c>
      <c r="AO43">
        <f t="shared" si="11"/>
        <v>-1.1823085004079834</v>
      </c>
      <c r="AP43">
        <f t="shared" si="12"/>
        <v>0.75769149959201432</v>
      </c>
      <c r="AR43" t="str">
        <f t="shared" si="13"/>
        <v>45540B</v>
      </c>
    </row>
    <row r="44" spans="1:44" x14ac:dyDescent="0.3">
      <c r="A44" s="27">
        <v>45540</v>
      </c>
      <c r="B44" s="28" t="s">
        <v>20</v>
      </c>
      <c r="C44" s="29">
        <v>8.3699999999999992</v>
      </c>
      <c r="D44" s="29">
        <v>37.200000000000003</v>
      </c>
      <c r="E44" s="29">
        <v>26.52</v>
      </c>
      <c r="F44" s="29">
        <v>56.24</v>
      </c>
      <c r="G44" s="29">
        <v>3.9950000000000001</v>
      </c>
      <c r="H44" s="29">
        <v>3.4359999999999999</v>
      </c>
      <c r="I44" s="29">
        <v>144.19999999999999</v>
      </c>
      <c r="J44" s="29">
        <v>9.2575623116350449</v>
      </c>
      <c r="K44" s="29">
        <v>2.425207262881366E-3</v>
      </c>
      <c r="L44" s="29">
        <v>2.2451507354754121E-2</v>
      </c>
      <c r="M44" s="29">
        <v>9.837137094986641</v>
      </c>
      <c r="N44" s="29">
        <v>2.587640422922689E-3</v>
      </c>
      <c r="O44" s="29">
        <v>5225</v>
      </c>
      <c r="P44" s="29">
        <v>80.793296116186426</v>
      </c>
      <c r="Q44" s="29">
        <v>7740</v>
      </c>
      <c r="R44" s="29">
        <v>11042.933999999999</v>
      </c>
      <c r="S44" s="29">
        <v>11.949052272385019</v>
      </c>
      <c r="T44" s="29">
        <f t="shared" si="1"/>
        <v>6.3545976675684948</v>
      </c>
      <c r="U44" s="29">
        <f>VLOOKUP($AR44,ggg,U$4,0)</f>
        <v>11.36</v>
      </c>
      <c r="V44" s="29" t="e">
        <f>VLOOKUP($AR44,fff,3,)</f>
        <v>#N/A</v>
      </c>
      <c r="W44" s="29" t="e">
        <f>VLOOKUP($AR44,fff,2,)</f>
        <v>#N/A</v>
      </c>
      <c r="X44" s="29">
        <f>VLOOKUP($AR44,ggg,X$4,0)</f>
        <v>8.5</v>
      </c>
      <c r="Y44" s="29">
        <f>VLOOKUP($AR44,ggg,Y$4,0)</f>
        <v>25.43</v>
      </c>
      <c r="Z44" s="29">
        <f>VLOOKUP($AR44,ggg,Z$4,0)</f>
        <v>3.47</v>
      </c>
      <c r="AA44" s="29">
        <f>VLOOKUP($AR44,ggg,AA$4,0)</f>
        <v>4</v>
      </c>
      <c r="AE44">
        <f t="shared" si="2"/>
        <v>-0.87999999999999545</v>
      </c>
      <c r="AF44">
        <f t="shared" si="3"/>
        <v>0</v>
      </c>
      <c r="AG44">
        <f t="shared" si="4"/>
        <v>-0.30999999999999872</v>
      </c>
      <c r="AH44">
        <f t="shared" si="5"/>
        <v>2.3400000000000034</v>
      </c>
      <c r="AI44">
        <f t="shared" si="6"/>
        <v>-0.52857142857142869</v>
      </c>
      <c r="AJ44">
        <f t="shared" si="7"/>
        <v>-0.18000000000000016</v>
      </c>
      <c r="AK44">
        <f t="shared" si="8"/>
        <v>0</v>
      </c>
      <c r="AL44">
        <f t="shared" si="9"/>
        <v>-1.097585</v>
      </c>
      <c r="AM44">
        <f t="shared" si="10"/>
        <v>-3.6749748846726028E-2</v>
      </c>
      <c r="AO44">
        <f t="shared" si="11"/>
        <v>7.5245976675684965</v>
      </c>
      <c r="AP44">
        <f t="shared" si="12"/>
        <v>5.1845976675684931</v>
      </c>
      <c r="AR44" t="str">
        <f t="shared" si="13"/>
        <v>45540C</v>
      </c>
    </row>
    <row r="45" spans="1:44" x14ac:dyDescent="0.3">
      <c r="A45" s="27">
        <v>45541</v>
      </c>
      <c r="B45" s="28" t="s">
        <v>21</v>
      </c>
      <c r="C45" s="29">
        <v>8.5</v>
      </c>
      <c r="D45" s="29">
        <v>38.75</v>
      </c>
      <c r="E45" s="29">
        <v>25.432500000000001</v>
      </c>
      <c r="F45" s="29">
        <v>56.24</v>
      </c>
      <c r="G45" s="29">
        <v>4</v>
      </c>
      <c r="H45" s="29">
        <v>3.4750000000000001</v>
      </c>
      <c r="I45" s="29">
        <v>144.25</v>
      </c>
      <c r="J45" s="29">
        <v>9.0295199197210518</v>
      </c>
      <c r="K45" s="29">
        <v>1.4512531652580291E-2</v>
      </c>
      <c r="L45" s="29">
        <v>0.13104119364255601</v>
      </c>
      <c r="M45" s="29">
        <v>8.3241949435701592</v>
      </c>
      <c r="N45" s="29">
        <v>2.587720706273524E-3</v>
      </c>
      <c r="O45" s="29">
        <v>5225</v>
      </c>
      <c r="P45" s="29">
        <v>82.306240408334872</v>
      </c>
      <c r="Q45" s="29">
        <v>32320</v>
      </c>
      <c r="R45" s="29">
        <v>6966.0610000000006</v>
      </c>
      <c r="S45" s="29">
        <v>8.3242030615700067</v>
      </c>
      <c r="T45" s="29">
        <f t="shared" si="1"/>
        <v>8.0668171994182831</v>
      </c>
      <c r="U45" s="29">
        <f>VLOOKUP($AR45,ggg,U$4,0)</f>
        <v>12.05</v>
      </c>
      <c r="V45" s="29">
        <f>VLOOKUP($AR45,fff,3,)</f>
        <v>12.17</v>
      </c>
      <c r="W45" s="29">
        <f>VLOOKUP($AR45,fff,2,)</f>
        <v>11.87</v>
      </c>
      <c r="X45" s="29">
        <f>VLOOKUP($AR45,ggg,X$4,0)</f>
        <v>8.1999999999999993</v>
      </c>
      <c r="Y45" s="29">
        <f>VLOOKUP($AR45,ggg,Y$4,0)</f>
        <v>25.74</v>
      </c>
      <c r="Z45" s="29">
        <f>VLOOKUP($AR45,ggg,Z$4,0)</f>
        <v>3.42</v>
      </c>
      <c r="AA45" s="29">
        <f>VLOOKUP($AR45,ggg,AA$4,0)</f>
        <v>3.89</v>
      </c>
      <c r="AE45">
        <f t="shared" si="2"/>
        <v>-1.3999999999999986</v>
      </c>
      <c r="AF45">
        <f t="shared" si="3"/>
        <v>0</v>
      </c>
      <c r="AG45">
        <f t="shared" si="4"/>
        <v>0.77749999999999986</v>
      </c>
      <c r="AH45">
        <f t="shared" si="5"/>
        <v>2.3400000000000034</v>
      </c>
      <c r="AI45">
        <f t="shared" si="6"/>
        <v>-0.5428571428571427</v>
      </c>
      <c r="AJ45">
        <f t="shared" si="7"/>
        <v>-0.37500000000000089</v>
      </c>
      <c r="AK45">
        <f t="shared" si="8"/>
        <v>0</v>
      </c>
      <c r="AL45">
        <f t="shared" si="9"/>
        <v>1.974915</v>
      </c>
      <c r="AM45">
        <f t="shared" si="10"/>
        <v>0.26730677370526479</v>
      </c>
      <c r="AO45">
        <f t="shared" si="11"/>
        <v>9.2368171994182848</v>
      </c>
      <c r="AP45">
        <f t="shared" si="12"/>
        <v>6.8968171994182814</v>
      </c>
      <c r="AR45" t="str">
        <f t="shared" si="13"/>
        <v>45541A</v>
      </c>
    </row>
    <row r="46" spans="1:44" x14ac:dyDescent="0.3">
      <c r="A46" s="27">
        <v>45541</v>
      </c>
      <c r="B46" s="28" t="s">
        <v>19</v>
      </c>
      <c r="C46" s="29">
        <v>8.1960000000000015</v>
      </c>
      <c r="D46" s="29">
        <v>37.571428571428569</v>
      </c>
      <c r="E46" s="29">
        <v>26.074285714285711</v>
      </c>
      <c r="F46" s="29">
        <v>56.56</v>
      </c>
      <c r="G46" s="29">
        <v>3.89</v>
      </c>
      <c r="H46" s="29">
        <v>3.4057142857142861</v>
      </c>
      <c r="I46" s="29">
        <v>142.71428571428569</v>
      </c>
      <c r="J46" s="29">
        <v>8.6026708842459225</v>
      </c>
      <c r="K46" s="29">
        <v>3.182188450668227E-3</v>
      </c>
      <c r="L46" s="29">
        <v>2.7375319932747191E-2</v>
      </c>
      <c r="M46" s="29">
        <v>12.213056033893951</v>
      </c>
      <c r="N46" s="29">
        <v>2.5884718385189771E-3</v>
      </c>
      <c r="O46" s="29">
        <v>5225</v>
      </c>
      <c r="P46" s="29">
        <v>80.064957185449046</v>
      </c>
      <c r="Q46" s="29">
        <v>10225.120000000001</v>
      </c>
      <c r="R46" s="29">
        <v>10146.513999999999</v>
      </c>
      <c r="S46" s="29">
        <v>14.847161153277201</v>
      </c>
      <c r="T46" s="29">
        <f t="shared" si="1"/>
        <v>11.715435533470815</v>
      </c>
      <c r="U46" s="29">
        <f>VLOOKUP($AR46,ggg,U$4,0)</f>
        <v>14.94</v>
      </c>
      <c r="V46" s="29">
        <f>VLOOKUP($AR46,fff,3,)</f>
        <v>16.7</v>
      </c>
      <c r="W46" s="29">
        <f>VLOOKUP($AR46,fff,2,)</f>
        <v>16.28</v>
      </c>
      <c r="X46" s="29">
        <f>VLOOKUP($AR46,ggg,X$4,0)</f>
        <v>8</v>
      </c>
      <c r="Y46" s="29">
        <f>VLOOKUP($AR46,ggg,Y$4,0)</f>
        <v>26.98</v>
      </c>
      <c r="Z46" s="29">
        <f>VLOOKUP($AR46,ggg,Z$4,0)</f>
        <v>3.25</v>
      </c>
      <c r="AA46" s="29">
        <f>VLOOKUP($AR46,ggg,AA$4,0)</f>
        <v>3.7</v>
      </c>
      <c r="AE46">
        <f t="shared" si="2"/>
        <v>-0.1840000000000046</v>
      </c>
      <c r="AF46">
        <f t="shared" si="3"/>
        <v>0</v>
      </c>
      <c r="AG46">
        <f t="shared" si="4"/>
        <v>0.13571428571428967</v>
      </c>
      <c r="AH46">
        <f t="shared" si="5"/>
        <v>2.980000000000004</v>
      </c>
      <c r="AI46">
        <f t="shared" si="6"/>
        <v>-0.22857142857142876</v>
      </c>
      <c r="AJ46">
        <f t="shared" si="7"/>
        <v>-2.8571428571431138E-2</v>
      </c>
      <c r="AK46">
        <f t="shared" si="8"/>
        <v>0</v>
      </c>
      <c r="AL46">
        <f t="shared" si="9"/>
        <v>-0.78694499999999989</v>
      </c>
      <c r="AM46">
        <f t="shared" si="10"/>
        <v>0.83643882100543721</v>
      </c>
      <c r="AO46">
        <f t="shared" si="11"/>
        <v>13.205435533470817</v>
      </c>
      <c r="AP46">
        <f t="shared" si="12"/>
        <v>10.225435533470813</v>
      </c>
      <c r="AR46" t="str">
        <f t="shared" si="13"/>
        <v>45541B</v>
      </c>
    </row>
    <row r="47" spans="1:44" x14ac:dyDescent="0.3">
      <c r="A47" s="27">
        <v>45541</v>
      </c>
      <c r="B47" s="28" t="s">
        <v>20</v>
      </c>
      <c r="C47" s="29">
        <v>8</v>
      </c>
      <c r="D47" s="29">
        <v>37.5</v>
      </c>
      <c r="E47" s="29">
        <v>26.63333333333334</v>
      </c>
      <c r="F47" s="29">
        <v>56.56</v>
      </c>
      <c r="G47" s="29">
        <v>3.7</v>
      </c>
      <c r="H47" s="29">
        <v>3.273333333333333</v>
      </c>
      <c r="I47" s="29">
        <v>145.16666666666671</v>
      </c>
      <c r="J47" s="29">
        <v>8.8319028955476178</v>
      </c>
      <c r="K47" s="29">
        <v>8.1410017718382705E-3</v>
      </c>
      <c r="L47" s="29">
        <v>7.1900537121356703E-2</v>
      </c>
      <c r="M47" s="29">
        <v>19.88365548423014</v>
      </c>
      <c r="N47" s="29">
        <v>2.592248145917111E-3</v>
      </c>
      <c r="O47" s="29">
        <v>5225</v>
      </c>
      <c r="P47" s="29">
        <v>80.184113261990902</v>
      </c>
      <c r="Q47" s="29">
        <v>26370.959999999999</v>
      </c>
      <c r="R47" s="29">
        <v>10280.174999999999</v>
      </c>
      <c r="S47" s="29">
        <v>20.735315929868939</v>
      </c>
      <c r="T47" s="29">
        <f t="shared" si="1"/>
        <v>22.545044212785697</v>
      </c>
      <c r="U47" s="29">
        <f>VLOOKUP($AR47,ggg,U$4,0)</f>
        <v>16.91</v>
      </c>
      <c r="V47" s="29" t="e">
        <f>VLOOKUP($AR47,fff,3,)</f>
        <v>#N/A</v>
      </c>
      <c r="W47" s="29" t="e">
        <f>VLOOKUP($AR47,fff,2,)</f>
        <v>#N/A</v>
      </c>
      <c r="X47" s="29">
        <f>VLOOKUP($AR47,ggg,X$4,0)</f>
        <v>8.1999999999999993</v>
      </c>
      <c r="Y47" s="29">
        <f>VLOOKUP($AR47,ggg,Y$4,0)</f>
        <v>27.12</v>
      </c>
      <c r="Z47" s="29">
        <f>VLOOKUP($AR47,ggg,Z$4,0)</f>
        <v>3.3</v>
      </c>
      <c r="AA47" s="29">
        <f>VLOOKUP($AR47,ggg,AA$4,0)</f>
        <v>3.7</v>
      </c>
      <c r="AE47">
        <f t="shared" si="2"/>
        <v>0.60000000000000142</v>
      </c>
      <c r="AF47">
        <f t="shared" si="3"/>
        <v>0</v>
      </c>
      <c r="AG47">
        <f t="shared" si="4"/>
        <v>-0.42333333333333917</v>
      </c>
      <c r="AH47">
        <f t="shared" si="5"/>
        <v>2.980000000000004</v>
      </c>
      <c r="AI47">
        <f t="shared" si="6"/>
        <v>0.31428571428571395</v>
      </c>
      <c r="AJ47">
        <f t="shared" si="7"/>
        <v>0.63333333333333475</v>
      </c>
      <c r="AK47">
        <f t="shared" si="8"/>
        <v>0</v>
      </c>
      <c r="AL47">
        <f t="shared" si="9"/>
        <v>1.231285</v>
      </c>
      <c r="AM47">
        <f t="shared" si="10"/>
        <v>0.53079613926984359</v>
      </c>
      <c r="AO47">
        <f t="shared" si="11"/>
        <v>24.035044212785699</v>
      </c>
      <c r="AP47">
        <f t="shared" si="12"/>
        <v>21.055044212785695</v>
      </c>
      <c r="AR47" t="str">
        <f t="shared" si="13"/>
        <v>45541C</v>
      </c>
    </row>
    <row r="48" spans="1:44" x14ac:dyDescent="0.3">
      <c r="A48" s="27">
        <v>45544</v>
      </c>
      <c r="B48" s="28" t="s">
        <v>21</v>
      </c>
      <c r="C48" s="29">
        <v>8.1999999999999993</v>
      </c>
      <c r="D48" s="29">
        <v>37.875</v>
      </c>
      <c r="E48" s="29">
        <v>27.125</v>
      </c>
      <c r="F48" s="29">
        <v>56.56</v>
      </c>
      <c r="G48" s="29">
        <v>3.7</v>
      </c>
      <c r="H48" s="29">
        <v>3.3050000000000002</v>
      </c>
      <c r="I48" s="29">
        <v>146.75</v>
      </c>
      <c r="J48" s="29">
        <v>6.6555139097906002</v>
      </c>
      <c r="K48" s="29">
        <v>6.0314255653308281E-3</v>
      </c>
      <c r="L48" s="29">
        <v>4.0142236745925958E-2</v>
      </c>
      <c r="M48" s="29">
        <v>18.203171439256671</v>
      </c>
      <c r="N48" s="29">
        <v>2.5914418572576411E-3</v>
      </c>
      <c r="O48" s="29">
        <v>5225</v>
      </c>
      <c r="P48" s="29">
        <v>80.227066309619772</v>
      </c>
      <c r="Q48" s="29">
        <v>18671.759999999998</v>
      </c>
      <c r="R48" s="29">
        <v>7172.8239999999996</v>
      </c>
      <c r="S48" s="29">
        <v>17.99126604406031</v>
      </c>
      <c r="T48" s="29">
        <f t="shared" si="1"/>
        <v>20.96559327382159</v>
      </c>
      <c r="U48" s="29">
        <f>VLOOKUP($AR48,ggg,U$4,0)</f>
        <v>19.64</v>
      </c>
      <c r="V48" s="29">
        <f>VLOOKUP($AR48,fff,3,)</f>
        <v>20.05</v>
      </c>
      <c r="W48" s="29">
        <f>VLOOKUP($AR48,fff,2,)</f>
        <v>19.739999999999998</v>
      </c>
      <c r="X48" s="29">
        <f>VLOOKUP($AR48,ggg,X$4,0)</f>
        <v>8.6</v>
      </c>
      <c r="Y48" s="29">
        <f>VLOOKUP($AR48,ggg,Y$4,0)</f>
        <v>30.01</v>
      </c>
      <c r="Z48" s="29">
        <f>VLOOKUP($AR48,ggg,Z$4,0)</f>
        <v>3.59</v>
      </c>
      <c r="AA48" s="29">
        <f>VLOOKUP($AR48,ggg,AA$4,0)</f>
        <v>3.7</v>
      </c>
      <c r="AE48">
        <f t="shared" si="2"/>
        <v>-0.19999999999999574</v>
      </c>
      <c r="AF48">
        <f t="shared" si="3"/>
        <v>0</v>
      </c>
      <c r="AG48">
        <f t="shared" si="4"/>
        <v>-0.91499999999999915</v>
      </c>
      <c r="AH48">
        <f t="shared" si="5"/>
        <v>2.980000000000004</v>
      </c>
      <c r="AI48">
        <f t="shared" si="6"/>
        <v>0.31428571428571395</v>
      </c>
      <c r="AJ48">
        <f t="shared" si="7"/>
        <v>0.47499999999999876</v>
      </c>
      <c r="AK48">
        <f t="shared" si="8"/>
        <v>0</v>
      </c>
      <c r="AL48">
        <f t="shared" si="9"/>
        <v>0.26888499999999976</v>
      </c>
      <c r="AM48">
        <f t="shared" si="10"/>
        <v>3.4326481202792003</v>
      </c>
      <c r="AO48">
        <f t="shared" si="11"/>
        <v>22.455593273821592</v>
      </c>
      <c r="AP48">
        <f t="shared" si="12"/>
        <v>19.475593273821588</v>
      </c>
      <c r="AR48" t="str">
        <f t="shared" si="13"/>
        <v>45544A</v>
      </c>
    </row>
    <row r="49" spans="1:44" x14ac:dyDescent="0.3">
      <c r="A49" s="27">
        <v>45544</v>
      </c>
      <c r="B49" s="28" t="s">
        <v>19</v>
      </c>
      <c r="C49" s="29">
        <v>8.4783333333333335</v>
      </c>
      <c r="D49" s="29">
        <v>38</v>
      </c>
      <c r="E49" s="29">
        <v>28.911111111111111</v>
      </c>
      <c r="F49" s="29">
        <v>56.2</v>
      </c>
      <c r="G49" s="29">
        <v>3.7</v>
      </c>
      <c r="H49" s="29">
        <v>3.6066666666666669</v>
      </c>
      <c r="I49" s="29">
        <v>135.11111111111109</v>
      </c>
      <c r="J49" s="29">
        <v>9.6182503156628911</v>
      </c>
      <c r="K49" s="29">
        <v>3.0756240985937817E-5</v>
      </c>
      <c r="L49" s="29">
        <v>2.958212245716005E-4</v>
      </c>
      <c r="M49" s="29">
        <v>8.3386002278713782</v>
      </c>
      <c r="N49" s="29">
        <v>2.5921327646386129E-3</v>
      </c>
      <c r="O49" s="29">
        <v>5225</v>
      </c>
      <c r="P49" s="29">
        <v>91.498317426793804</v>
      </c>
      <c r="Q49" s="29">
        <v>59.040000000000013</v>
      </c>
      <c r="R49" s="29">
        <v>5425.1980000000003</v>
      </c>
      <c r="S49" s="29">
        <v>12.119101789093611</v>
      </c>
      <c r="T49" s="29">
        <f t="shared" si="1"/>
        <v>-0.16211417317120369</v>
      </c>
      <c r="U49" s="29">
        <f>VLOOKUP($AR49,ggg,U$4,0)</f>
        <v>17.36</v>
      </c>
      <c r="V49" s="29">
        <f>VLOOKUP($AR49,fff,3,)</f>
        <v>12.95</v>
      </c>
      <c r="W49" s="29">
        <f>VLOOKUP($AR49,fff,2,)</f>
        <v>7</v>
      </c>
      <c r="X49" s="29">
        <f>VLOOKUP($AR49,ggg,X$4,0)</f>
        <v>8.64</v>
      </c>
      <c r="Y49" s="29">
        <f>VLOOKUP($AR49,ggg,Y$4,0)</f>
        <v>26.75</v>
      </c>
      <c r="Z49" s="29">
        <f>VLOOKUP($AR49,ggg,Z$4,0)</f>
        <v>3.85</v>
      </c>
      <c r="AA49" s="29">
        <f>VLOOKUP($AR49,ggg,AA$4,0)</f>
        <v>4.1900000000000004</v>
      </c>
      <c r="AE49">
        <f t="shared" si="2"/>
        <v>-1.3133333333333326</v>
      </c>
      <c r="AF49">
        <f t="shared" si="3"/>
        <v>0</v>
      </c>
      <c r="AG49">
        <f t="shared" si="4"/>
        <v>-2.7011111111111106</v>
      </c>
      <c r="AH49">
        <f t="shared" si="5"/>
        <v>2.2600000000000051</v>
      </c>
      <c r="AI49">
        <f t="shared" si="6"/>
        <v>0.31428571428571395</v>
      </c>
      <c r="AJ49">
        <f t="shared" si="7"/>
        <v>-1.033333333333335</v>
      </c>
      <c r="AK49">
        <f t="shared" si="8"/>
        <v>0</v>
      </c>
      <c r="AL49">
        <f t="shared" si="9"/>
        <v>-2.0577049999999999</v>
      </c>
      <c r="AM49">
        <f t="shared" si="10"/>
        <v>-0.51766708755052093</v>
      </c>
      <c r="AO49">
        <f t="shared" si="11"/>
        <v>0.96788582682879887</v>
      </c>
      <c r="AP49">
        <f t="shared" si="12"/>
        <v>-1.2921141731712062</v>
      </c>
      <c r="AR49" t="str">
        <f t="shared" si="13"/>
        <v>45544B</v>
      </c>
    </row>
    <row r="50" spans="1:44" x14ac:dyDescent="0.3">
      <c r="A50" s="27">
        <v>45547</v>
      </c>
      <c r="B50" s="28" t="s">
        <v>21</v>
      </c>
      <c r="C50" s="29">
        <v>8.5566666666666666</v>
      </c>
      <c r="D50" s="29">
        <v>41.25</v>
      </c>
      <c r="E50" s="29">
        <v>27.4</v>
      </c>
      <c r="F50" s="29">
        <v>57.41</v>
      </c>
      <c r="G50" s="29">
        <v>4.085</v>
      </c>
      <c r="H50" s="29">
        <v>3.7050000000000001</v>
      </c>
      <c r="I50" s="29">
        <v>145.75</v>
      </c>
      <c r="J50" s="29">
        <v>8.2927441491001357</v>
      </c>
      <c r="K50" s="29">
        <v>5.4785135771305612E-3</v>
      </c>
      <c r="L50" s="29">
        <v>4.5431911412515118E-2</v>
      </c>
      <c r="M50" s="29">
        <v>8.324184705149376</v>
      </c>
      <c r="N50" s="29">
        <v>2.5876399587246388E-3</v>
      </c>
      <c r="O50" s="29">
        <v>5225</v>
      </c>
      <c r="P50" s="29">
        <v>82.306248050387779</v>
      </c>
      <c r="Q50" s="29">
        <v>17244</v>
      </c>
      <c r="R50" s="29">
        <v>9296.5429999999997</v>
      </c>
      <c r="S50" s="29">
        <v>8.3241869655715952</v>
      </c>
      <c r="T50" s="29">
        <f t="shared" si="1"/>
        <v>5.0389610956349085</v>
      </c>
      <c r="U50" s="29">
        <f>VLOOKUP($AR50,ggg,U$4,0)</f>
        <v>11.92</v>
      </c>
      <c r="V50" s="29">
        <f>VLOOKUP($AR50,fff,3,)</f>
        <v>12.68</v>
      </c>
      <c r="W50" s="29">
        <f>VLOOKUP($AR50,fff,2,)</f>
        <v>13.68</v>
      </c>
      <c r="X50" s="29">
        <f>VLOOKUP($AR50,ggg,X$4,0)</f>
        <v>8.5500000000000007</v>
      </c>
      <c r="Y50" s="29">
        <f>VLOOKUP($AR50,ggg,Y$4,0)</f>
        <v>26.77</v>
      </c>
      <c r="Z50" s="29">
        <f>VLOOKUP($AR50,ggg,Z$4,0)</f>
        <v>3.67</v>
      </c>
      <c r="AA50" s="29">
        <f>VLOOKUP($AR50,ggg,AA$4,0)</f>
        <v>4.2300000000000004</v>
      </c>
      <c r="AE50">
        <f t="shared" si="2"/>
        <v>-1.6266666666666652</v>
      </c>
      <c r="AF50">
        <f t="shared" si="3"/>
        <v>0</v>
      </c>
      <c r="AG50">
        <f t="shared" si="4"/>
        <v>-1.1899999999999977</v>
      </c>
      <c r="AH50">
        <f t="shared" si="5"/>
        <v>4.6799999999999926</v>
      </c>
      <c r="AI50">
        <f t="shared" si="6"/>
        <v>-0.78571428571428548</v>
      </c>
      <c r="AJ50">
        <f t="shared" si="7"/>
        <v>-1.5250000000000008</v>
      </c>
      <c r="AK50">
        <f t="shared" si="8"/>
        <v>0</v>
      </c>
      <c r="AL50">
        <f t="shared" si="9"/>
        <v>9.0414999999999968E-2</v>
      </c>
      <c r="AM50">
        <f t="shared" si="10"/>
        <v>1.2496744678664864</v>
      </c>
      <c r="AO50">
        <f t="shared" si="11"/>
        <v>7.3789610956349048</v>
      </c>
      <c r="AP50">
        <f t="shared" si="12"/>
        <v>2.6989610956349122</v>
      </c>
      <c r="AR50" t="str">
        <f t="shared" si="13"/>
        <v>45547A</v>
      </c>
    </row>
    <row r="51" spans="1:44" x14ac:dyDescent="0.3">
      <c r="A51" s="27">
        <v>45547</v>
      </c>
      <c r="B51" s="28" t="s">
        <v>19</v>
      </c>
      <c r="C51" s="29">
        <v>8.5350000000000001</v>
      </c>
      <c r="D51" s="29">
        <v>38.833333333333343</v>
      </c>
      <c r="E51" s="29">
        <v>26.783333333333331</v>
      </c>
      <c r="F51" s="29">
        <v>56.59</v>
      </c>
      <c r="G51" s="29">
        <v>4.2300000000000004</v>
      </c>
      <c r="H51" s="29">
        <v>3.7</v>
      </c>
      <c r="I51" s="29">
        <v>139.66666666666671</v>
      </c>
      <c r="J51" s="29">
        <v>9.7501989366588813</v>
      </c>
      <c r="K51" s="29">
        <v>2.8082538626609198E-3</v>
      </c>
      <c r="L51" s="29">
        <v>2.738103382558469E-2</v>
      </c>
      <c r="M51" s="29">
        <v>8.3241835842344383</v>
      </c>
      <c r="N51" s="29">
        <v>2.5877317449393279E-3</v>
      </c>
      <c r="O51" s="29">
        <v>5225</v>
      </c>
      <c r="P51" s="29">
        <v>82.306249898833798</v>
      </c>
      <c r="Q51" s="29">
        <v>5603.2000000000007</v>
      </c>
      <c r="R51" s="29">
        <v>6081.348</v>
      </c>
      <c r="S51" s="29">
        <v>8.3241861703906626</v>
      </c>
      <c r="T51" s="29">
        <f t="shared" si="1"/>
        <v>0.7327351686892678</v>
      </c>
      <c r="U51" s="29">
        <f>VLOOKUP($AR51,ggg,U$4,0)</f>
        <v>10.71</v>
      </c>
      <c r="V51" s="29">
        <f>VLOOKUP($AR51,fff,3,)</f>
        <v>7.75</v>
      </c>
      <c r="W51" s="29">
        <f>VLOOKUP($AR51,fff,2,)</f>
        <v>7</v>
      </c>
      <c r="X51" s="29">
        <f>VLOOKUP($AR51,ggg,X$4,0)</f>
        <v>8.36</v>
      </c>
      <c r="Y51" s="29">
        <f>VLOOKUP($AR51,ggg,Y$4,0)</f>
        <v>27.63</v>
      </c>
      <c r="Z51" s="29">
        <f>VLOOKUP($AR51,ggg,Z$4,0)</f>
        <v>3.49</v>
      </c>
      <c r="AA51" s="29">
        <f>VLOOKUP($AR51,ggg,AA$4,0)</f>
        <v>3.99</v>
      </c>
      <c r="AE51">
        <f t="shared" si="2"/>
        <v>-1.5399999999999991</v>
      </c>
      <c r="AF51">
        <f t="shared" si="3"/>
        <v>0</v>
      </c>
      <c r="AG51">
        <f t="shared" si="4"/>
        <v>-0.57333333333333059</v>
      </c>
      <c r="AH51">
        <f t="shared" si="5"/>
        <v>3.0400000000000063</v>
      </c>
      <c r="AI51">
        <f t="shared" si="6"/>
        <v>-1.2000000000000008</v>
      </c>
      <c r="AJ51">
        <f t="shared" si="7"/>
        <v>-1.5000000000000013</v>
      </c>
      <c r="AK51">
        <f t="shared" si="8"/>
        <v>0</v>
      </c>
      <c r="AL51">
        <f t="shared" si="9"/>
        <v>-1.3646849999999999</v>
      </c>
      <c r="AM51">
        <f t="shared" si="10"/>
        <v>-0.69359858221184112</v>
      </c>
      <c r="AO51">
        <f t="shared" si="11"/>
        <v>2.2527351686892709</v>
      </c>
      <c r="AP51">
        <f t="shared" si="12"/>
        <v>-0.78726483131073532</v>
      </c>
      <c r="AR51" t="str">
        <f t="shared" si="13"/>
        <v>45547B</v>
      </c>
    </row>
    <row r="52" spans="1:44" x14ac:dyDescent="0.3">
      <c r="A52" s="27">
        <v>45547</v>
      </c>
      <c r="B52" s="28" t="s">
        <v>20</v>
      </c>
      <c r="C52" s="29">
        <v>8.3650000000000002</v>
      </c>
      <c r="D52" s="29">
        <v>37.333333333333343</v>
      </c>
      <c r="E52" s="29">
        <v>27.63333333333334</v>
      </c>
      <c r="F52" s="29">
        <v>56.825000000000003</v>
      </c>
      <c r="G52" s="29">
        <v>3.99</v>
      </c>
      <c r="H52" s="29">
        <v>3.49</v>
      </c>
      <c r="I52" s="29">
        <v>135.25</v>
      </c>
      <c r="J52" s="29">
        <v>8.5338510260508365</v>
      </c>
      <c r="K52" s="29">
        <v>1.718996936043298E-3</v>
      </c>
      <c r="L52" s="29">
        <v>1.466966376643134E-2</v>
      </c>
      <c r="M52" s="29">
        <v>8.3365434135928265</v>
      </c>
      <c r="N52" s="29">
        <v>2.591481751640539E-3</v>
      </c>
      <c r="O52" s="29">
        <v>5225</v>
      </c>
      <c r="P52" s="29">
        <v>90.186874918382031</v>
      </c>
      <c r="Q52" s="29">
        <v>6865.52</v>
      </c>
      <c r="R52" s="29">
        <v>10958.641</v>
      </c>
      <c r="S52" s="29">
        <v>11.29739130570953</v>
      </c>
      <c r="T52" s="29">
        <f t="shared" si="1"/>
        <v>4.9350581229059927</v>
      </c>
      <c r="U52" s="29">
        <f>VLOOKUP($AR52,ggg,U$4,0)</f>
        <v>7.4</v>
      </c>
      <c r="V52" s="29" t="e">
        <f>VLOOKUP($AR52,fff,3,)</f>
        <v>#N/A</v>
      </c>
      <c r="W52" s="29" t="e">
        <f>VLOOKUP($AR52,fff,2,)</f>
        <v>#N/A</v>
      </c>
      <c r="X52" s="29">
        <f>VLOOKUP($AR52,ggg,X$4,0)</f>
        <v>8.32</v>
      </c>
      <c r="Y52" s="29">
        <f>VLOOKUP($AR52,ggg,Y$4,0)</f>
        <v>26.43</v>
      </c>
      <c r="Z52" s="29">
        <f>VLOOKUP($AR52,ggg,Z$4,0)</f>
        <v>3.41</v>
      </c>
      <c r="AA52" s="29">
        <f>VLOOKUP($AR52,ggg,AA$4,0)</f>
        <v>3.99</v>
      </c>
      <c r="AE52">
        <f t="shared" si="2"/>
        <v>-0.85999999999999943</v>
      </c>
      <c r="AF52">
        <f t="shared" si="3"/>
        <v>0</v>
      </c>
      <c r="AG52">
        <f t="shared" si="4"/>
        <v>-1.4233333333333391</v>
      </c>
      <c r="AH52">
        <f t="shared" si="5"/>
        <v>3.5100000000000051</v>
      </c>
      <c r="AI52">
        <f t="shared" si="6"/>
        <v>-0.51428571428571468</v>
      </c>
      <c r="AJ52">
        <f t="shared" si="7"/>
        <v>-0.45000000000000151</v>
      </c>
      <c r="AK52">
        <f t="shared" si="8"/>
        <v>0</v>
      </c>
      <c r="AL52">
        <f t="shared" si="9"/>
        <v>-1.2068950000000001</v>
      </c>
      <c r="AM52">
        <f t="shared" si="10"/>
        <v>0.92819863193221863</v>
      </c>
      <c r="AO52">
        <f t="shared" si="11"/>
        <v>6.6900581229059952</v>
      </c>
      <c r="AP52">
        <f t="shared" si="12"/>
        <v>3.1800581229059901</v>
      </c>
      <c r="AR52" t="str">
        <f t="shared" si="13"/>
        <v>45547C</v>
      </c>
    </row>
    <row r="53" spans="1:44" x14ac:dyDescent="0.3">
      <c r="A53" s="27">
        <v>45548</v>
      </c>
      <c r="B53" s="28" t="s">
        <v>19</v>
      </c>
      <c r="C53" s="29">
        <v>8.32</v>
      </c>
      <c r="D53" s="29">
        <v>39</v>
      </c>
      <c r="E53" s="29">
        <v>26.434285714285711</v>
      </c>
      <c r="F53" s="29">
        <v>57.07</v>
      </c>
      <c r="G53" s="29">
        <v>3.99</v>
      </c>
      <c r="H53" s="29">
        <v>3.411428571428571</v>
      </c>
      <c r="I53" s="29">
        <v>140.28571428571431</v>
      </c>
      <c r="J53" s="29">
        <v>8.2409435003719178</v>
      </c>
      <c r="K53" s="29">
        <v>1.155163245684214E-2</v>
      </c>
      <c r="L53" s="29">
        <v>9.5196350413898567E-2</v>
      </c>
      <c r="M53" s="29">
        <v>8.6773452548638037</v>
      </c>
      <c r="N53" s="29">
        <v>2.5876388258357589E-3</v>
      </c>
      <c r="O53" s="29">
        <v>5225</v>
      </c>
      <c r="P53" s="29">
        <v>81.953440219275123</v>
      </c>
      <c r="Q53" s="29">
        <v>29819.4</v>
      </c>
      <c r="R53" s="29">
        <v>3332.0309999999999</v>
      </c>
      <c r="S53" s="29">
        <v>11.378240255827921</v>
      </c>
      <c r="T53" s="29">
        <f t="shared" si="1"/>
        <v>9.5992168436536343</v>
      </c>
      <c r="U53" s="29">
        <f>VLOOKUP($AR53,ggg,U$4,0)</f>
        <v>13.64</v>
      </c>
      <c r="V53" s="29">
        <f>VLOOKUP($AR53,fff,3,)</f>
        <v>13.68</v>
      </c>
      <c r="W53" s="29">
        <f>VLOOKUP($AR53,fff,2,)</f>
        <v>12.3</v>
      </c>
      <c r="X53" s="29">
        <f>VLOOKUP($AR53,ggg,X$4,0)</f>
        <v>7.7</v>
      </c>
      <c r="Y53" s="29">
        <f>VLOOKUP($AR53,ggg,Y$4,0)</f>
        <v>26.54</v>
      </c>
      <c r="Z53" s="29">
        <f>VLOOKUP($AR53,ggg,Z$4,0)</f>
        <v>3.28</v>
      </c>
      <c r="AA53" s="29">
        <f>VLOOKUP($AR53,ggg,AA$4,0)</f>
        <v>3.6</v>
      </c>
      <c r="AE53">
        <f t="shared" si="2"/>
        <v>-0.67999999999999972</v>
      </c>
      <c r="AF53">
        <f t="shared" si="3"/>
        <v>0</v>
      </c>
      <c r="AG53">
        <f t="shared" si="4"/>
        <v>-0.22428571428570979</v>
      </c>
      <c r="AH53">
        <f t="shared" si="5"/>
        <v>4</v>
      </c>
      <c r="AI53">
        <f t="shared" si="6"/>
        <v>-0.51428571428571468</v>
      </c>
      <c r="AJ53">
        <f t="shared" si="7"/>
        <v>-5.7142857142855608E-2</v>
      </c>
      <c r="AK53">
        <f t="shared" si="8"/>
        <v>0</v>
      </c>
      <c r="AL53">
        <f t="shared" si="9"/>
        <v>1.6623400000000002</v>
      </c>
      <c r="AM53">
        <f t="shared" si="10"/>
        <v>1.3187419995041101</v>
      </c>
      <c r="AO53">
        <f t="shared" si="11"/>
        <v>11.599216843653634</v>
      </c>
      <c r="AP53">
        <f t="shared" si="12"/>
        <v>7.5992168436536343</v>
      </c>
      <c r="AR53" t="str">
        <f t="shared" si="13"/>
        <v>45548B</v>
      </c>
    </row>
    <row r="54" spans="1:44" x14ac:dyDescent="0.3">
      <c r="A54" s="27">
        <v>45548</v>
      </c>
      <c r="B54" s="28" t="s">
        <v>20</v>
      </c>
      <c r="C54" s="29">
        <v>7.73</v>
      </c>
      <c r="D54" s="29">
        <v>38.285714285714278</v>
      </c>
      <c r="E54" s="29">
        <v>26.411428571428569</v>
      </c>
      <c r="F54" s="29">
        <v>57.13</v>
      </c>
      <c r="G54" s="29">
        <v>3.6</v>
      </c>
      <c r="H54" s="29">
        <v>3.274285714285714</v>
      </c>
      <c r="I54" s="29">
        <v>145.14285714285711</v>
      </c>
      <c r="J54" s="29">
        <v>10.68901960977283</v>
      </c>
      <c r="K54" s="29">
        <v>4.6751487963683676E-3</v>
      </c>
      <c r="L54" s="29">
        <v>4.9972757162987318E-2</v>
      </c>
      <c r="M54" s="29">
        <v>24.880039035074411</v>
      </c>
      <c r="N54" s="29">
        <v>2.5947060059001051E-3</v>
      </c>
      <c r="O54" s="29">
        <v>5225</v>
      </c>
      <c r="P54" s="29">
        <v>80.258604867037874</v>
      </c>
      <c r="Q54" s="29">
        <v>33513.480000000003</v>
      </c>
      <c r="R54" s="29">
        <v>22409.882000000001</v>
      </c>
      <c r="S54" s="29">
        <v>25.275050109506552</v>
      </c>
      <c r="T54" s="29">
        <f t="shared" si="1"/>
        <v>29.627157662520169</v>
      </c>
      <c r="U54" s="29">
        <f>VLOOKUP($AR54,ggg,U$4,0)</f>
        <v>14.34</v>
      </c>
      <c r="V54" s="29" t="e">
        <f>VLOOKUP($AR54,fff,3,)</f>
        <v>#N/A</v>
      </c>
      <c r="W54" s="29" t="e">
        <f>VLOOKUP($AR54,fff,2,)</f>
        <v>#N/A</v>
      </c>
      <c r="X54" s="29">
        <f>VLOOKUP($AR54,ggg,X$4,0)</f>
        <v>8.08</v>
      </c>
      <c r="Y54" s="29">
        <f>VLOOKUP($AR54,ggg,Y$4,0)</f>
        <v>25.8</v>
      </c>
      <c r="Z54" s="29">
        <f>VLOOKUP($AR54,ggg,Z$4,0)</f>
        <v>3.33</v>
      </c>
      <c r="AA54" s="29">
        <f>VLOOKUP($AR54,ggg,AA$4,0)</f>
        <v>3.6</v>
      </c>
      <c r="AE54">
        <f t="shared" si="2"/>
        <v>1.6799999999999997</v>
      </c>
      <c r="AF54">
        <f t="shared" si="3"/>
        <v>0</v>
      </c>
      <c r="AG54">
        <f t="shared" si="4"/>
        <v>-0.2014285714285684</v>
      </c>
      <c r="AH54">
        <f t="shared" si="5"/>
        <v>4.1200000000000045</v>
      </c>
      <c r="AI54">
        <f t="shared" si="6"/>
        <v>0.59999999999999987</v>
      </c>
      <c r="AJ54">
        <f t="shared" si="7"/>
        <v>0.62857142857142945</v>
      </c>
      <c r="AK54">
        <f t="shared" si="8"/>
        <v>0</v>
      </c>
      <c r="AL54">
        <f t="shared" si="9"/>
        <v>2.1241000000000003</v>
      </c>
      <c r="AM54">
        <f t="shared" si="10"/>
        <v>-1.9453594796971057</v>
      </c>
      <c r="AO54">
        <f t="shared" si="11"/>
        <v>31.687157662520171</v>
      </c>
      <c r="AP54">
        <f t="shared" si="12"/>
        <v>27.567157662520167</v>
      </c>
      <c r="AR54" t="str">
        <f t="shared" si="13"/>
        <v>45548C</v>
      </c>
    </row>
    <row r="55" spans="1:44" x14ac:dyDescent="0.3">
      <c r="A55" s="27">
        <v>45549</v>
      </c>
      <c r="B55" s="28" t="s">
        <v>21</v>
      </c>
      <c r="C55" s="29">
        <v>8.08</v>
      </c>
      <c r="D55" s="29">
        <v>38.444444444444443</v>
      </c>
      <c r="E55" s="29">
        <v>25.80222222222222</v>
      </c>
      <c r="F55" s="29">
        <v>57.13</v>
      </c>
      <c r="G55" s="29">
        <v>3.6</v>
      </c>
      <c r="H55" s="29">
        <v>3.3311111111111109</v>
      </c>
      <c r="I55" s="29">
        <v>149.7777777777778</v>
      </c>
      <c r="J55" s="29">
        <v>9.4389567110404435</v>
      </c>
      <c r="K55" s="29">
        <v>1.962153148723764E-2</v>
      </c>
      <c r="L55" s="29">
        <v>0.1852067863123531</v>
      </c>
      <c r="M55" s="29">
        <v>19.65410223240665</v>
      </c>
      <c r="N55" s="29">
        <v>2.5922201344555449E-3</v>
      </c>
      <c r="O55" s="29">
        <v>5225</v>
      </c>
      <c r="P55" s="29">
        <v>80.178715702941687</v>
      </c>
      <c r="Q55" s="29">
        <v>54746.2</v>
      </c>
      <c r="R55" s="29">
        <v>6362.5590000000002</v>
      </c>
      <c r="S55" s="29">
        <v>17.452520511515431</v>
      </c>
      <c r="T55" s="29">
        <f t="shared" si="1"/>
        <v>25.641225381574959</v>
      </c>
      <c r="U55" s="29">
        <f>VLOOKUP($AR55,ggg,U$4,0)</f>
        <v>22.96</v>
      </c>
      <c r="V55" s="29">
        <f>VLOOKUP($AR55,fff,3,)</f>
        <v>23.31</v>
      </c>
      <c r="W55" s="29">
        <f>VLOOKUP($AR55,fff,2,)</f>
        <v>22.73</v>
      </c>
      <c r="X55" s="29">
        <f>VLOOKUP($AR55,ggg,X$4,0)</f>
        <v>7.7</v>
      </c>
      <c r="Y55" s="29">
        <f>VLOOKUP($AR55,ggg,Y$4,0)</f>
        <v>26.77</v>
      </c>
      <c r="Z55" s="29">
        <f>VLOOKUP($AR55,ggg,Z$4,0)</f>
        <v>3.23</v>
      </c>
      <c r="AA55" s="29">
        <f>VLOOKUP($AR55,ggg,AA$4,0)</f>
        <v>3.51</v>
      </c>
      <c r="AE55">
        <f t="shared" si="2"/>
        <v>0.28000000000000114</v>
      </c>
      <c r="AF55">
        <f t="shared" si="3"/>
        <v>0</v>
      </c>
      <c r="AG55">
        <f t="shared" si="4"/>
        <v>0.40777777777778113</v>
      </c>
      <c r="AH55">
        <f t="shared" si="5"/>
        <v>4.1200000000000045</v>
      </c>
      <c r="AI55">
        <f t="shared" si="6"/>
        <v>0.59999999999999987</v>
      </c>
      <c r="AJ55">
        <f t="shared" si="7"/>
        <v>0.344444444444445</v>
      </c>
      <c r="AK55">
        <f t="shared" si="8"/>
        <v>0</v>
      </c>
      <c r="AL55">
        <f t="shared" si="9"/>
        <v>4.7781899999999995</v>
      </c>
      <c r="AM55">
        <f t="shared" si="10"/>
        <v>-0.27860894805392417</v>
      </c>
      <c r="AO55">
        <f t="shared" si="11"/>
        <v>27.701225381574961</v>
      </c>
      <c r="AP55">
        <f t="shared" si="12"/>
        <v>23.581225381574956</v>
      </c>
      <c r="AR55" t="str">
        <f t="shared" si="13"/>
        <v>45549A</v>
      </c>
    </row>
    <row r="56" spans="1:44" x14ac:dyDescent="0.3">
      <c r="A56" s="27">
        <v>45549</v>
      </c>
      <c r="B56" s="28" t="s">
        <v>19</v>
      </c>
      <c r="C56" s="29">
        <v>7.7833333333333341</v>
      </c>
      <c r="D56" s="29">
        <v>37.6</v>
      </c>
      <c r="E56" s="29">
        <v>27</v>
      </c>
      <c r="F56" s="29">
        <v>54.95</v>
      </c>
      <c r="G56" s="29">
        <v>3.51</v>
      </c>
      <c r="H56" s="29">
        <v>3.2480000000000002</v>
      </c>
      <c r="I56" s="29">
        <v>142.19999999999999</v>
      </c>
      <c r="J56" s="29">
        <v>9.0420942244681335</v>
      </c>
      <c r="K56" s="29">
        <v>3.442143584594908E-3</v>
      </c>
      <c r="L56" s="29">
        <v>3.112418662605566E-2</v>
      </c>
      <c r="M56" s="29">
        <v>19.476073685225909</v>
      </c>
      <c r="N56" s="29">
        <v>2.6003905541023978E-3</v>
      </c>
      <c r="O56" s="29">
        <v>5225</v>
      </c>
      <c r="P56" s="29">
        <v>96.30661297187892</v>
      </c>
      <c r="Q56" s="29">
        <v>10790.88</v>
      </c>
      <c r="R56" s="29">
        <v>9656.5859999999993</v>
      </c>
      <c r="S56" s="29">
        <v>26.179804283849151</v>
      </c>
      <c r="T56" s="29">
        <f t="shared" si="1"/>
        <v>19.391272493077924</v>
      </c>
      <c r="U56" s="29">
        <f>VLOOKUP($AR56,ggg,U$4,0)</f>
        <v>23.18</v>
      </c>
      <c r="V56" s="29">
        <f>VLOOKUP($AR56,fff,3,)</f>
        <v>22.16</v>
      </c>
      <c r="W56" s="29">
        <f>VLOOKUP($AR56,fff,2,)</f>
        <v>21.21</v>
      </c>
      <c r="X56" s="29">
        <f>VLOOKUP($AR56,ggg,X$4,0)</f>
        <v>8.1</v>
      </c>
      <c r="Y56" s="29">
        <f>VLOOKUP($AR56,ggg,Y$4,0)</f>
        <v>26.9</v>
      </c>
      <c r="Z56" s="29">
        <f>VLOOKUP($AR56,ggg,Z$4,0)</f>
        <v>3.38</v>
      </c>
      <c r="AA56" s="29">
        <f>VLOOKUP($AR56,ggg,AA$4,0)</f>
        <v>3.82</v>
      </c>
      <c r="AE56">
        <f t="shared" si="2"/>
        <v>1.466666666666665</v>
      </c>
      <c r="AF56">
        <f t="shared" si="3"/>
        <v>0</v>
      </c>
      <c r="AG56">
        <f t="shared" si="4"/>
        <v>-0.78999999999999915</v>
      </c>
      <c r="AH56">
        <f t="shared" si="5"/>
        <v>-0.23999999999999488</v>
      </c>
      <c r="AI56">
        <f t="shared" si="6"/>
        <v>0.85714285714285787</v>
      </c>
      <c r="AJ56">
        <f t="shared" si="7"/>
        <v>0.75999999999999845</v>
      </c>
      <c r="AK56">
        <f t="shared" si="8"/>
        <v>0</v>
      </c>
      <c r="AL56">
        <f t="shared" si="9"/>
        <v>-0.71622500000000011</v>
      </c>
      <c r="AM56">
        <f t="shared" si="10"/>
        <v>0.25054103404248923</v>
      </c>
      <c r="AO56">
        <f t="shared" si="11"/>
        <v>19.271272493077927</v>
      </c>
      <c r="AP56">
        <f t="shared" si="12"/>
        <v>19.511272493077922</v>
      </c>
      <c r="AR56" t="str">
        <f t="shared" si="13"/>
        <v>45549B</v>
      </c>
    </row>
    <row r="57" spans="1:44" x14ac:dyDescent="0.3">
      <c r="A57" s="27">
        <v>45549</v>
      </c>
      <c r="B57" s="28" t="s">
        <v>20</v>
      </c>
      <c r="C57" s="29">
        <v>8.1666666666666661</v>
      </c>
      <c r="D57" s="29">
        <v>38</v>
      </c>
      <c r="E57" s="29">
        <v>27.083333333333329</v>
      </c>
      <c r="F57" s="29">
        <v>54.95</v>
      </c>
      <c r="G57" s="29">
        <v>3.82</v>
      </c>
      <c r="H57" s="29">
        <v>3.333333333333333</v>
      </c>
      <c r="I57" s="29">
        <v>146.16666666666671</v>
      </c>
      <c r="J57" s="29">
        <v>9.3827572935548424</v>
      </c>
      <c r="K57" s="29">
        <v>1.1204000632306921E-2</v>
      </c>
      <c r="L57" s="29">
        <v>0.1051244186497708</v>
      </c>
      <c r="M57" s="29">
        <v>11.84055351972291</v>
      </c>
      <c r="N57" s="29">
        <v>2.5990615902704412E-3</v>
      </c>
      <c r="O57" s="29">
        <v>5225</v>
      </c>
      <c r="P57" s="29">
        <v>102.2425882938018</v>
      </c>
      <c r="Q57" s="29">
        <v>37928.68</v>
      </c>
      <c r="R57" s="29">
        <v>9854.6939999999995</v>
      </c>
      <c r="S57" s="29">
        <v>16.135077724140039</v>
      </c>
      <c r="T57" s="29">
        <f t="shared" si="1"/>
        <v>11.789475783078371</v>
      </c>
      <c r="U57" s="29">
        <f>VLOOKUP($AR57,ggg,U$4,0)</f>
        <v>22.04</v>
      </c>
      <c r="V57" s="29" t="e">
        <f>VLOOKUP($AR57,fff,3,)</f>
        <v>#N/A</v>
      </c>
      <c r="W57" s="29" t="e">
        <f>VLOOKUP($AR57,fff,2,)</f>
        <v>#N/A</v>
      </c>
      <c r="X57" s="29">
        <f>VLOOKUP($AR57,ggg,X$4,0)</f>
        <v>8.3000000000000007</v>
      </c>
      <c r="Y57" s="29">
        <f>VLOOKUP($AR57,ggg,Y$4,0)</f>
        <v>27.23</v>
      </c>
      <c r="Z57" s="29">
        <f>VLOOKUP($AR57,ggg,Z$4,0)</f>
        <v>3.44</v>
      </c>
      <c r="AA57" s="29">
        <f>VLOOKUP($AR57,ggg,AA$4,0)</f>
        <v>3.82</v>
      </c>
      <c r="AE57">
        <f t="shared" si="2"/>
        <v>-6.6666666666662877E-2</v>
      </c>
      <c r="AF57">
        <f t="shared" si="3"/>
        <v>0</v>
      </c>
      <c r="AG57">
        <f t="shared" si="4"/>
        <v>-0.87333333333332774</v>
      </c>
      <c r="AH57">
        <f t="shared" si="5"/>
        <v>-0.23999999999999488</v>
      </c>
      <c r="AI57">
        <f t="shared" si="6"/>
        <v>-2.8571428571427963E-2</v>
      </c>
      <c r="AJ57">
        <f t="shared" si="7"/>
        <v>0.33333333333333437</v>
      </c>
      <c r="AK57">
        <f t="shared" si="8"/>
        <v>0</v>
      </c>
      <c r="AL57">
        <f t="shared" si="9"/>
        <v>2.6760000000000002</v>
      </c>
      <c r="AM57">
        <f t="shared" si="10"/>
        <v>-0.20367639140645602</v>
      </c>
      <c r="AO57">
        <f t="shared" si="11"/>
        <v>11.669475783078374</v>
      </c>
      <c r="AP57">
        <f t="shared" si="12"/>
        <v>11.909475783078369</v>
      </c>
      <c r="AR57" t="str">
        <f t="shared" si="13"/>
        <v>45549C</v>
      </c>
    </row>
    <row r="58" spans="1:44" x14ac:dyDescent="0.3">
      <c r="A58" s="27">
        <v>45551</v>
      </c>
      <c r="B58" s="28" t="s">
        <v>21</v>
      </c>
      <c r="C58" s="29">
        <v>8.3000000000000007</v>
      </c>
      <c r="D58" s="29">
        <v>39.5</v>
      </c>
      <c r="E58" s="29">
        <v>27.725000000000001</v>
      </c>
      <c r="F58" s="29">
        <v>54.95</v>
      </c>
      <c r="G58" s="29">
        <v>3.82</v>
      </c>
      <c r="H58" s="29">
        <v>3.4624999999999999</v>
      </c>
      <c r="I58" s="29">
        <v>143.875</v>
      </c>
      <c r="J58" s="29">
        <v>6.7068139918443217</v>
      </c>
      <c r="K58" s="29">
        <v>3.6116987547953E-3</v>
      </c>
      <c r="L58" s="29">
        <v>2.422299174298783E-2</v>
      </c>
      <c r="M58" s="29">
        <v>8.3487364885291662</v>
      </c>
      <c r="N58" s="29">
        <v>2.5952712050482541E-3</v>
      </c>
      <c r="O58" s="29">
        <v>5225</v>
      </c>
      <c r="P58" s="29">
        <v>97.95808545014458</v>
      </c>
      <c r="Q58" s="29">
        <v>13864.32</v>
      </c>
      <c r="R58" s="29">
        <v>6516.7759999999998</v>
      </c>
      <c r="S58" s="29">
        <v>13.56325837657784</v>
      </c>
      <c r="T58" s="29">
        <f t="shared" si="1"/>
        <v>6.6194650708319775</v>
      </c>
      <c r="U58" s="29">
        <f>VLOOKUP($AR58,ggg,U$4,0)</f>
        <v>16.39</v>
      </c>
      <c r="V58" s="29">
        <f>VLOOKUP($AR58,fff,3,)</f>
        <v>15.88</v>
      </c>
      <c r="W58" s="29">
        <f>VLOOKUP($AR58,fff,2,)</f>
        <v>16.239999999999998</v>
      </c>
      <c r="X58" s="29">
        <f>VLOOKUP($AR58,ggg,X$4,0)</f>
        <v>8.31</v>
      </c>
      <c r="Y58" s="29">
        <f>VLOOKUP($AR58,ggg,Y$4,0)</f>
        <v>27.63</v>
      </c>
      <c r="Z58" s="29">
        <f>VLOOKUP($AR58,ggg,Z$4,0)</f>
        <v>3.64</v>
      </c>
      <c r="AA58" s="29">
        <f>VLOOKUP($AR58,ggg,AA$4,0)</f>
        <v>3.82</v>
      </c>
      <c r="AE58">
        <f t="shared" si="2"/>
        <v>-0.60000000000000142</v>
      </c>
      <c r="AF58">
        <f t="shared" si="3"/>
        <v>0</v>
      </c>
      <c r="AG58">
        <f t="shared" si="4"/>
        <v>-1.5150000000000008</v>
      </c>
      <c r="AH58">
        <f t="shared" si="5"/>
        <v>-0.23999999999999488</v>
      </c>
      <c r="AI58">
        <f t="shared" si="6"/>
        <v>-2.8571428571427963E-2</v>
      </c>
      <c r="AJ58">
        <f t="shared" si="7"/>
        <v>-0.3125</v>
      </c>
      <c r="AK58">
        <f t="shared" si="8"/>
        <v>0</v>
      </c>
      <c r="AL58">
        <f t="shared" si="9"/>
        <v>-0.33204500000000009</v>
      </c>
      <c r="AM58">
        <f t="shared" si="10"/>
        <v>3.3642480108742383</v>
      </c>
      <c r="AO58">
        <f t="shared" si="11"/>
        <v>6.4994650708319801</v>
      </c>
      <c r="AP58">
        <f t="shared" si="12"/>
        <v>6.739465070831975</v>
      </c>
      <c r="AR58" t="str">
        <f t="shared" si="13"/>
        <v>45551A</v>
      </c>
    </row>
    <row r="59" spans="1:44" x14ac:dyDescent="0.3">
      <c r="A59" s="27">
        <v>45551</v>
      </c>
      <c r="B59" s="28" t="s">
        <v>19</v>
      </c>
      <c r="C59" s="29">
        <v>8.254999999999999</v>
      </c>
      <c r="D59" s="29">
        <v>37.5</v>
      </c>
      <c r="E59" s="29">
        <v>27.38333333333334</v>
      </c>
      <c r="F59" s="29">
        <v>55.87</v>
      </c>
      <c r="G59" s="29">
        <v>3.82</v>
      </c>
      <c r="H59" s="29">
        <v>3.62</v>
      </c>
      <c r="I59" s="29">
        <v>139</v>
      </c>
      <c r="J59" s="29">
        <v>9.4729578844485438</v>
      </c>
      <c r="K59" s="29">
        <v>2.29678231879934E-3</v>
      </c>
      <c r="L59" s="29">
        <v>2.175732217573222E-2</v>
      </c>
      <c r="M59" s="29">
        <v>8.3241828808192846</v>
      </c>
      <c r="N59" s="29">
        <v>2.587639506690683E-3</v>
      </c>
      <c r="O59" s="29">
        <v>5225</v>
      </c>
      <c r="P59" s="29">
        <v>82.306268592715242</v>
      </c>
      <c r="Q59" s="29">
        <v>5943.6</v>
      </c>
      <c r="R59" s="29">
        <v>6022.5619999999999</v>
      </c>
      <c r="S59" s="29">
        <v>11.28856614245622</v>
      </c>
      <c r="T59" s="29">
        <f t="shared" si="1"/>
        <v>2.5090195229831282</v>
      </c>
      <c r="U59" s="29">
        <f>VLOOKUP($AR59,ggg,U$4,0)</f>
        <v>12.2</v>
      </c>
      <c r="V59" s="29">
        <f>VLOOKUP($AR59,fff,3,)</f>
        <v>7.98</v>
      </c>
      <c r="W59" s="29">
        <f>VLOOKUP($AR59,fff,2,)</f>
        <v>7.35</v>
      </c>
      <c r="X59" s="29">
        <f>VLOOKUP($AR59,ggg,X$4,0)</f>
        <v>8.5</v>
      </c>
      <c r="Y59" s="29">
        <f>VLOOKUP($AR59,ggg,Y$4,0)</f>
        <v>27.78</v>
      </c>
      <c r="Z59" s="29">
        <f>VLOOKUP($AR59,ggg,Z$4,0)</f>
        <v>3.74</v>
      </c>
      <c r="AA59" s="29">
        <f>VLOOKUP($AR59,ggg,AA$4,0)</f>
        <v>4.28</v>
      </c>
      <c r="AE59">
        <f t="shared" si="2"/>
        <v>-0.4199999999999946</v>
      </c>
      <c r="AF59">
        <f t="shared" si="3"/>
        <v>0</v>
      </c>
      <c r="AG59">
        <f t="shared" si="4"/>
        <v>-1.1733333333333391</v>
      </c>
      <c r="AH59">
        <f t="shared" si="5"/>
        <v>1.5999999999999943</v>
      </c>
      <c r="AI59">
        <f t="shared" si="6"/>
        <v>-2.8571428571427963E-2</v>
      </c>
      <c r="AJ59">
        <f t="shared" si="7"/>
        <v>-1.100000000000001</v>
      </c>
      <c r="AK59">
        <f t="shared" si="8"/>
        <v>0</v>
      </c>
      <c r="AL59">
        <f t="shared" si="9"/>
        <v>-1.3221350000000001</v>
      </c>
      <c r="AM59">
        <f t="shared" si="10"/>
        <v>-0.32394384593139119</v>
      </c>
      <c r="AO59">
        <f t="shared" si="11"/>
        <v>3.3090195229831254</v>
      </c>
      <c r="AP59">
        <f t="shared" si="12"/>
        <v>1.7090195229831311</v>
      </c>
      <c r="AR59" t="str">
        <f t="shared" si="13"/>
        <v>45551B</v>
      </c>
    </row>
    <row r="60" spans="1:44" x14ac:dyDescent="0.3">
      <c r="A60" s="27">
        <v>45551</v>
      </c>
      <c r="B60" s="28" t="s">
        <v>20</v>
      </c>
      <c r="C60" s="29">
        <v>8.4949999999999992</v>
      </c>
      <c r="D60" s="29">
        <v>38.857142857142847</v>
      </c>
      <c r="E60" s="29">
        <v>27.6</v>
      </c>
      <c r="F60" s="29">
        <v>57.41</v>
      </c>
      <c r="G60" s="29">
        <v>4.1400000000000006</v>
      </c>
      <c r="H60" s="29">
        <v>3.71</v>
      </c>
      <c r="I60" s="29">
        <v>149.66666666666671</v>
      </c>
      <c r="J60" s="29">
        <v>9.5860363809545941</v>
      </c>
      <c r="K60" s="29">
        <v>7.1287775869305504E-3</v>
      </c>
      <c r="L60" s="29">
        <v>6.833672130004996E-2</v>
      </c>
      <c r="M60" s="29">
        <v>9.5010221578276379</v>
      </c>
      <c r="N60" s="29">
        <v>2.5878109470904901E-3</v>
      </c>
      <c r="O60" s="29">
        <v>5225</v>
      </c>
      <c r="P60" s="29">
        <v>81.129415920227913</v>
      </c>
      <c r="Q60" s="29">
        <v>23532.16</v>
      </c>
      <c r="R60" s="29">
        <v>6815.7120000000004</v>
      </c>
      <c r="S60" s="29">
        <v>8.3241844754573524</v>
      </c>
      <c r="T60" s="29">
        <f t="shared" si="1"/>
        <v>4.8318488403643682</v>
      </c>
      <c r="U60" s="29">
        <f>VLOOKUP($AR60,ggg,U$4,0)</f>
        <v>7.61</v>
      </c>
      <c r="V60" s="29" t="e">
        <f>VLOOKUP($AR60,fff,3,)</f>
        <v>#N/A</v>
      </c>
      <c r="W60" s="29" t="e">
        <f>VLOOKUP($AR60,fff,2,)</f>
        <v>#N/A</v>
      </c>
      <c r="X60" s="29">
        <f>VLOOKUP($AR60,ggg,X$4,0)</f>
        <v>8.1999999999999993</v>
      </c>
      <c r="Y60" s="29">
        <f>VLOOKUP($AR60,ggg,Y$4,0)</f>
        <v>25.9</v>
      </c>
      <c r="Z60" s="29">
        <f>VLOOKUP($AR60,ggg,Z$4,0)</f>
        <v>3.46</v>
      </c>
      <c r="AA60" s="29">
        <f>VLOOKUP($AR60,ggg,AA$4,0)</f>
        <v>4.1399999999999997</v>
      </c>
      <c r="AE60">
        <f t="shared" si="2"/>
        <v>-1.3799999999999952</v>
      </c>
      <c r="AF60">
        <f t="shared" si="3"/>
        <v>0</v>
      </c>
      <c r="AG60">
        <f t="shared" si="4"/>
        <v>-1.3900000000000006</v>
      </c>
      <c r="AH60">
        <f t="shared" si="5"/>
        <v>4.6799999999999926</v>
      </c>
      <c r="AI60">
        <f t="shared" si="6"/>
        <v>-0.94285714285714417</v>
      </c>
      <c r="AJ60">
        <f t="shared" si="7"/>
        <v>-1.5500000000000003</v>
      </c>
      <c r="AK60">
        <f t="shared" si="8"/>
        <v>0</v>
      </c>
      <c r="AL60">
        <f t="shared" si="9"/>
        <v>0.87643499999999996</v>
      </c>
      <c r="AM60">
        <f t="shared" si="10"/>
        <v>-0.47471517460612489</v>
      </c>
      <c r="AO60">
        <f t="shared" si="11"/>
        <v>7.1718488403643645</v>
      </c>
      <c r="AP60">
        <f t="shared" si="12"/>
        <v>2.4918488403643719</v>
      </c>
      <c r="AR60" t="str">
        <f t="shared" si="13"/>
        <v>45551C</v>
      </c>
    </row>
    <row r="61" spans="1:44" x14ac:dyDescent="0.3">
      <c r="A61" s="27">
        <v>45552</v>
      </c>
      <c r="B61" s="28" t="s">
        <v>21</v>
      </c>
      <c r="C61" s="29">
        <v>8.1999999999999993</v>
      </c>
      <c r="D61" s="29">
        <v>38.166666666666657</v>
      </c>
      <c r="E61" s="29">
        <v>25.903333333333329</v>
      </c>
      <c r="F61" s="29">
        <v>57.4</v>
      </c>
      <c r="G61" s="29">
        <v>4.1399999999999997</v>
      </c>
      <c r="H61" s="29">
        <v>3.46</v>
      </c>
      <c r="I61" s="29">
        <v>146.5</v>
      </c>
      <c r="J61" s="29">
        <v>7.7160800070314526</v>
      </c>
      <c r="K61" s="29">
        <v>4.5530853825004403E-3</v>
      </c>
      <c r="L61" s="29">
        <v>3.5131971090218803E-2</v>
      </c>
      <c r="M61" s="29">
        <v>12.507326276763161</v>
      </c>
      <c r="N61" s="29">
        <v>2.5885967610542199E-3</v>
      </c>
      <c r="O61" s="29">
        <v>5225</v>
      </c>
      <c r="P61" s="29">
        <v>80.069454659206571</v>
      </c>
      <c r="Q61" s="29">
        <v>17387.48</v>
      </c>
      <c r="R61" s="29">
        <v>5077.9549999999999</v>
      </c>
      <c r="S61" s="29">
        <v>11.72898632276212</v>
      </c>
      <c r="T61" s="29">
        <f t="shared" si="1"/>
        <v>13.462790166197426</v>
      </c>
      <c r="U61" s="29">
        <f>VLOOKUP($AR61,ggg,U$4,0)</f>
        <v>14.21</v>
      </c>
      <c r="V61" s="29">
        <f>VLOOKUP($AR61,fff,3,)</f>
        <v>14.55</v>
      </c>
      <c r="W61" s="29">
        <f>VLOOKUP($AR61,fff,2,)</f>
        <v>13.39</v>
      </c>
      <c r="X61" s="29">
        <f>VLOOKUP($AR61,ggg,X$4,0)</f>
        <v>8.02</v>
      </c>
      <c r="Y61" s="29">
        <f>VLOOKUP($AR61,ggg,Y$4,0)</f>
        <v>27.38</v>
      </c>
      <c r="Z61" s="29">
        <f>VLOOKUP($AR61,ggg,Z$4,0)</f>
        <v>3.23</v>
      </c>
      <c r="AA61" s="29">
        <f>VLOOKUP($AR61,ggg,AA$4,0)</f>
        <v>4.1399999999999997</v>
      </c>
      <c r="AE61">
        <f t="shared" si="2"/>
        <v>-0.19999999999999574</v>
      </c>
      <c r="AF61">
        <f t="shared" si="3"/>
        <v>0</v>
      </c>
      <c r="AG61">
        <f t="shared" si="4"/>
        <v>0.30666666666667197</v>
      </c>
      <c r="AH61">
        <f t="shared" si="5"/>
        <v>4.6599999999999966</v>
      </c>
      <c r="AI61">
        <f t="shared" si="6"/>
        <v>-0.94285714285714184</v>
      </c>
      <c r="AJ61">
        <f t="shared" si="7"/>
        <v>-0.30000000000000027</v>
      </c>
      <c r="AK61">
        <f t="shared" si="8"/>
        <v>0</v>
      </c>
      <c r="AL61">
        <f t="shared" si="9"/>
        <v>0.1083499999999999</v>
      </c>
      <c r="AM61">
        <f t="shared" si="10"/>
        <v>2.0185599906247305</v>
      </c>
      <c r="AO61">
        <f t="shared" si="11"/>
        <v>15.792790166197424</v>
      </c>
      <c r="AP61">
        <f t="shared" si="12"/>
        <v>11.132790166197427</v>
      </c>
      <c r="AR61" t="str">
        <f t="shared" si="13"/>
        <v>45552A</v>
      </c>
    </row>
    <row r="62" spans="1:44" x14ac:dyDescent="0.3">
      <c r="A62" s="27">
        <v>45552</v>
      </c>
      <c r="B62" s="28" t="s">
        <v>19</v>
      </c>
      <c r="C62" s="29">
        <v>8.0120000000000005</v>
      </c>
      <c r="D62" s="29">
        <v>37.142857142857153</v>
      </c>
      <c r="E62" s="29">
        <v>26.918571428571429</v>
      </c>
      <c r="F62" s="29">
        <v>56.15</v>
      </c>
      <c r="G62" s="29">
        <v>4.1399999999999997</v>
      </c>
      <c r="H62" s="29">
        <v>3.245714285714286</v>
      </c>
      <c r="I62" s="29">
        <v>140.14285714285711</v>
      </c>
      <c r="J62" s="29">
        <v>8.8139489439486844</v>
      </c>
      <c r="K62" s="29">
        <v>2.722111898740328E-3</v>
      </c>
      <c r="L62" s="29">
        <v>2.3992555295212461E-2</v>
      </c>
      <c r="M62" s="29">
        <v>13.16280851497616</v>
      </c>
      <c r="N62" s="29">
        <v>2.5998987331993738E-3</v>
      </c>
      <c r="O62" s="29">
        <v>5225</v>
      </c>
      <c r="P62" s="29">
        <v>102.59607703380679</v>
      </c>
      <c r="Q62" s="29">
        <v>7219</v>
      </c>
      <c r="R62" s="29">
        <v>8013.326</v>
      </c>
      <c r="S62" s="29">
        <v>18.344170813474811</v>
      </c>
      <c r="T62" s="29">
        <f t="shared" si="1"/>
        <v>11.308499006377911</v>
      </c>
      <c r="U62" s="29">
        <f>VLOOKUP($AR62,ggg,U$4,0)</f>
        <v>16.16</v>
      </c>
      <c r="V62" s="29">
        <f>VLOOKUP($AR62,fff,3,)</f>
        <v>18.72</v>
      </c>
      <c r="W62" s="29">
        <f>VLOOKUP($AR62,fff,2,)</f>
        <v>18</v>
      </c>
      <c r="X62" s="29">
        <f>VLOOKUP($AR62,ggg,X$4,0)</f>
        <v>7.75</v>
      </c>
      <c r="Y62" s="29">
        <f>VLOOKUP($AR62,ggg,Y$4,0)</f>
        <v>25.94</v>
      </c>
      <c r="Z62" s="29">
        <f>VLOOKUP($AR62,ggg,Z$4,0)</f>
        <v>3.19</v>
      </c>
      <c r="AA62" s="29">
        <f>VLOOKUP($AR62,ggg,AA$4,0)</f>
        <v>3.81</v>
      </c>
      <c r="AE62">
        <f t="shared" si="2"/>
        <v>0.5519999999999996</v>
      </c>
      <c r="AF62">
        <f t="shared" si="3"/>
        <v>0</v>
      </c>
      <c r="AG62">
        <f t="shared" si="4"/>
        <v>-0.70857142857142819</v>
      </c>
      <c r="AH62">
        <f t="shared" si="5"/>
        <v>2.1599999999999966</v>
      </c>
      <c r="AI62">
        <f t="shared" si="6"/>
        <v>-0.94285714285714184</v>
      </c>
      <c r="AJ62">
        <f t="shared" si="7"/>
        <v>0.77142857142856958</v>
      </c>
      <c r="AK62">
        <f t="shared" si="8"/>
        <v>0</v>
      </c>
      <c r="AL62">
        <f t="shared" si="9"/>
        <v>-1.1627100000000001</v>
      </c>
      <c r="AM62">
        <f t="shared" si="10"/>
        <v>0.55473474140175461</v>
      </c>
      <c r="AO62">
        <f t="shared" si="11"/>
        <v>12.388499006377909</v>
      </c>
      <c r="AP62">
        <f t="shared" si="12"/>
        <v>10.228499006377913</v>
      </c>
      <c r="AR62" t="str">
        <f t="shared" si="13"/>
        <v>45552B</v>
      </c>
    </row>
    <row r="63" spans="1:44" x14ac:dyDescent="0.3">
      <c r="A63" s="27">
        <v>45552</v>
      </c>
      <c r="B63" s="28" t="s">
        <v>20</v>
      </c>
      <c r="C63" s="29">
        <v>7.7549999999999999</v>
      </c>
      <c r="D63" s="29">
        <v>38.714285714285722</v>
      </c>
      <c r="E63" s="29">
        <v>25.94285714285714</v>
      </c>
      <c r="F63" s="29">
        <v>56.01</v>
      </c>
      <c r="G63" s="29">
        <v>3.81</v>
      </c>
      <c r="H63" s="29">
        <v>3.1914285714285708</v>
      </c>
      <c r="I63" s="29">
        <v>148.14285714285711</v>
      </c>
      <c r="J63" s="29">
        <v>7.7636085039903424</v>
      </c>
      <c r="K63" s="29">
        <v>6.5575067475259477E-3</v>
      </c>
      <c r="L63" s="29">
        <v>5.0909915150066501E-2</v>
      </c>
      <c r="M63" s="29">
        <v>24.080864720570659</v>
      </c>
      <c r="N63" s="29">
        <v>2.5943056210533228E-3</v>
      </c>
      <c r="O63" s="29">
        <v>5225</v>
      </c>
      <c r="P63" s="29">
        <v>80.246401143967219</v>
      </c>
      <c r="Q63" s="29">
        <v>27180.552</v>
      </c>
      <c r="R63" s="29">
        <v>13173.975</v>
      </c>
      <c r="S63" s="29">
        <v>24.452048795762611</v>
      </c>
      <c r="T63" s="29">
        <f t="shared" si="1"/>
        <v>29.84528425691688</v>
      </c>
      <c r="U63" s="29">
        <f>VLOOKUP($AR63,ggg,U$4,0)</f>
        <v>20.32</v>
      </c>
      <c r="V63" s="29" t="e">
        <f>VLOOKUP($AR63,fff,3,)</f>
        <v>#N/A</v>
      </c>
      <c r="W63" s="29" t="e">
        <f>VLOOKUP($AR63,fff,2,)</f>
        <v>#N/A</v>
      </c>
      <c r="X63" s="29">
        <f>VLOOKUP($AR63,ggg,X$4,0)</f>
        <v>7.8</v>
      </c>
      <c r="Y63" s="29">
        <f>VLOOKUP($AR63,ggg,Y$4,0)</f>
        <v>26.5</v>
      </c>
      <c r="Z63" s="29">
        <f>VLOOKUP($AR63,ggg,Z$4,0)</f>
        <v>3.2</v>
      </c>
      <c r="AA63" s="29">
        <f>VLOOKUP($AR63,ggg,AA$4,0)</f>
        <v>3.81</v>
      </c>
      <c r="AE63">
        <f t="shared" si="2"/>
        <v>1.5800000000000018</v>
      </c>
      <c r="AF63">
        <f t="shared" si="3"/>
        <v>0</v>
      </c>
      <c r="AG63">
        <f t="shared" si="4"/>
        <v>0.26714285714286135</v>
      </c>
      <c r="AH63">
        <f t="shared" si="5"/>
        <v>1.8799999999999955</v>
      </c>
      <c r="AI63">
        <f t="shared" si="6"/>
        <v>0</v>
      </c>
      <c r="AJ63">
        <f t="shared" si="7"/>
        <v>1.0428571428571454</v>
      </c>
      <c r="AK63">
        <f t="shared" si="8"/>
        <v>0</v>
      </c>
      <c r="AL63">
        <f t="shared" si="9"/>
        <v>1.332484</v>
      </c>
      <c r="AM63">
        <f t="shared" si="10"/>
        <v>1.9551886613462106</v>
      </c>
      <c r="AO63">
        <f t="shared" si="11"/>
        <v>30.785284256916878</v>
      </c>
      <c r="AP63">
        <f t="shared" si="12"/>
        <v>28.905284256916882</v>
      </c>
      <c r="AR63" t="str">
        <f t="shared" si="13"/>
        <v>45552C</v>
      </c>
    </row>
    <row r="64" spans="1:44" x14ac:dyDescent="0.3">
      <c r="A64" s="27">
        <v>45553</v>
      </c>
      <c r="B64" s="28" t="s">
        <v>21</v>
      </c>
      <c r="C64" s="29">
        <v>7.8</v>
      </c>
      <c r="D64" s="29">
        <v>38.666666666666657</v>
      </c>
      <c r="E64" s="29">
        <v>25.986666666666672</v>
      </c>
      <c r="F64" s="29">
        <v>56.01</v>
      </c>
      <c r="G64" s="29">
        <v>3.81</v>
      </c>
      <c r="H64" s="29">
        <v>3.253333333333333</v>
      </c>
      <c r="I64" s="29">
        <v>153</v>
      </c>
      <c r="J64" s="29">
        <v>9.6643713333227979</v>
      </c>
      <c r="K64" s="29">
        <v>1.1395946205532441E-2</v>
      </c>
      <c r="L64" s="29">
        <v>0.1101346558248365</v>
      </c>
      <c r="M64" s="29">
        <v>24.347621726919659</v>
      </c>
      <c r="N64" s="29">
        <v>2.5944475759559289E-3</v>
      </c>
      <c r="O64" s="29">
        <v>5225</v>
      </c>
      <c r="P64" s="29">
        <v>80.250466065437848</v>
      </c>
      <c r="Q64" s="29">
        <v>19369.144799999998</v>
      </c>
      <c r="R64" s="29">
        <v>5076.0329999999994</v>
      </c>
      <c r="S64" s="29">
        <v>22.04912785992849</v>
      </c>
      <c r="T64" s="29">
        <f t="shared" si="1"/>
        <v>25.05568884082259</v>
      </c>
      <c r="U64" s="29">
        <f>VLOOKUP($AR64,ggg,U$4,0)</f>
        <v>26.84</v>
      </c>
      <c r="V64" s="29">
        <f>VLOOKUP($AR64,fff,3,)</f>
        <v>25.85</v>
      </c>
      <c r="W64" s="29">
        <f>VLOOKUP($AR64,fff,2,)</f>
        <v>25</v>
      </c>
      <c r="X64" s="29">
        <f>VLOOKUP($AR64,ggg,X$4,0)</f>
        <v>8.07</v>
      </c>
      <c r="Y64" s="29">
        <f>VLOOKUP($AR64,ggg,Y$4,0)</f>
        <v>27.33</v>
      </c>
      <c r="Z64" s="29">
        <f>VLOOKUP($AR64,ggg,Z$4,0)</f>
        <v>3.48</v>
      </c>
      <c r="AA64" s="29">
        <f>VLOOKUP($AR64,ggg,AA$4,0)</f>
        <v>3.81</v>
      </c>
      <c r="AE64">
        <f t="shared" si="2"/>
        <v>1.4000000000000019</v>
      </c>
      <c r="AF64">
        <f t="shared" si="3"/>
        <v>0</v>
      </c>
      <c r="AG64">
        <f t="shared" si="4"/>
        <v>0.22333333333332916</v>
      </c>
      <c r="AH64">
        <f t="shared" si="5"/>
        <v>1.8799999999999955</v>
      </c>
      <c r="AI64">
        <f t="shared" si="6"/>
        <v>0</v>
      </c>
      <c r="AJ64">
        <f t="shared" si="7"/>
        <v>0.73333333333333472</v>
      </c>
      <c r="AK64">
        <f t="shared" si="8"/>
        <v>0</v>
      </c>
      <c r="AL64">
        <f t="shared" si="9"/>
        <v>0.35605809999999977</v>
      </c>
      <c r="AM64">
        <f t="shared" si="10"/>
        <v>-0.5791617777637299</v>
      </c>
      <c r="AO64">
        <f t="shared" si="11"/>
        <v>25.995688840822588</v>
      </c>
      <c r="AP64">
        <f t="shared" si="12"/>
        <v>24.115688840822592</v>
      </c>
      <c r="AR64" t="str">
        <f t="shared" si="13"/>
        <v>45553A</v>
      </c>
    </row>
    <row r="65" spans="1:44" x14ac:dyDescent="0.3">
      <c r="A65" s="27">
        <v>45553</v>
      </c>
      <c r="B65" s="28" t="s">
        <v>19</v>
      </c>
      <c r="C65" s="29">
        <v>7.95</v>
      </c>
      <c r="D65" s="29">
        <v>37.666666666666657</v>
      </c>
      <c r="E65" s="29">
        <v>27.311666666666671</v>
      </c>
      <c r="F65" s="29">
        <v>54.87</v>
      </c>
      <c r="G65" s="29">
        <v>3.81</v>
      </c>
      <c r="H65" s="29">
        <v>3.4033333333333342</v>
      </c>
      <c r="I65" s="29">
        <v>149.33333333333329</v>
      </c>
      <c r="J65" s="29">
        <v>12.537418585008369</v>
      </c>
      <c r="K65" s="29">
        <v>6.2529045514638721E-3</v>
      </c>
      <c r="L65" s="29">
        <v>7.8395281733806596E-2</v>
      </c>
      <c r="M65" s="29">
        <v>16.458144740765629</v>
      </c>
      <c r="N65" s="29">
        <v>2.6002083507060268E-3</v>
      </c>
      <c r="O65" s="29">
        <v>5225</v>
      </c>
      <c r="P65" s="29">
        <v>90.36106322790279</v>
      </c>
      <c r="Q65" s="29">
        <v>16057</v>
      </c>
      <c r="R65" s="29">
        <v>7669.6620000000003</v>
      </c>
      <c r="S65" s="29">
        <v>18.870210072207659</v>
      </c>
      <c r="T65" s="29">
        <f t="shared" si="1"/>
        <v>9.4306677107544612</v>
      </c>
      <c r="U65" s="29">
        <f>VLOOKUP($AR65,ggg,U$4,0)</f>
        <v>22.15</v>
      </c>
      <c r="V65" s="29">
        <f>VLOOKUP($AR65,fff,3,)</f>
        <v>7.56</v>
      </c>
      <c r="W65" s="29">
        <f>VLOOKUP($AR65,fff,2,)</f>
        <v>7.48</v>
      </c>
      <c r="X65" s="29">
        <f>VLOOKUP($AR65,ggg,X$4,0)</f>
        <v>8</v>
      </c>
      <c r="Y65" s="29">
        <f>VLOOKUP($AR65,ggg,Y$4,0)</f>
        <v>28.05</v>
      </c>
      <c r="Z65" s="29">
        <f>VLOOKUP($AR65,ggg,Z$4,0)</f>
        <v>3.57</v>
      </c>
      <c r="AA65" s="29">
        <f>VLOOKUP($AR65,ggg,AA$4,0)</f>
        <v>3.95</v>
      </c>
      <c r="AE65">
        <f t="shared" si="2"/>
        <v>0.80000000000000071</v>
      </c>
      <c r="AF65">
        <f t="shared" si="3"/>
        <v>0</v>
      </c>
      <c r="AG65">
        <f t="shared" si="4"/>
        <v>-1.1016666666666701</v>
      </c>
      <c r="AH65">
        <f t="shared" si="5"/>
        <v>-0.40000000000000568</v>
      </c>
      <c r="AI65">
        <f t="shared" si="6"/>
        <v>0</v>
      </c>
      <c r="AJ65">
        <f t="shared" si="7"/>
        <v>-1.6666666666671492E-2</v>
      </c>
      <c r="AK65">
        <f t="shared" si="8"/>
        <v>0</v>
      </c>
      <c r="AL65">
        <f t="shared" si="9"/>
        <v>-5.7960000000000039E-2</v>
      </c>
      <c r="AM65">
        <f t="shared" si="10"/>
        <v>-4.4098914466778254</v>
      </c>
      <c r="AO65">
        <f t="shared" si="11"/>
        <v>9.2306677107544584</v>
      </c>
      <c r="AP65">
        <f t="shared" si="12"/>
        <v>9.630667710754464</v>
      </c>
      <c r="AR65" t="str">
        <f t="shared" si="13"/>
        <v>45553B</v>
      </c>
    </row>
    <row r="66" spans="1:44" x14ac:dyDescent="0.3">
      <c r="A66" s="27">
        <v>45553</v>
      </c>
      <c r="B66" s="28" t="s">
        <v>20</v>
      </c>
      <c r="C66" s="29">
        <v>8.4120000000000008</v>
      </c>
      <c r="D66" s="29">
        <v>38</v>
      </c>
      <c r="E66" s="29">
        <v>28.028571428571428</v>
      </c>
      <c r="F66" s="29">
        <v>56.21</v>
      </c>
      <c r="G66" s="29">
        <v>3.78</v>
      </c>
      <c r="H66" s="29">
        <v>3.5685714285714289</v>
      </c>
      <c r="I66" s="29">
        <v>147.14285714285711</v>
      </c>
      <c r="J66" s="29">
        <v>10.66458431891275</v>
      </c>
      <c r="K66" s="29">
        <v>5.6008703502968436E-3</v>
      </c>
      <c r="L66" s="29">
        <v>5.9730954110039092E-2</v>
      </c>
      <c r="M66" s="29">
        <v>10.39706962824908</v>
      </c>
      <c r="N66" s="29">
        <v>2.5877077877063232E-3</v>
      </c>
      <c r="O66" s="29">
        <v>5225</v>
      </c>
      <c r="P66" s="29">
        <v>80.233367062223124</v>
      </c>
      <c r="Q66" s="29">
        <v>20726.88</v>
      </c>
      <c r="R66" s="29">
        <v>10250.065000000001</v>
      </c>
      <c r="S66" s="29">
        <v>10.658979303194769</v>
      </c>
      <c r="T66" s="29">
        <f t="shared" si="1"/>
        <v>4.8076093756511256</v>
      </c>
      <c r="U66" s="29">
        <f>VLOOKUP($AR66,ggg,U$4,0)</f>
        <v>7.5</v>
      </c>
      <c r="V66" s="29" t="e">
        <f>VLOOKUP($AR66,fff,3,)</f>
        <v>#N/A</v>
      </c>
      <c r="W66" s="29" t="e">
        <f>VLOOKUP($AR66,fff,2,)</f>
        <v>#N/A</v>
      </c>
      <c r="X66" s="29">
        <f>VLOOKUP($AR66,ggg,X$4,0)</f>
        <v>8.6</v>
      </c>
      <c r="Y66" s="29">
        <f>VLOOKUP($AR66,ggg,Y$4,0)</f>
        <v>27.38</v>
      </c>
      <c r="Z66" s="29">
        <f>VLOOKUP($AR66,ggg,Z$4,0)</f>
        <v>3.65</v>
      </c>
      <c r="AA66" s="29">
        <f>VLOOKUP($AR66,ggg,AA$4,0)</f>
        <v>3.78</v>
      </c>
      <c r="AE66">
        <f t="shared" si="2"/>
        <v>-1.0480000000000018</v>
      </c>
      <c r="AF66">
        <f t="shared" si="3"/>
        <v>0</v>
      </c>
      <c r="AG66">
        <f t="shared" si="4"/>
        <v>-1.8185714285714276</v>
      </c>
      <c r="AH66">
        <f t="shared" si="5"/>
        <v>2.2800000000000011</v>
      </c>
      <c r="AI66">
        <f t="shared" si="6"/>
        <v>8.5714285714286423E-2</v>
      </c>
      <c r="AJ66">
        <f t="shared" si="7"/>
        <v>-0.84285714285714519</v>
      </c>
      <c r="AK66">
        <f t="shared" si="8"/>
        <v>0</v>
      </c>
      <c r="AL66">
        <f t="shared" si="9"/>
        <v>0.5257750000000001</v>
      </c>
      <c r="AM66">
        <f t="shared" si="10"/>
        <v>-1.9127790918836662</v>
      </c>
      <c r="AO66">
        <f t="shared" si="11"/>
        <v>5.9476093756511261</v>
      </c>
      <c r="AP66">
        <f t="shared" si="12"/>
        <v>3.667609375651125</v>
      </c>
      <c r="AR66" t="str">
        <f t="shared" si="13"/>
        <v>45553C</v>
      </c>
    </row>
    <row r="67" spans="1:44" x14ac:dyDescent="0.3">
      <c r="A67" s="27">
        <v>45554</v>
      </c>
      <c r="B67" s="28" t="s">
        <v>21</v>
      </c>
      <c r="C67" s="29">
        <v>8.6</v>
      </c>
      <c r="D67" s="29">
        <v>39.428571428571431</v>
      </c>
      <c r="E67" s="29">
        <v>27.375714285714281</v>
      </c>
      <c r="F67" s="29">
        <v>56.21</v>
      </c>
      <c r="G67" s="29">
        <v>3.78</v>
      </c>
      <c r="H67" s="29">
        <v>3.6514285714285721</v>
      </c>
      <c r="I67" s="29">
        <v>152.85714285714289</v>
      </c>
      <c r="J67" s="29">
        <v>8.9164606163130191</v>
      </c>
      <c r="K67" s="29">
        <v>1.3435123440689881E-2</v>
      </c>
      <c r="L67" s="29">
        <v>0.11979374903421521</v>
      </c>
      <c r="M67" s="29">
        <v>9.6736599920716522</v>
      </c>
      <c r="N67" s="29">
        <v>2.5878591439793559E-3</v>
      </c>
      <c r="O67" s="29">
        <v>5225</v>
      </c>
      <c r="P67" s="29">
        <v>80.956778323345361</v>
      </c>
      <c r="Q67" s="29">
        <v>44188.44</v>
      </c>
      <c r="R67" s="29">
        <v>5490.8860000000004</v>
      </c>
      <c r="S67" s="29">
        <v>8.3241895990038923</v>
      </c>
      <c r="T67" s="29">
        <f t="shared" si="1"/>
        <v>8.239400396511444</v>
      </c>
      <c r="U67" s="29" t="e">
        <f>VLOOKUP($AR67,ggg,U$4,0)</f>
        <v>#N/A</v>
      </c>
      <c r="V67" s="29">
        <f>VLOOKUP($AR67,fff,3,)</f>
        <v>12.1</v>
      </c>
      <c r="W67" s="29">
        <f>VLOOKUP($AR67,fff,2,)</f>
        <v>11.03</v>
      </c>
      <c r="X67" s="29"/>
      <c r="Y67" s="29"/>
      <c r="Z67" s="29"/>
      <c r="AA67" s="29"/>
      <c r="AE67">
        <f t="shared" si="2"/>
        <v>-1.7999999999999972</v>
      </c>
      <c r="AF67">
        <f t="shared" si="3"/>
        <v>0</v>
      </c>
      <c r="AG67">
        <f t="shared" si="4"/>
        <v>-1.1657142857142802</v>
      </c>
      <c r="AH67">
        <f t="shared" si="5"/>
        <v>2.2800000000000011</v>
      </c>
      <c r="AI67">
        <f t="shared" si="6"/>
        <v>8.5714285714286423E-2</v>
      </c>
      <c r="AJ67">
        <f t="shared" si="7"/>
        <v>-1.2571428571428611</v>
      </c>
      <c r="AK67">
        <f t="shared" si="8"/>
        <v>0</v>
      </c>
      <c r="AL67">
        <f t="shared" si="9"/>
        <v>3.4584700000000002</v>
      </c>
      <c r="AM67">
        <f t="shared" si="10"/>
        <v>0.41805251158264173</v>
      </c>
      <c r="AO67">
        <f t="shared" si="11"/>
        <v>9.3794003965114445</v>
      </c>
      <c r="AP67">
        <f t="shared" si="12"/>
        <v>7.0994003965114434</v>
      </c>
      <c r="AR67" t="str">
        <f t="shared" si="13"/>
        <v>45554A</v>
      </c>
    </row>
    <row r="79" spans="1:44" x14ac:dyDescent="0.3">
      <c r="AL79" s="4"/>
      <c r="AM7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1ADB-AB77-46C1-863B-359F8E823D2A}">
  <dimension ref="A1:AN69"/>
  <sheetViews>
    <sheetView topLeftCell="O1" workbookViewId="0">
      <selection activeCell="S20" sqref="A1:AN69"/>
    </sheetView>
  </sheetViews>
  <sheetFormatPr defaultRowHeight="14.4" x14ac:dyDescent="0.3"/>
  <cols>
    <col min="1" max="1" width="12.21875" customWidth="1"/>
  </cols>
  <sheetData>
    <row r="1" spans="1:40" x14ac:dyDescent="0.3">
      <c r="A1" s="8" t="s">
        <v>43</v>
      </c>
      <c r="B1" s="7" t="s">
        <v>210</v>
      </c>
      <c r="C1" s="7"/>
      <c r="D1" s="8" t="s">
        <v>45</v>
      </c>
      <c r="E1" s="7"/>
      <c r="F1" s="8" t="s">
        <v>46</v>
      </c>
      <c r="G1" s="7" t="s">
        <v>47</v>
      </c>
      <c r="H1" s="8" t="s">
        <v>48</v>
      </c>
      <c r="I1" s="8">
        <v>45519</v>
      </c>
      <c r="J1" s="8" t="s">
        <v>49</v>
      </c>
      <c r="K1" s="8">
        <v>45553</v>
      </c>
      <c r="L1" s="8" t="s">
        <v>50</v>
      </c>
      <c r="M1" s="7">
        <v>10</v>
      </c>
      <c r="N1" s="8" t="s">
        <v>51</v>
      </c>
      <c r="O1" s="7">
        <v>6</v>
      </c>
      <c r="P1" s="8" t="s">
        <v>52</v>
      </c>
      <c r="Q1" s="7">
        <v>10</v>
      </c>
      <c r="R1" s="8" t="s">
        <v>53</v>
      </c>
      <c r="S1" s="7">
        <v>8</v>
      </c>
      <c r="T1" s="8" t="s">
        <v>54</v>
      </c>
      <c r="U1" s="7">
        <v>25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</row>
    <row r="2" spans="1:40" x14ac:dyDescent="0.3">
      <c r="A2" s="16" t="s">
        <v>55</v>
      </c>
      <c r="B2" s="16" t="s">
        <v>56</v>
      </c>
      <c r="C2" s="7"/>
      <c r="D2" s="15" t="s">
        <v>57</v>
      </c>
      <c r="E2" s="16"/>
      <c r="F2" s="16"/>
      <c r="G2" s="15" t="s">
        <v>58</v>
      </c>
      <c r="H2" s="16"/>
      <c r="I2" s="16"/>
      <c r="J2" s="15" t="s">
        <v>59</v>
      </c>
      <c r="K2" s="16"/>
      <c r="L2" s="16"/>
      <c r="M2" s="15" t="s">
        <v>60</v>
      </c>
      <c r="N2" s="16"/>
      <c r="O2" s="16"/>
      <c r="P2" s="16"/>
      <c r="Q2" s="15" t="s">
        <v>61</v>
      </c>
      <c r="R2" s="16"/>
      <c r="S2" s="16"/>
      <c r="T2" s="16"/>
      <c r="U2" s="15" t="s">
        <v>27</v>
      </c>
      <c r="V2" s="16"/>
      <c r="W2" s="16"/>
      <c r="X2" s="16"/>
      <c r="Y2" s="15" t="s">
        <v>62</v>
      </c>
      <c r="Z2" s="16"/>
      <c r="AA2" s="16"/>
      <c r="AB2" s="16"/>
      <c r="AC2" s="15" t="s">
        <v>29</v>
      </c>
      <c r="AD2" s="16"/>
      <c r="AE2" s="16"/>
      <c r="AF2" s="16"/>
      <c r="AG2" s="15" t="s">
        <v>28</v>
      </c>
      <c r="AH2" s="16"/>
      <c r="AI2" s="16"/>
      <c r="AJ2" s="16"/>
      <c r="AK2" s="15" t="s">
        <v>63</v>
      </c>
      <c r="AL2" s="16"/>
      <c r="AM2" s="16"/>
      <c r="AN2" s="16"/>
    </row>
    <row r="3" spans="1:40" x14ac:dyDescent="0.3">
      <c r="A3" s="16"/>
      <c r="B3" s="16"/>
      <c r="C3" s="7"/>
      <c r="D3" s="7" t="s">
        <v>64</v>
      </c>
      <c r="E3" s="7" t="s">
        <v>65</v>
      </c>
      <c r="F3" s="7" t="s">
        <v>66</v>
      </c>
      <c r="G3" s="7" t="s">
        <v>64</v>
      </c>
      <c r="H3" s="7" t="s">
        <v>65</v>
      </c>
      <c r="I3" s="7" t="s">
        <v>66</v>
      </c>
      <c r="J3" s="7" t="s">
        <v>64</v>
      </c>
      <c r="K3" s="7" t="s">
        <v>65</v>
      </c>
      <c r="L3" s="7" t="s">
        <v>66</v>
      </c>
      <c r="M3" s="7" t="s">
        <v>64</v>
      </c>
      <c r="N3" s="7" t="s">
        <v>65</v>
      </c>
      <c r="O3" s="7" t="s">
        <v>66</v>
      </c>
      <c r="P3" s="7" t="s">
        <v>67</v>
      </c>
      <c r="Q3" s="7" t="s">
        <v>64</v>
      </c>
      <c r="R3" s="7" t="s">
        <v>65</v>
      </c>
      <c r="S3" s="7" t="s">
        <v>66</v>
      </c>
      <c r="T3" s="7" t="s">
        <v>67</v>
      </c>
      <c r="U3" s="7" t="s">
        <v>64</v>
      </c>
      <c r="V3" s="7" t="s">
        <v>65</v>
      </c>
      <c r="W3" s="7" t="s">
        <v>66</v>
      </c>
      <c r="X3" s="7" t="s">
        <v>67</v>
      </c>
      <c r="Y3" s="7" t="s">
        <v>64</v>
      </c>
      <c r="Z3" s="7" t="s">
        <v>65</v>
      </c>
      <c r="AA3" s="7" t="s">
        <v>66</v>
      </c>
      <c r="AB3" s="7" t="s">
        <v>67</v>
      </c>
      <c r="AC3" s="7" t="s">
        <v>64</v>
      </c>
      <c r="AD3" s="7" t="s">
        <v>65</v>
      </c>
      <c r="AE3" s="7" t="s">
        <v>66</v>
      </c>
      <c r="AF3" s="7" t="s">
        <v>67</v>
      </c>
      <c r="AG3" s="7" t="s">
        <v>64</v>
      </c>
      <c r="AH3" s="7" t="s">
        <v>65</v>
      </c>
      <c r="AI3" s="7" t="s">
        <v>66</v>
      </c>
      <c r="AJ3" s="7" t="s">
        <v>67</v>
      </c>
      <c r="AK3" s="7" t="s">
        <v>64</v>
      </c>
      <c r="AL3" s="7" t="s">
        <v>65</v>
      </c>
      <c r="AM3" s="7" t="s">
        <v>66</v>
      </c>
      <c r="AN3" s="7" t="s">
        <v>67</v>
      </c>
    </row>
    <row r="4" spans="1:40" x14ac:dyDescent="0.3">
      <c r="A4" s="7" t="s">
        <v>68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>
        <v>8.15</v>
      </c>
      <c r="O4" s="7"/>
      <c r="P4" s="7"/>
      <c r="Q4" s="7"/>
      <c r="R4" s="7">
        <v>38.78</v>
      </c>
      <c r="S4" s="7"/>
      <c r="T4" s="7"/>
      <c r="U4" s="7"/>
      <c r="V4" s="7">
        <v>26.21</v>
      </c>
      <c r="W4" s="7"/>
      <c r="X4" s="7"/>
      <c r="Y4" s="7"/>
      <c r="Z4" s="7">
        <v>55.07</v>
      </c>
      <c r="AA4" s="7"/>
      <c r="AB4" s="7"/>
      <c r="AC4" s="7"/>
      <c r="AD4" s="7">
        <v>3.81</v>
      </c>
      <c r="AE4" s="7"/>
      <c r="AF4" s="7"/>
      <c r="AG4" s="7"/>
      <c r="AH4" s="7">
        <v>3.4</v>
      </c>
      <c r="AI4" s="7"/>
      <c r="AJ4" s="7"/>
      <c r="AK4" s="7"/>
      <c r="AL4" s="7">
        <v>152.22999999999999</v>
      </c>
      <c r="AM4" s="7"/>
      <c r="AN4" s="7"/>
    </row>
    <row r="5" spans="1:40" x14ac:dyDescent="0.3">
      <c r="A5" s="7" t="s">
        <v>211</v>
      </c>
      <c r="B5" s="7"/>
      <c r="C5" s="7"/>
      <c r="D5" s="7"/>
      <c r="E5" s="7">
        <v>3</v>
      </c>
      <c r="F5" s="7">
        <v>4</v>
      </c>
      <c r="G5" s="7">
        <v>5</v>
      </c>
      <c r="H5" s="7">
        <v>6</v>
      </c>
      <c r="I5" s="7">
        <v>7</v>
      </c>
      <c r="J5" s="7">
        <v>8</v>
      </c>
      <c r="K5" s="7">
        <v>9</v>
      </c>
      <c r="L5" s="7">
        <v>10</v>
      </c>
      <c r="M5" s="7">
        <v>11</v>
      </c>
      <c r="N5" s="7">
        <v>12</v>
      </c>
      <c r="O5" s="7">
        <v>13</v>
      </c>
      <c r="P5" s="7">
        <v>14</v>
      </c>
      <c r="Q5" s="7">
        <v>15</v>
      </c>
      <c r="R5" s="7">
        <v>16</v>
      </c>
      <c r="S5" s="7">
        <v>17</v>
      </c>
      <c r="T5" s="7">
        <v>18</v>
      </c>
      <c r="U5" s="7">
        <v>19</v>
      </c>
      <c r="V5" s="7">
        <v>20</v>
      </c>
      <c r="W5" s="7">
        <v>21</v>
      </c>
      <c r="X5" s="7">
        <v>22</v>
      </c>
      <c r="Y5" s="7">
        <v>23</v>
      </c>
      <c r="Z5" s="7">
        <v>24</v>
      </c>
      <c r="AA5" s="7">
        <v>25</v>
      </c>
      <c r="AB5" s="7">
        <v>26</v>
      </c>
      <c r="AC5" s="7">
        <v>27</v>
      </c>
      <c r="AD5" s="7">
        <v>28</v>
      </c>
      <c r="AE5" s="7">
        <v>29</v>
      </c>
      <c r="AF5" s="7">
        <v>30</v>
      </c>
      <c r="AG5" s="7">
        <v>31</v>
      </c>
      <c r="AH5" s="7">
        <v>32</v>
      </c>
      <c r="AI5" s="7">
        <v>33</v>
      </c>
      <c r="AJ5" s="7">
        <v>34</v>
      </c>
      <c r="AK5" s="7">
        <v>35</v>
      </c>
      <c r="AL5" s="7">
        <v>36</v>
      </c>
      <c r="AM5" s="7">
        <v>37</v>
      </c>
      <c r="AN5" s="7">
        <v>38</v>
      </c>
    </row>
    <row r="6" spans="1:40" x14ac:dyDescent="0.3">
      <c r="A6" s="7" t="s">
        <v>212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>
        <v>9.17</v>
      </c>
      <c r="O6" s="7"/>
      <c r="P6" s="7"/>
      <c r="Q6" s="7"/>
      <c r="R6" s="7">
        <v>41</v>
      </c>
      <c r="S6" s="7"/>
      <c r="T6" s="7"/>
      <c r="U6" s="7"/>
      <c r="V6" s="7">
        <v>28.52</v>
      </c>
      <c r="W6" s="7"/>
      <c r="X6" s="7"/>
      <c r="Y6" s="7"/>
      <c r="Z6" s="7">
        <v>57.56</v>
      </c>
      <c r="AA6" s="7"/>
      <c r="AB6" s="7"/>
      <c r="AC6" s="7"/>
      <c r="AD6" s="7">
        <v>4.95</v>
      </c>
      <c r="AE6" s="7"/>
      <c r="AF6" s="7"/>
      <c r="AG6" s="7"/>
      <c r="AH6" s="7">
        <v>3.5</v>
      </c>
      <c r="AI6" s="7"/>
      <c r="AJ6" s="7"/>
      <c r="AK6" s="7"/>
      <c r="AL6" s="7">
        <v>159.6</v>
      </c>
      <c r="AM6" s="7"/>
      <c r="AN6" s="7"/>
    </row>
    <row r="7" spans="1:40" x14ac:dyDescent="0.3">
      <c r="A7" s="9">
        <v>45519</v>
      </c>
      <c r="B7" s="7" t="s">
        <v>21</v>
      </c>
      <c r="C7" s="7" t="str">
        <f>A7&amp;B7</f>
        <v>45519A</v>
      </c>
      <c r="D7" s="7" t="s">
        <v>213</v>
      </c>
      <c r="E7" s="7">
        <v>15.56</v>
      </c>
      <c r="F7" s="10">
        <v>37.21</v>
      </c>
      <c r="G7" s="7" t="s">
        <v>214</v>
      </c>
      <c r="H7" s="7">
        <v>0</v>
      </c>
      <c r="I7" s="7"/>
      <c r="J7" s="7" t="s">
        <v>215</v>
      </c>
      <c r="K7" s="7">
        <v>67.81</v>
      </c>
      <c r="L7" s="10">
        <v>27.32</v>
      </c>
      <c r="M7" s="7" t="s">
        <v>216</v>
      </c>
      <c r="N7" s="7">
        <v>8</v>
      </c>
      <c r="O7" s="10">
        <v>3.49</v>
      </c>
      <c r="P7" s="11">
        <v>1.84</v>
      </c>
      <c r="Q7" s="7" t="s">
        <v>217</v>
      </c>
      <c r="R7" s="7">
        <v>37.67</v>
      </c>
      <c r="S7" s="11">
        <v>2.38</v>
      </c>
      <c r="T7" s="11">
        <v>2.86</v>
      </c>
      <c r="U7" s="7" t="s">
        <v>218</v>
      </c>
      <c r="V7" s="7">
        <v>27.77</v>
      </c>
      <c r="W7" s="11">
        <v>4.3499999999999996</v>
      </c>
      <c r="X7" s="10">
        <v>5.95</v>
      </c>
      <c r="Y7" s="7" t="s">
        <v>219</v>
      </c>
      <c r="Z7" s="12">
        <v>55.72</v>
      </c>
      <c r="AA7" s="11">
        <v>0.36</v>
      </c>
      <c r="AB7" s="11">
        <v>1.18</v>
      </c>
      <c r="AC7" s="7" t="s">
        <v>220</v>
      </c>
      <c r="AD7" s="12">
        <v>3.63</v>
      </c>
      <c r="AE7" s="11">
        <v>2.68</v>
      </c>
      <c r="AF7" s="11">
        <v>4.72</v>
      </c>
      <c r="AG7" s="7" t="s">
        <v>184</v>
      </c>
      <c r="AH7" s="7">
        <v>3.23</v>
      </c>
      <c r="AI7" s="11">
        <v>4.99</v>
      </c>
      <c r="AJ7" s="11">
        <v>4.99</v>
      </c>
      <c r="AK7" s="7" t="s">
        <v>221</v>
      </c>
      <c r="AL7" s="7">
        <v>140.33000000000001</v>
      </c>
      <c r="AM7" s="11">
        <v>3.57</v>
      </c>
      <c r="AN7" s="11">
        <v>7.81</v>
      </c>
    </row>
    <row r="8" spans="1:40" x14ac:dyDescent="0.3">
      <c r="A8" s="9">
        <v>45519</v>
      </c>
      <c r="B8" s="7" t="s">
        <v>19</v>
      </c>
      <c r="C8" s="7" t="str">
        <f t="shared" ref="C8:C69" si="0">A8&amp;B8</f>
        <v>45519B</v>
      </c>
      <c r="D8" s="7" t="s">
        <v>222</v>
      </c>
      <c r="E8" s="7">
        <v>15.31</v>
      </c>
      <c r="F8" s="10">
        <v>34.770000000000003</v>
      </c>
      <c r="G8" s="7" t="s">
        <v>214</v>
      </c>
      <c r="H8" s="7">
        <v>0</v>
      </c>
      <c r="I8" s="7"/>
      <c r="J8" s="7" t="s">
        <v>223</v>
      </c>
      <c r="K8" s="7">
        <v>82.91</v>
      </c>
      <c r="L8" s="11">
        <v>19.41</v>
      </c>
      <c r="M8" s="7" t="s">
        <v>224</v>
      </c>
      <c r="N8" s="7">
        <v>7.89</v>
      </c>
      <c r="O8" s="11">
        <v>1.37</v>
      </c>
      <c r="P8" s="10">
        <v>3.19</v>
      </c>
      <c r="Q8" s="7" t="s">
        <v>225</v>
      </c>
      <c r="R8" s="7">
        <v>39.25</v>
      </c>
      <c r="S8" s="11">
        <v>2.2400000000000002</v>
      </c>
      <c r="T8" s="11">
        <v>1.21</v>
      </c>
      <c r="U8" s="7" t="s">
        <v>226</v>
      </c>
      <c r="V8" s="7">
        <v>26.62</v>
      </c>
      <c r="W8" s="11">
        <v>0.96</v>
      </c>
      <c r="X8" s="11">
        <v>1.56</v>
      </c>
      <c r="Y8" s="7" t="s">
        <v>227</v>
      </c>
      <c r="Z8" s="7">
        <v>55.74</v>
      </c>
      <c r="AA8" s="11">
        <v>0.17</v>
      </c>
      <c r="AB8" s="11">
        <v>1.21</v>
      </c>
      <c r="AC8" s="7" t="s">
        <v>228</v>
      </c>
      <c r="AD8" s="7">
        <v>3.58</v>
      </c>
      <c r="AE8" s="11">
        <v>0.83</v>
      </c>
      <c r="AF8" s="11">
        <v>6.03</v>
      </c>
      <c r="AG8" s="7" t="s">
        <v>191</v>
      </c>
      <c r="AH8" s="7">
        <v>3.24</v>
      </c>
      <c r="AI8" s="11">
        <v>2.11</v>
      </c>
      <c r="AJ8" s="11">
        <v>4.7</v>
      </c>
      <c r="AK8" s="7" t="s">
        <v>229</v>
      </c>
      <c r="AL8" s="7">
        <v>146.25</v>
      </c>
      <c r="AM8" s="11">
        <v>0.03</v>
      </c>
      <c r="AN8" s="11">
        <v>3.92</v>
      </c>
    </row>
    <row r="9" spans="1:40" x14ac:dyDescent="0.3">
      <c r="A9" s="9">
        <v>45519</v>
      </c>
      <c r="B9" s="7" t="s">
        <v>20</v>
      </c>
      <c r="C9" s="7" t="str">
        <f t="shared" si="0"/>
        <v>45519C</v>
      </c>
      <c r="D9" s="7" t="s">
        <v>230</v>
      </c>
      <c r="E9" s="7">
        <v>15.86</v>
      </c>
      <c r="F9" s="10">
        <v>10.52</v>
      </c>
      <c r="G9" s="7" t="s">
        <v>214</v>
      </c>
      <c r="H9" s="7">
        <v>0</v>
      </c>
      <c r="I9" s="7"/>
      <c r="J9" s="7" t="s">
        <v>231</v>
      </c>
      <c r="K9" s="7">
        <v>98.33</v>
      </c>
      <c r="L9" s="10">
        <v>39.83</v>
      </c>
      <c r="M9" s="7" t="s">
        <v>232</v>
      </c>
      <c r="N9" s="7">
        <v>8.1999999999999993</v>
      </c>
      <c r="O9" s="10">
        <v>3.79</v>
      </c>
      <c r="P9" s="11">
        <v>0.61</v>
      </c>
      <c r="Q9" s="7" t="s">
        <v>233</v>
      </c>
      <c r="R9" s="7">
        <v>39</v>
      </c>
      <c r="S9" s="11">
        <v>1.48</v>
      </c>
      <c r="T9" s="11">
        <v>0.56000000000000005</v>
      </c>
      <c r="U9" s="7" t="s">
        <v>234</v>
      </c>
      <c r="V9" s="7">
        <v>25.44</v>
      </c>
      <c r="W9" s="11">
        <v>4.6399999999999997</v>
      </c>
      <c r="X9" s="11">
        <v>2.93</v>
      </c>
      <c r="Y9" s="7" t="s">
        <v>152</v>
      </c>
      <c r="Z9" s="7">
        <v>55.74</v>
      </c>
      <c r="AA9" s="11">
        <v>0.01</v>
      </c>
      <c r="AB9" s="11">
        <v>1.21</v>
      </c>
      <c r="AC9" s="7" t="s">
        <v>235</v>
      </c>
      <c r="AD9" s="7">
        <v>3.58</v>
      </c>
      <c r="AE9" s="11">
        <v>1.64</v>
      </c>
      <c r="AF9" s="11">
        <v>6.03</v>
      </c>
      <c r="AG9" s="7" t="s">
        <v>145</v>
      </c>
      <c r="AH9" s="7">
        <v>3.37</v>
      </c>
      <c r="AI9" s="11">
        <v>1.2</v>
      </c>
      <c r="AJ9" s="11">
        <v>0.88</v>
      </c>
      <c r="AK9" s="7" t="s">
        <v>236</v>
      </c>
      <c r="AL9" s="7">
        <v>149</v>
      </c>
      <c r="AM9" s="11">
        <v>0.44</v>
      </c>
      <c r="AN9" s="11">
        <v>2.12</v>
      </c>
    </row>
    <row r="10" spans="1:40" x14ac:dyDescent="0.3">
      <c r="A10" s="9">
        <v>45520</v>
      </c>
      <c r="B10" s="7" t="s">
        <v>21</v>
      </c>
      <c r="C10" s="7" t="str">
        <f t="shared" si="0"/>
        <v>45520A</v>
      </c>
      <c r="D10" s="7" t="s">
        <v>237</v>
      </c>
      <c r="E10" s="7">
        <v>20.079999999999998</v>
      </c>
      <c r="F10" s="10">
        <v>43.94</v>
      </c>
      <c r="G10" s="7" t="s">
        <v>214</v>
      </c>
      <c r="H10" s="7">
        <v>0</v>
      </c>
      <c r="I10" s="7"/>
      <c r="J10" s="7" t="s">
        <v>238</v>
      </c>
      <c r="K10" s="7">
        <v>74.790000000000006</v>
      </c>
      <c r="L10" s="11">
        <v>7.68</v>
      </c>
      <c r="M10" s="7" t="s">
        <v>239</v>
      </c>
      <c r="N10" s="7">
        <v>8.08</v>
      </c>
      <c r="O10" s="11">
        <v>0.49</v>
      </c>
      <c r="P10" s="11">
        <v>0.85</v>
      </c>
      <c r="Q10" s="7" t="s">
        <v>240</v>
      </c>
      <c r="R10" s="7">
        <v>37.67</v>
      </c>
      <c r="S10" s="11">
        <v>2.63</v>
      </c>
      <c r="T10" s="11">
        <v>2.86</v>
      </c>
      <c r="U10" s="7" t="s">
        <v>241</v>
      </c>
      <c r="V10" s="7">
        <v>25.77</v>
      </c>
      <c r="W10" s="11">
        <v>2.42</v>
      </c>
      <c r="X10" s="11">
        <v>1.67</v>
      </c>
      <c r="Y10" s="7" t="s">
        <v>242</v>
      </c>
      <c r="Z10" s="7">
        <v>55</v>
      </c>
      <c r="AA10" s="11">
        <v>1.23</v>
      </c>
      <c r="AB10" s="11">
        <v>0.12</v>
      </c>
      <c r="AC10" s="7" t="s">
        <v>220</v>
      </c>
      <c r="AD10" s="7">
        <v>3.58</v>
      </c>
      <c r="AE10" s="11">
        <v>4.0199999999999996</v>
      </c>
      <c r="AF10" s="11">
        <v>6.03</v>
      </c>
      <c r="AG10" s="7" t="s">
        <v>92</v>
      </c>
      <c r="AH10" s="7">
        <v>3.34</v>
      </c>
      <c r="AI10" s="11">
        <v>1.47</v>
      </c>
      <c r="AJ10" s="11">
        <v>1.76</v>
      </c>
      <c r="AK10" s="7" t="s">
        <v>243</v>
      </c>
      <c r="AL10" s="7">
        <v>144.33000000000001</v>
      </c>
      <c r="AM10" s="11">
        <v>2.97</v>
      </c>
      <c r="AN10" s="11">
        <v>5.18</v>
      </c>
    </row>
    <row r="11" spans="1:40" x14ac:dyDescent="0.3">
      <c r="A11" s="9">
        <v>45520</v>
      </c>
      <c r="B11" s="7" t="s">
        <v>19</v>
      </c>
      <c r="C11" s="7" t="str">
        <f t="shared" si="0"/>
        <v>45520B</v>
      </c>
      <c r="D11" s="7" t="s">
        <v>244</v>
      </c>
      <c r="E11" s="7">
        <v>18.809999999999999</v>
      </c>
      <c r="F11" s="10">
        <v>19.88</v>
      </c>
      <c r="G11" s="7" t="s">
        <v>214</v>
      </c>
      <c r="H11" s="7">
        <v>0</v>
      </c>
      <c r="I11" s="7"/>
      <c r="J11" s="7" t="s">
        <v>245</v>
      </c>
      <c r="K11" s="7">
        <v>75.8</v>
      </c>
      <c r="L11" s="11">
        <v>4.08</v>
      </c>
      <c r="M11" s="7" t="s">
        <v>202</v>
      </c>
      <c r="N11" s="7">
        <v>8.1</v>
      </c>
      <c r="O11" s="11">
        <v>0.49</v>
      </c>
      <c r="P11" s="11">
        <v>0.61</v>
      </c>
      <c r="Q11" s="7" t="s">
        <v>246</v>
      </c>
      <c r="R11" s="7">
        <v>37.67</v>
      </c>
      <c r="S11" s="11">
        <v>3.08</v>
      </c>
      <c r="T11" s="11">
        <v>2.86</v>
      </c>
      <c r="U11" s="7" t="s">
        <v>247</v>
      </c>
      <c r="V11" s="7">
        <v>27.27</v>
      </c>
      <c r="W11" s="11">
        <v>2.78</v>
      </c>
      <c r="X11" s="11">
        <v>4.04</v>
      </c>
      <c r="Y11" s="7" t="s">
        <v>248</v>
      </c>
      <c r="Z11" s="7">
        <v>55</v>
      </c>
      <c r="AA11" s="11">
        <v>0.21</v>
      </c>
      <c r="AB11" s="11">
        <v>0.12</v>
      </c>
      <c r="AC11" s="7" t="s">
        <v>249</v>
      </c>
      <c r="AD11" s="7">
        <v>3.7</v>
      </c>
      <c r="AE11" s="11">
        <v>0.53</v>
      </c>
      <c r="AF11" s="11">
        <v>2.88</v>
      </c>
      <c r="AG11" s="7" t="s">
        <v>92</v>
      </c>
      <c r="AH11" s="7">
        <v>3.34</v>
      </c>
      <c r="AI11" s="11">
        <v>1.47</v>
      </c>
      <c r="AJ11" s="11">
        <v>1.76</v>
      </c>
      <c r="AK11" s="7" t="s">
        <v>250</v>
      </c>
      <c r="AL11" s="7">
        <v>142</v>
      </c>
      <c r="AM11" s="11">
        <v>5.82</v>
      </c>
      <c r="AN11" s="11">
        <v>6.72</v>
      </c>
    </row>
    <row r="12" spans="1:40" x14ac:dyDescent="0.3">
      <c r="A12" s="9">
        <v>45520</v>
      </c>
      <c r="B12" s="7" t="s">
        <v>20</v>
      </c>
      <c r="C12" s="7" t="str">
        <f t="shared" si="0"/>
        <v>45520C</v>
      </c>
      <c r="D12" s="7" t="s">
        <v>222</v>
      </c>
      <c r="E12" s="7">
        <v>16.03</v>
      </c>
      <c r="F12" s="10">
        <v>41.1</v>
      </c>
      <c r="G12" s="7" t="s">
        <v>214</v>
      </c>
      <c r="H12" s="7">
        <v>0</v>
      </c>
      <c r="I12" s="7"/>
      <c r="J12" s="7" t="s">
        <v>251</v>
      </c>
      <c r="K12" s="7">
        <v>84.93</v>
      </c>
      <c r="L12" s="11">
        <v>18.54</v>
      </c>
      <c r="M12" s="7" t="s">
        <v>202</v>
      </c>
      <c r="N12" s="7">
        <v>8.4499999999999993</v>
      </c>
      <c r="O12" s="10">
        <v>4.83</v>
      </c>
      <c r="P12" s="10">
        <v>3.68</v>
      </c>
      <c r="Q12" s="7" t="s">
        <v>252</v>
      </c>
      <c r="R12" s="7">
        <v>39.200000000000003</v>
      </c>
      <c r="S12" s="11">
        <v>1.26</v>
      </c>
      <c r="T12" s="11">
        <v>1.08</v>
      </c>
      <c r="U12" s="7" t="s">
        <v>253</v>
      </c>
      <c r="V12" s="7">
        <v>26.6</v>
      </c>
      <c r="W12" s="11">
        <v>0.18</v>
      </c>
      <c r="X12" s="11">
        <v>1.48</v>
      </c>
      <c r="Y12" s="7" t="s">
        <v>254</v>
      </c>
      <c r="Z12" s="7">
        <v>55</v>
      </c>
      <c r="AA12" s="11">
        <v>0.41</v>
      </c>
      <c r="AB12" s="11">
        <v>0.12</v>
      </c>
      <c r="AC12" s="7" t="s">
        <v>255</v>
      </c>
      <c r="AD12" s="7">
        <v>3.7</v>
      </c>
      <c r="AE12" s="11">
        <v>0</v>
      </c>
      <c r="AF12" s="11">
        <v>2.88</v>
      </c>
      <c r="AG12" s="7" t="s">
        <v>76</v>
      </c>
      <c r="AH12" s="7">
        <v>3.44</v>
      </c>
      <c r="AI12" s="11">
        <v>2.68</v>
      </c>
      <c r="AJ12" s="11">
        <v>1.17</v>
      </c>
      <c r="AK12" s="7" t="s">
        <v>256</v>
      </c>
      <c r="AL12" s="7">
        <v>150.6</v>
      </c>
      <c r="AM12" s="11">
        <v>1.1200000000000001</v>
      </c>
      <c r="AN12" s="11">
        <v>1.07</v>
      </c>
    </row>
    <row r="13" spans="1:40" x14ac:dyDescent="0.3">
      <c r="A13" s="9">
        <v>45523</v>
      </c>
      <c r="B13" s="7" t="s">
        <v>21</v>
      </c>
      <c r="C13" s="7" t="str">
        <f t="shared" si="0"/>
        <v>45523A</v>
      </c>
      <c r="D13" s="7" t="s">
        <v>257</v>
      </c>
      <c r="E13" s="7">
        <v>15.37</v>
      </c>
      <c r="F13" s="10">
        <v>35.409999999999997</v>
      </c>
      <c r="G13" s="7" t="s">
        <v>214</v>
      </c>
      <c r="H13" s="7">
        <v>0</v>
      </c>
      <c r="I13" s="7"/>
      <c r="J13" s="7" t="s">
        <v>258</v>
      </c>
      <c r="K13" s="7">
        <v>67.959999999999994</v>
      </c>
      <c r="L13" s="10">
        <v>30.24</v>
      </c>
      <c r="M13" s="7" t="s">
        <v>259</v>
      </c>
      <c r="N13" s="7">
        <v>8.43</v>
      </c>
      <c r="O13" s="11">
        <v>2.8</v>
      </c>
      <c r="P13" s="10">
        <v>3.43</v>
      </c>
      <c r="Q13" s="7" t="s">
        <v>260</v>
      </c>
      <c r="R13" s="7">
        <v>37.17</v>
      </c>
      <c r="S13" s="11">
        <v>4.12</v>
      </c>
      <c r="T13" s="11">
        <v>4.1500000000000004</v>
      </c>
      <c r="U13" s="7" t="s">
        <v>261</v>
      </c>
      <c r="V13" s="7">
        <v>28.38</v>
      </c>
      <c r="W13" s="10">
        <v>7.62</v>
      </c>
      <c r="X13" s="10">
        <v>8.27</v>
      </c>
      <c r="Y13" s="7" t="s">
        <v>248</v>
      </c>
      <c r="Z13" s="12">
        <v>55.77</v>
      </c>
      <c r="AA13" s="11">
        <v>1.17</v>
      </c>
      <c r="AB13" s="11">
        <v>1.27</v>
      </c>
      <c r="AC13" s="7" t="s">
        <v>262</v>
      </c>
      <c r="AD13" s="7">
        <v>3.96</v>
      </c>
      <c r="AE13" s="11">
        <v>5.03</v>
      </c>
      <c r="AF13" s="11">
        <v>3.93</v>
      </c>
      <c r="AG13" s="7" t="s">
        <v>184</v>
      </c>
      <c r="AH13" s="13">
        <v>3.51</v>
      </c>
      <c r="AI13" s="11">
        <v>3.23</v>
      </c>
      <c r="AJ13" s="11">
        <v>3.23</v>
      </c>
      <c r="AK13" s="7" t="s">
        <v>263</v>
      </c>
      <c r="AL13" s="7">
        <v>142.16999999999999</v>
      </c>
      <c r="AM13" s="11">
        <v>5.22</v>
      </c>
      <c r="AN13" s="11">
        <v>6.6</v>
      </c>
    </row>
    <row r="14" spans="1:40" x14ac:dyDescent="0.3">
      <c r="A14" s="9">
        <v>45523</v>
      </c>
      <c r="B14" s="7" t="s">
        <v>19</v>
      </c>
      <c r="C14" s="7" t="str">
        <f t="shared" si="0"/>
        <v>45523B</v>
      </c>
      <c r="D14" s="7" t="s">
        <v>264</v>
      </c>
      <c r="E14" s="7">
        <v>13.68</v>
      </c>
      <c r="F14" s="10">
        <v>20.21</v>
      </c>
      <c r="G14" s="7" t="s">
        <v>214</v>
      </c>
      <c r="H14" s="7">
        <v>0</v>
      </c>
      <c r="I14" s="7"/>
      <c r="J14" s="7" t="s">
        <v>265</v>
      </c>
      <c r="K14" s="7">
        <v>77.75</v>
      </c>
      <c r="L14" s="10">
        <v>30.01</v>
      </c>
      <c r="M14" s="7" t="s">
        <v>115</v>
      </c>
      <c r="N14" s="7">
        <v>8.5</v>
      </c>
      <c r="O14" s="11">
        <v>0.59</v>
      </c>
      <c r="P14" s="10">
        <v>4.29</v>
      </c>
      <c r="Q14" s="7" t="s">
        <v>266</v>
      </c>
      <c r="R14" s="7">
        <v>39</v>
      </c>
      <c r="S14" s="11">
        <v>1.03</v>
      </c>
      <c r="T14" s="11">
        <v>0.56000000000000005</v>
      </c>
      <c r="U14" s="7" t="s">
        <v>241</v>
      </c>
      <c r="V14" s="7">
        <v>27</v>
      </c>
      <c r="W14" s="11">
        <v>2.23</v>
      </c>
      <c r="X14" s="11">
        <v>3.01</v>
      </c>
      <c r="Y14" s="7" t="s">
        <v>227</v>
      </c>
      <c r="Z14" s="12">
        <v>54.98</v>
      </c>
      <c r="AA14" s="11">
        <v>1.54</v>
      </c>
      <c r="AB14" s="11">
        <v>0.16</v>
      </c>
      <c r="AC14" s="7" t="s">
        <v>267</v>
      </c>
      <c r="AD14" s="12">
        <v>4.04</v>
      </c>
      <c r="AE14" s="11">
        <v>0.74</v>
      </c>
      <c r="AF14" s="11">
        <v>6.03</v>
      </c>
      <c r="AG14" s="7" t="s">
        <v>113</v>
      </c>
      <c r="AH14" s="13">
        <v>3.65</v>
      </c>
      <c r="AI14" s="11">
        <v>5.79</v>
      </c>
      <c r="AJ14" s="10">
        <v>7.35</v>
      </c>
      <c r="AK14" s="7" t="s">
        <v>268</v>
      </c>
      <c r="AL14" s="7">
        <v>147</v>
      </c>
      <c r="AM14" s="11">
        <v>0.73</v>
      </c>
      <c r="AN14" s="11">
        <v>3.43</v>
      </c>
    </row>
    <row r="15" spans="1:40" ht="18" x14ac:dyDescent="0.35">
      <c r="A15" s="9">
        <v>45523</v>
      </c>
      <c r="B15" s="7" t="s">
        <v>20</v>
      </c>
      <c r="C15" s="7" t="str">
        <f t="shared" si="0"/>
        <v>45523C</v>
      </c>
      <c r="D15" s="7" t="s">
        <v>269</v>
      </c>
      <c r="E15" s="7">
        <v>11.08</v>
      </c>
      <c r="F15" s="11">
        <v>2.8</v>
      </c>
      <c r="G15" s="7" t="s">
        <v>270</v>
      </c>
      <c r="H15" s="7">
        <v>0</v>
      </c>
      <c r="I15" s="10">
        <v>100</v>
      </c>
      <c r="J15" s="7" t="s">
        <v>271</v>
      </c>
      <c r="K15" s="7">
        <v>75.959999999999994</v>
      </c>
      <c r="L15" s="10">
        <v>31.75</v>
      </c>
      <c r="M15" s="7" t="s">
        <v>272</v>
      </c>
      <c r="N15" s="7">
        <v>8.57</v>
      </c>
      <c r="O15" s="11">
        <v>0.35</v>
      </c>
      <c r="P15" s="10">
        <v>5.15</v>
      </c>
      <c r="Q15" s="7" t="s">
        <v>273</v>
      </c>
      <c r="R15" s="7">
        <v>38.71</v>
      </c>
      <c r="S15" s="11">
        <v>0.85</v>
      </c>
      <c r="T15" s="11">
        <v>0.18</v>
      </c>
      <c r="U15" s="7" t="s">
        <v>274</v>
      </c>
      <c r="V15" s="7">
        <v>26.92</v>
      </c>
      <c r="W15" s="11">
        <v>1.31</v>
      </c>
      <c r="X15" s="11">
        <v>2.7</v>
      </c>
      <c r="Y15" s="7" t="s">
        <v>275</v>
      </c>
      <c r="Z15" s="7">
        <v>54.98</v>
      </c>
      <c r="AA15" s="11">
        <v>0.38</v>
      </c>
      <c r="AB15" s="11">
        <v>0.16</v>
      </c>
      <c r="AC15" s="7" t="s">
        <v>276</v>
      </c>
      <c r="AD15" s="7">
        <v>4.04</v>
      </c>
      <c r="AE15" s="11">
        <v>0</v>
      </c>
      <c r="AF15" s="11">
        <v>6.03</v>
      </c>
      <c r="AG15" s="7" t="s">
        <v>113</v>
      </c>
      <c r="AH15" s="7">
        <v>3.44</v>
      </c>
      <c r="AI15" s="11">
        <v>0.28000000000000003</v>
      </c>
      <c r="AJ15" s="11">
        <v>1.17</v>
      </c>
      <c r="AK15" s="7" t="s">
        <v>277</v>
      </c>
      <c r="AL15" s="7">
        <v>149.29</v>
      </c>
      <c r="AM15" s="11">
        <v>1.77</v>
      </c>
      <c r="AN15" s="11">
        <v>1.93</v>
      </c>
    </row>
    <row r="16" spans="1:40" x14ac:dyDescent="0.3">
      <c r="A16" s="9">
        <v>45524</v>
      </c>
      <c r="B16" s="7" t="s">
        <v>21</v>
      </c>
      <c r="C16" s="7" t="str">
        <f t="shared" si="0"/>
        <v>45524A</v>
      </c>
      <c r="D16" s="7" t="s">
        <v>278</v>
      </c>
      <c r="E16" s="7">
        <v>12.64</v>
      </c>
      <c r="F16" s="10">
        <v>11.16</v>
      </c>
      <c r="G16" s="7" t="s">
        <v>214</v>
      </c>
      <c r="H16" s="7">
        <v>0</v>
      </c>
      <c r="I16" s="7"/>
      <c r="J16" s="7" t="s">
        <v>279</v>
      </c>
      <c r="K16" s="7">
        <v>93.97</v>
      </c>
      <c r="L16" s="11">
        <v>10.38</v>
      </c>
      <c r="M16" s="7" t="s">
        <v>280</v>
      </c>
      <c r="N16" s="7">
        <v>8.15</v>
      </c>
      <c r="O16" s="11">
        <v>1.45</v>
      </c>
      <c r="P16" s="11">
        <v>0</v>
      </c>
      <c r="Q16" s="7" t="s">
        <v>281</v>
      </c>
      <c r="R16" s="7">
        <v>38.25</v>
      </c>
      <c r="S16" s="11">
        <v>0.64</v>
      </c>
      <c r="T16" s="11">
        <v>1.36</v>
      </c>
      <c r="U16" s="7" t="s">
        <v>151</v>
      </c>
      <c r="V16" s="7">
        <v>26.4</v>
      </c>
      <c r="W16" s="11">
        <v>0.99</v>
      </c>
      <c r="X16" s="11">
        <v>0.72</v>
      </c>
      <c r="Y16" s="7" t="s">
        <v>282</v>
      </c>
      <c r="Z16" s="7">
        <v>54.44</v>
      </c>
      <c r="AA16" s="11">
        <v>1.32</v>
      </c>
      <c r="AB16" s="11">
        <v>1.1399999999999999</v>
      </c>
      <c r="AC16" s="7" t="s">
        <v>283</v>
      </c>
      <c r="AD16" s="7">
        <v>4.0599999999999996</v>
      </c>
      <c r="AE16" s="11">
        <v>0.99</v>
      </c>
      <c r="AF16" s="11">
        <v>6.56</v>
      </c>
      <c r="AG16" s="7" t="s">
        <v>284</v>
      </c>
      <c r="AH16" s="7">
        <v>3.34</v>
      </c>
      <c r="AI16" s="11">
        <v>2.33</v>
      </c>
      <c r="AJ16" s="11">
        <v>1.76</v>
      </c>
      <c r="AK16" s="7" t="s">
        <v>285</v>
      </c>
      <c r="AL16" s="7">
        <v>140</v>
      </c>
      <c r="AM16" s="11">
        <v>5.3</v>
      </c>
      <c r="AN16" s="11">
        <v>8.0299999999999994</v>
      </c>
    </row>
    <row r="17" spans="1:40" x14ac:dyDescent="0.3">
      <c r="A17" s="9">
        <v>45524</v>
      </c>
      <c r="B17" s="7" t="s">
        <v>19</v>
      </c>
      <c r="C17" s="7" t="str">
        <f t="shared" si="0"/>
        <v>45524B</v>
      </c>
      <c r="D17" s="7" t="s">
        <v>257</v>
      </c>
      <c r="E17" s="7">
        <v>14.23</v>
      </c>
      <c r="F17" s="10">
        <v>25.37</v>
      </c>
      <c r="G17" s="7" t="s">
        <v>286</v>
      </c>
      <c r="H17" s="7">
        <v>0</v>
      </c>
      <c r="I17" s="10">
        <v>100</v>
      </c>
      <c r="J17" s="7" t="s">
        <v>287</v>
      </c>
      <c r="K17" s="7">
        <v>73.459999999999994</v>
      </c>
      <c r="L17" s="11">
        <v>22.94</v>
      </c>
      <c r="M17" s="7" t="s">
        <v>288</v>
      </c>
      <c r="N17" s="7">
        <v>8.07</v>
      </c>
      <c r="O17" s="11">
        <v>1.1000000000000001</v>
      </c>
      <c r="P17" s="11">
        <v>0.98</v>
      </c>
      <c r="Q17" s="7" t="s">
        <v>289</v>
      </c>
      <c r="R17" s="7">
        <v>38.5</v>
      </c>
      <c r="S17" s="11">
        <v>0.51</v>
      </c>
      <c r="T17" s="11">
        <v>0.72</v>
      </c>
      <c r="U17" s="7" t="s">
        <v>142</v>
      </c>
      <c r="V17" s="7">
        <v>26.9</v>
      </c>
      <c r="W17" s="11">
        <v>2.08</v>
      </c>
      <c r="X17" s="11">
        <v>2.63</v>
      </c>
      <c r="Y17" s="7" t="s">
        <v>290</v>
      </c>
      <c r="Z17" s="7">
        <v>56.44</v>
      </c>
      <c r="AA17" s="11">
        <v>2.89</v>
      </c>
      <c r="AB17" s="11">
        <v>2.48</v>
      </c>
      <c r="AC17" s="7" t="s">
        <v>276</v>
      </c>
      <c r="AD17" s="7">
        <v>4.0599999999999996</v>
      </c>
      <c r="AE17" s="11">
        <v>0.49</v>
      </c>
      <c r="AF17" s="11">
        <v>6.56</v>
      </c>
      <c r="AG17" s="7" t="s">
        <v>127</v>
      </c>
      <c r="AH17" s="7">
        <v>3.28</v>
      </c>
      <c r="AI17" s="11">
        <v>4.37</v>
      </c>
      <c r="AJ17" s="11">
        <v>3.52</v>
      </c>
      <c r="AK17" s="7" t="s">
        <v>291</v>
      </c>
      <c r="AL17" s="7">
        <v>154</v>
      </c>
      <c r="AM17" s="11">
        <v>4.6900000000000004</v>
      </c>
      <c r="AN17" s="11">
        <v>1.1599999999999999</v>
      </c>
    </row>
    <row r="18" spans="1:40" ht="18" x14ac:dyDescent="0.35">
      <c r="A18" s="9">
        <v>45524</v>
      </c>
      <c r="B18" s="7" t="s">
        <v>20</v>
      </c>
      <c r="C18" s="7" t="str">
        <f t="shared" si="0"/>
        <v>45524C</v>
      </c>
      <c r="D18" s="7" t="s">
        <v>292</v>
      </c>
      <c r="E18" s="7">
        <v>13.98</v>
      </c>
      <c r="F18" s="10">
        <v>27.93</v>
      </c>
      <c r="G18" s="7" t="s">
        <v>214</v>
      </c>
      <c r="H18" s="7">
        <v>0</v>
      </c>
      <c r="I18" s="7"/>
      <c r="J18" s="7" t="s">
        <v>293</v>
      </c>
      <c r="K18" s="7">
        <v>91.96</v>
      </c>
      <c r="L18" s="11">
        <v>3.33</v>
      </c>
      <c r="M18" s="7" t="s">
        <v>294</v>
      </c>
      <c r="N18" s="7">
        <v>8.11</v>
      </c>
      <c r="O18" s="11">
        <v>1.75</v>
      </c>
      <c r="P18" s="11">
        <v>0.49</v>
      </c>
      <c r="Q18" s="7" t="s">
        <v>273</v>
      </c>
      <c r="R18" s="7">
        <v>37.71</v>
      </c>
      <c r="S18" s="11">
        <v>1.74</v>
      </c>
      <c r="T18" s="11">
        <v>2.75</v>
      </c>
      <c r="U18" s="7" t="s">
        <v>241</v>
      </c>
      <c r="V18" s="7">
        <v>26.22</v>
      </c>
      <c r="W18" s="11">
        <v>0.71</v>
      </c>
      <c r="X18" s="11">
        <v>0.03</v>
      </c>
      <c r="Y18" s="7" t="s">
        <v>295</v>
      </c>
      <c r="Z18" s="7">
        <v>56.43</v>
      </c>
      <c r="AA18" s="11">
        <v>0.26</v>
      </c>
      <c r="AB18" s="11">
        <v>2.46</v>
      </c>
      <c r="AC18" s="7" t="s">
        <v>296</v>
      </c>
      <c r="AD18" s="7">
        <v>3.65</v>
      </c>
      <c r="AE18" s="11">
        <v>6.64</v>
      </c>
      <c r="AF18" s="11">
        <v>4.1900000000000004</v>
      </c>
      <c r="AG18" s="7" t="s">
        <v>297</v>
      </c>
      <c r="AH18" s="7">
        <v>3.25</v>
      </c>
      <c r="AI18" s="11">
        <v>1.51</v>
      </c>
      <c r="AJ18" s="11">
        <v>4.41</v>
      </c>
      <c r="AK18" s="7" t="s">
        <v>298</v>
      </c>
      <c r="AL18" s="7">
        <v>147.57</v>
      </c>
      <c r="AM18" s="11">
        <v>1.22</v>
      </c>
      <c r="AN18" s="11">
        <v>3.06</v>
      </c>
    </row>
    <row r="19" spans="1:40" x14ac:dyDescent="0.3">
      <c r="A19" s="9">
        <v>45525</v>
      </c>
      <c r="B19" s="7" t="s">
        <v>21</v>
      </c>
      <c r="C19" s="7" t="str">
        <f t="shared" si="0"/>
        <v>45525A</v>
      </c>
      <c r="D19" s="7" t="s">
        <v>299</v>
      </c>
      <c r="E19" s="7">
        <v>21.47</v>
      </c>
      <c r="F19" s="10">
        <v>44.09</v>
      </c>
      <c r="G19" s="7" t="s">
        <v>214</v>
      </c>
      <c r="H19" s="7">
        <v>0</v>
      </c>
      <c r="I19" s="7"/>
      <c r="J19" s="7" t="s">
        <v>300</v>
      </c>
      <c r="K19" s="7">
        <v>114.27</v>
      </c>
      <c r="L19" s="10">
        <v>65.099999999999994</v>
      </c>
      <c r="M19" s="7" t="s">
        <v>301</v>
      </c>
      <c r="N19" s="7">
        <v>7.9</v>
      </c>
      <c r="O19" s="11">
        <v>0.62</v>
      </c>
      <c r="P19" s="10">
        <v>3.06</v>
      </c>
      <c r="Q19" s="7" t="s">
        <v>302</v>
      </c>
      <c r="R19" s="7">
        <v>37.67</v>
      </c>
      <c r="S19" s="11">
        <v>1.79</v>
      </c>
      <c r="T19" s="11">
        <v>2.86</v>
      </c>
      <c r="U19" s="7" t="s">
        <v>303</v>
      </c>
      <c r="V19" s="7">
        <v>25.9</v>
      </c>
      <c r="W19" s="11">
        <v>2.63</v>
      </c>
      <c r="X19" s="11">
        <v>1.18</v>
      </c>
      <c r="Y19" s="7" t="s">
        <v>304</v>
      </c>
      <c r="Z19" s="12">
        <v>55.79</v>
      </c>
      <c r="AA19" s="11">
        <v>0.83</v>
      </c>
      <c r="AB19" s="11">
        <v>1.3</v>
      </c>
      <c r="AC19" s="7" t="s">
        <v>220</v>
      </c>
      <c r="AD19" s="7">
        <v>3.65</v>
      </c>
      <c r="AE19" s="11">
        <v>2.14</v>
      </c>
      <c r="AF19" s="11">
        <v>4.1900000000000004</v>
      </c>
      <c r="AG19" s="7" t="s">
        <v>170</v>
      </c>
      <c r="AH19" s="7">
        <v>3.32</v>
      </c>
      <c r="AI19" s="11">
        <v>0.59</v>
      </c>
      <c r="AJ19" s="11">
        <v>2.35</v>
      </c>
      <c r="AK19" s="7" t="s">
        <v>305</v>
      </c>
      <c r="AL19" s="7">
        <v>142.33000000000001</v>
      </c>
      <c r="AM19" s="11">
        <v>4.4000000000000004</v>
      </c>
      <c r="AN19" s="11">
        <v>6.5</v>
      </c>
    </row>
    <row r="20" spans="1:40" x14ac:dyDescent="0.3">
      <c r="A20" s="9">
        <v>45525</v>
      </c>
      <c r="B20" s="7" t="s">
        <v>19</v>
      </c>
      <c r="C20" s="7" t="str">
        <f t="shared" si="0"/>
        <v>45525B</v>
      </c>
      <c r="D20" s="7" t="s">
        <v>306</v>
      </c>
      <c r="E20" s="7">
        <v>20.350000000000001</v>
      </c>
      <c r="F20" s="11">
        <v>0.63</v>
      </c>
      <c r="G20" s="7" t="s">
        <v>214</v>
      </c>
      <c r="H20" s="7">
        <v>0</v>
      </c>
      <c r="I20" s="7"/>
      <c r="J20" s="7" t="s">
        <v>307</v>
      </c>
      <c r="K20" s="7">
        <v>63.12</v>
      </c>
      <c r="L20" s="10">
        <v>27.62</v>
      </c>
      <c r="M20" s="7" t="s">
        <v>103</v>
      </c>
      <c r="N20" s="7">
        <v>7.96</v>
      </c>
      <c r="O20" s="11">
        <v>2.33</v>
      </c>
      <c r="P20" s="11">
        <v>2.33</v>
      </c>
      <c r="Q20" s="7" t="s">
        <v>308</v>
      </c>
      <c r="R20" s="7">
        <v>38</v>
      </c>
      <c r="S20" s="11">
        <v>2.56</v>
      </c>
      <c r="T20" s="11">
        <v>2.0099999999999998</v>
      </c>
      <c r="U20" s="7" t="s">
        <v>167</v>
      </c>
      <c r="V20" s="7">
        <v>26.9</v>
      </c>
      <c r="W20" s="11">
        <v>1.28</v>
      </c>
      <c r="X20" s="11">
        <v>2.63</v>
      </c>
      <c r="Y20" s="7" t="s">
        <v>309</v>
      </c>
      <c r="Z20" s="7">
        <v>55.09</v>
      </c>
      <c r="AA20" s="11">
        <v>1.1399999999999999</v>
      </c>
      <c r="AB20" s="11">
        <v>0.03</v>
      </c>
      <c r="AC20" s="7" t="s">
        <v>220</v>
      </c>
      <c r="AD20" s="7">
        <v>3.65</v>
      </c>
      <c r="AE20" s="11">
        <v>2.14</v>
      </c>
      <c r="AF20" s="11">
        <v>4.1900000000000004</v>
      </c>
      <c r="AG20" s="7" t="s">
        <v>310</v>
      </c>
      <c r="AH20" s="7">
        <v>3.41</v>
      </c>
      <c r="AI20" s="11">
        <v>0.88</v>
      </c>
      <c r="AJ20" s="11">
        <v>0.28999999999999998</v>
      </c>
      <c r="AK20" s="7" t="s">
        <v>311</v>
      </c>
      <c r="AL20" s="7">
        <v>139</v>
      </c>
      <c r="AM20" s="11">
        <v>7.35</v>
      </c>
      <c r="AN20" s="11">
        <v>8.69</v>
      </c>
    </row>
    <row r="21" spans="1:40" x14ac:dyDescent="0.3">
      <c r="A21" s="9">
        <v>45525</v>
      </c>
      <c r="B21" s="7" t="s">
        <v>20</v>
      </c>
      <c r="C21" s="7" t="str">
        <f t="shared" si="0"/>
        <v>45525C</v>
      </c>
      <c r="D21" s="7" t="s">
        <v>312</v>
      </c>
      <c r="E21" s="7">
        <v>16.21</v>
      </c>
      <c r="F21" s="10">
        <v>43.32</v>
      </c>
      <c r="G21" s="7" t="s">
        <v>214</v>
      </c>
      <c r="H21" s="7">
        <v>0</v>
      </c>
      <c r="I21" s="7"/>
      <c r="J21" s="7" t="s">
        <v>313</v>
      </c>
      <c r="K21" s="7">
        <v>73.64</v>
      </c>
      <c r="L21" s="11">
        <v>7.91</v>
      </c>
      <c r="M21" s="7" t="s">
        <v>314</v>
      </c>
      <c r="N21" s="7">
        <v>8.3000000000000007</v>
      </c>
      <c r="O21" s="11">
        <v>2.59</v>
      </c>
      <c r="P21" s="11">
        <v>1.84</v>
      </c>
      <c r="Q21" s="7" t="s">
        <v>315</v>
      </c>
      <c r="R21" s="7">
        <v>38.5</v>
      </c>
      <c r="S21" s="11">
        <v>0.77</v>
      </c>
      <c r="T21" s="11">
        <v>0.72</v>
      </c>
      <c r="U21" s="7" t="s">
        <v>316</v>
      </c>
      <c r="V21" s="7">
        <v>26.5</v>
      </c>
      <c r="W21" s="11">
        <v>0.63</v>
      </c>
      <c r="X21" s="11">
        <v>1.1000000000000001</v>
      </c>
      <c r="Y21" s="7" t="s">
        <v>317</v>
      </c>
      <c r="Z21" s="7">
        <v>55.08</v>
      </c>
      <c r="AA21" s="11">
        <v>0.39</v>
      </c>
      <c r="AB21" s="11">
        <v>0.01</v>
      </c>
      <c r="AC21" s="7" t="s">
        <v>262</v>
      </c>
      <c r="AD21" s="7">
        <v>3.65</v>
      </c>
      <c r="AE21" s="11">
        <v>3.18</v>
      </c>
      <c r="AF21" s="11">
        <v>4.1900000000000004</v>
      </c>
      <c r="AG21" s="7" t="s">
        <v>184</v>
      </c>
      <c r="AH21" s="7">
        <v>3.43</v>
      </c>
      <c r="AI21" s="11">
        <v>0.88</v>
      </c>
      <c r="AJ21" s="11">
        <v>0.88</v>
      </c>
      <c r="AK21" s="7" t="s">
        <v>318</v>
      </c>
      <c r="AL21" s="7">
        <v>147.5</v>
      </c>
      <c r="AM21" s="11">
        <v>0.04</v>
      </c>
      <c r="AN21" s="11">
        <v>3.1</v>
      </c>
    </row>
    <row r="22" spans="1:40" x14ac:dyDescent="0.3">
      <c r="A22" s="9">
        <v>45526</v>
      </c>
      <c r="B22" s="7" t="s">
        <v>21</v>
      </c>
      <c r="C22" s="7" t="str">
        <f t="shared" si="0"/>
        <v>45526A</v>
      </c>
      <c r="D22" s="7" t="s">
        <v>213</v>
      </c>
      <c r="E22" s="7">
        <v>21.21</v>
      </c>
      <c r="F22" s="10">
        <v>87.03</v>
      </c>
      <c r="G22" s="7" t="s">
        <v>214</v>
      </c>
      <c r="H22" s="7">
        <v>0</v>
      </c>
      <c r="I22" s="7"/>
      <c r="J22" s="7" t="s">
        <v>319</v>
      </c>
      <c r="K22" s="7">
        <v>79.739999999999995</v>
      </c>
      <c r="L22" s="11">
        <v>13.2</v>
      </c>
      <c r="M22" s="7" t="s">
        <v>320</v>
      </c>
      <c r="N22" s="7">
        <v>7.85</v>
      </c>
      <c r="O22" s="10">
        <v>4.1500000000000004</v>
      </c>
      <c r="P22" s="10">
        <v>3.68</v>
      </c>
      <c r="Q22" s="7" t="s">
        <v>321</v>
      </c>
      <c r="R22" s="7">
        <v>39.33</v>
      </c>
      <c r="S22" s="11">
        <v>1.49</v>
      </c>
      <c r="T22" s="11">
        <v>1.41</v>
      </c>
      <c r="U22" s="7" t="s">
        <v>322</v>
      </c>
      <c r="V22" s="7">
        <v>25</v>
      </c>
      <c r="W22" s="10">
        <v>5.51</v>
      </c>
      <c r="X22" s="11">
        <v>4.6100000000000003</v>
      </c>
      <c r="Y22" s="7" t="s">
        <v>197</v>
      </c>
      <c r="Z22" s="7">
        <v>55.08</v>
      </c>
      <c r="AA22" s="11">
        <v>0.25</v>
      </c>
      <c r="AB22" s="11">
        <v>0.01</v>
      </c>
      <c r="AC22" s="7" t="s">
        <v>198</v>
      </c>
      <c r="AD22" s="7">
        <v>3.65</v>
      </c>
      <c r="AE22" s="11">
        <v>2.92</v>
      </c>
      <c r="AF22" s="11">
        <v>4.1900000000000004</v>
      </c>
      <c r="AG22" s="7" t="s">
        <v>323</v>
      </c>
      <c r="AH22" s="7">
        <v>3.37</v>
      </c>
      <c r="AI22" s="11">
        <v>1.17</v>
      </c>
      <c r="AJ22" s="11">
        <v>0.88</v>
      </c>
      <c r="AK22" s="7" t="s">
        <v>324</v>
      </c>
      <c r="AL22" s="7">
        <v>147.33000000000001</v>
      </c>
      <c r="AM22" s="11">
        <v>1.1200000000000001</v>
      </c>
      <c r="AN22" s="11">
        <v>3.21</v>
      </c>
    </row>
    <row r="23" spans="1:40" ht="18" x14ac:dyDescent="0.35">
      <c r="A23" s="9">
        <v>45526</v>
      </c>
      <c r="B23" s="7" t="s">
        <v>19</v>
      </c>
      <c r="C23" s="7" t="str">
        <f t="shared" si="0"/>
        <v>45526B</v>
      </c>
      <c r="D23" s="7" t="s">
        <v>325</v>
      </c>
      <c r="E23" s="7">
        <v>19.45</v>
      </c>
      <c r="F23" s="10">
        <v>30.71</v>
      </c>
      <c r="G23" s="7" t="s">
        <v>214</v>
      </c>
      <c r="H23" s="7">
        <v>0</v>
      </c>
      <c r="I23" s="7"/>
      <c r="J23" s="7" t="s">
        <v>326</v>
      </c>
      <c r="K23" s="7">
        <v>67.91</v>
      </c>
      <c r="L23" s="11">
        <v>1.76</v>
      </c>
      <c r="M23" s="7" t="s">
        <v>327</v>
      </c>
      <c r="N23" s="7">
        <v>7.98</v>
      </c>
      <c r="O23" s="11">
        <v>0.74</v>
      </c>
      <c r="P23" s="11">
        <v>2.08</v>
      </c>
      <c r="Q23" s="7" t="s">
        <v>328</v>
      </c>
      <c r="R23" s="13">
        <v>36</v>
      </c>
      <c r="S23" s="10">
        <v>7.45</v>
      </c>
      <c r="T23" s="10">
        <v>7.16</v>
      </c>
      <c r="U23" s="7" t="s">
        <v>329</v>
      </c>
      <c r="V23" s="7">
        <v>27.9</v>
      </c>
      <c r="W23" s="10">
        <v>5.48</v>
      </c>
      <c r="X23" s="10">
        <v>6.44</v>
      </c>
      <c r="Y23" s="7" t="s">
        <v>254</v>
      </c>
      <c r="Z23" s="7">
        <v>55.88</v>
      </c>
      <c r="AA23" s="11">
        <v>1.17</v>
      </c>
      <c r="AB23" s="11">
        <v>1.47</v>
      </c>
      <c r="AC23" s="7" t="s">
        <v>75</v>
      </c>
      <c r="AD23" s="12">
        <v>3.84</v>
      </c>
      <c r="AE23" s="11">
        <v>1.05</v>
      </c>
      <c r="AF23" s="11">
        <v>0.78</v>
      </c>
      <c r="AG23" s="7" t="s">
        <v>323</v>
      </c>
      <c r="AH23" s="7">
        <v>3.42</v>
      </c>
      <c r="AI23" s="11">
        <v>0.28999999999999998</v>
      </c>
      <c r="AJ23" s="11">
        <v>0.57999999999999996</v>
      </c>
      <c r="AK23" s="7" t="s">
        <v>330</v>
      </c>
      <c r="AL23" s="7">
        <v>142</v>
      </c>
      <c r="AM23" s="11">
        <v>4.92</v>
      </c>
      <c r="AN23" s="11">
        <v>6.72</v>
      </c>
    </row>
    <row r="24" spans="1:40" x14ac:dyDescent="0.3">
      <c r="A24" s="9">
        <v>45526</v>
      </c>
      <c r="B24" s="7" t="s">
        <v>20</v>
      </c>
      <c r="C24" s="7" t="str">
        <f t="shared" si="0"/>
        <v>45526C</v>
      </c>
      <c r="D24" s="7" t="s">
        <v>331</v>
      </c>
      <c r="E24" s="7">
        <v>16.95</v>
      </c>
      <c r="F24" s="10">
        <v>49.6</v>
      </c>
      <c r="G24" s="7" t="s">
        <v>214</v>
      </c>
      <c r="H24" s="7">
        <v>0</v>
      </c>
      <c r="I24" s="7"/>
      <c r="J24" s="7" t="s">
        <v>332</v>
      </c>
      <c r="K24" s="7">
        <v>86.76</v>
      </c>
      <c r="L24" s="11">
        <v>2.16</v>
      </c>
      <c r="M24" s="7" t="s">
        <v>333</v>
      </c>
      <c r="N24" s="7">
        <v>8.5500000000000007</v>
      </c>
      <c r="O24" s="10">
        <v>4.6500000000000004</v>
      </c>
      <c r="P24" s="10">
        <v>4.9000000000000004</v>
      </c>
      <c r="Q24" s="7" t="s">
        <v>260</v>
      </c>
      <c r="R24" s="7">
        <v>38.67</v>
      </c>
      <c r="S24" s="11">
        <v>0.25</v>
      </c>
      <c r="T24" s="11">
        <v>0.28000000000000003</v>
      </c>
      <c r="U24" s="7" t="s">
        <v>247</v>
      </c>
      <c r="V24" s="7">
        <v>25.61</v>
      </c>
      <c r="W24" s="11">
        <v>3.46</v>
      </c>
      <c r="X24" s="11">
        <v>2.2799999999999998</v>
      </c>
      <c r="Y24" s="7" t="s">
        <v>334</v>
      </c>
      <c r="Z24" s="7">
        <v>55.24</v>
      </c>
      <c r="AA24" s="11">
        <v>0.61</v>
      </c>
      <c r="AB24" s="11">
        <v>0.3</v>
      </c>
      <c r="AC24" s="7" t="s">
        <v>126</v>
      </c>
      <c r="AD24" s="7">
        <v>3.84</v>
      </c>
      <c r="AE24" s="11">
        <v>2.29</v>
      </c>
      <c r="AF24" s="11">
        <v>0.78</v>
      </c>
      <c r="AG24" s="7" t="s">
        <v>323</v>
      </c>
      <c r="AH24" s="13">
        <v>3.59</v>
      </c>
      <c r="AI24" s="11">
        <v>5.27</v>
      </c>
      <c r="AJ24" s="11">
        <v>5.58</v>
      </c>
      <c r="AK24" s="7" t="s">
        <v>335</v>
      </c>
      <c r="AL24" s="7">
        <v>147.33000000000001</v>
      </c>
      <c r="AM24" s="11">
        <v>0.62</v>
      </c>
      <c r="AN24" s="11">
        <v>3.21</v>
      </c>
    </row>
    <row r="25" spans="1:40" x14ac:dyDescent="0.3">
      <c r="A25" s="9">
        <v>45530</v>
      </c>
      <c r="B25" s="7" t="s">
        <v>21</v>
      </c>
      <c r="C25" s="7" t="str">
        <f t="shared" si="0"/>
        <v>45530A</v>
      </c>
      <c r="D25" s="7" t="s">
        <v>213</v>
      </c>
      <c r="E25" s="7">
        <v>16.440000000000001</v>
      </c>
      <c r="F25" s="10">
        <v>44.97</v>
      </c>
      <c r="G25" s="7" t="s">
        <v>336</v>
      </c>
      <c r="H25" s="7">
        <v>17.75</v>
      </c>
      <c r="I25" s="10">
        <v>69.040000000000006</v>
      </c>
      <c r="J25" s="7" t="s">
        <v>337</v>
      </c>
      <c r="K25" s="7">
        <v>73.59</v>
      </c>
      <c r="L25" s="11">
        <v>13.1</v>
      </c>
      <c r="M25" s="7" t="s">
        <v>338</v>
      </c>
      <c r="N25" s="12">
        <v>8.41</v>
      </c>
      <c r="O25" s="11">
        <v>0</v>
      </c>
      <c r="P25" s="10">
        <v>3.19</v>
      </c>
      <c r="Q25" s="7" t="s">
        <v>339</v>
      </c>
      <c r="R25" s="12">
        <v>38.4</v>
      </c>
      <c r="S25" s="11">
        <v>0.64</v>
      </c>
      <c r="T25" s="11">
        <v>0.97</v>
      </c>
      <c r="U25" s="7" t="s">
        <v>340</v>
      </c>
      <c r="V25" s="12">
        <v>26.08</v>
      </c>
      <c r="W25" s="11">
        <v>0.34</v>
      </c>
      <c r="X25" s="11">
        <v>0.49</v>
      </c>
      <c r="Y25" s="7" t="s">
        <v>341</v>
      </c>
      <c r="Z25" s="12">
        <v>56.12</v>
      </c>
      <c r="AA25" s="11">
        <v>1.4</v>
      </c>
      <c r="AB25" s="11">
        <v>1.9</v>
      </c>
      <c r="AC25" s="7" t="s">
        <v>342</v>
      </c>
      <c r="AD25" s="12">
        <v>3.75</v>
      </c>
      <c r="AE25" s="11">
        <v>6.01</v>
      </c>
      <c r="AF25" s="11">
        <v>1.57</v>
      </c>
      <c r="AG25" s="7" t="s">
        <v>343</v>
      </c>
      <c r="AH25" s="14">
        <v>3.55</v>
      </c>
      <c r="AI25" s="11">
        <v>1.71</v>
      </c>
      <c r="AJ25" s="11">
        <v>4.41</v>
      </c>
      <c r="AK25" s="7" t="s">
        <v>344</v>
      </c>
      <c r="AL25" s="12">
        <v>134</v>
      </c>
      <c r="AM25" s="11">
        <v>8.48</v>
      </c>
      <c r="AN25" s="10">
        <v>11.97</v>
      </c>
    </row>
    <row r="26" spans="1:40" ht="18" x14ac:dyDescent="0.35">
      <c r="A26" s="9">
        <v>45530</v>
      </c>
      <c r="B26" s="7" t="s">
        <v>19</v>
      </c>
      <c r="C26" s="7" t="str">
        <f t="shared" si="0"/>
        <v>45530B</v>
      </c>
      <c r="D26" s="7" t="s">
        <v>257</v>
      </c>
      <c r="E26" s="7">
        <v>11.12</v>
      </c>
      <c r="F26" s="11">
        <v>2.02</v>
      </c>
      <c r="G26" s="7" t="s">
        <v>345</v>
      </c>
      <c r="H26" s="7">
        <v>9.81</v>
      </c>
      <c r="I26" s="11">
        <v>4.1399999999999997</v>
      </c>
      <c r="J26" s="7" t="s">
        <v>346</v>
      </c>
      <c r="K26" s="7">
        <v>80.28</v>
      </c>
      <c r="L26" s="11">
        <v>9.93</v>
      </c>
      <c r="M26" s="7" t="s">
        <v>347</v>
      </c>
      <c r="N26" s="7">
        <v>8.86</v>
      </c>
      <c r="O26" s="10">
        <v>3.86</v>
      </c>
      <c r="P26" s="10">
        <v>8.7100000000000009</v>
      </c>
      <c r="Q26" s="7" t="s">
        <v>348</v>
      </c>
      <c r="R26" s="7">
        <v>41</v>
      </c>
      <c r="S26" s="10">
        <v>5.37</v>
      </c>
      <c r="T26" s="10">
        <v>5.72</v>
      </c>
      <c r="U26" s="7" t="s">
        <v>349</v>
      </c>
      <c r="V26" s="7">
        <v>27.15</v>
      </c>
      <c r="W26" s="11">
        <v>2.41</v>
      </c>
      <c r="X26" s="11">
        <v>3.58</v>
      </c>
      <c r="Y26" s="7" t="s">
        <v>350</v>
      </c>
      <c r="Z26" s="7">
        <v>56.47</v>
      </c>
      <c r="AA26" s="11">
        <v>0.49</v>
      </c>
      <c r="AB26" s="11">
        <v>2.54</v>
      </c>
      <c r="AC26" s="7" t="s">
        <v>126</v>
      </c>
      <c r="AD26" s="7">
        <v>4.29</v>
      </c>
      <c r="AE26" s="10">
        <v>9.16</v>
      </c>
      <c r="AF26" s="10">
        <v>12.59</v>
      </c>
      <c r="AG26" s="13" t="s">
        <v>351</v>
      </c>
      <c r="AH26" s="13">
        <v>3.68</v>
      </c>
      <c r="AI26" s="11">
        <v>4.54</v>
      </c>
      <c r="AJ26" s="10">
        <v>8.23</v>
      </c>
      <c r="AK26" s="7" t="s">
        <v>352</v>
      </c>
      <c r="AL26" s="7">
        <v>145.5</v>
      </c>
      <c r="AM26" s="11">
        <v>1.94</v>
      </c>
      <c r="AN26" s="11">
        <v>4.42</v>
      </c>
    </row>
    <row r="27" spans="1:40" ht="18" x14ac:dyDescent="0.35">
      <c r="A27" s="9">
        <v>45530</v>
      </c>
      <c r="B27" s="7" t="s">
        <v>20</v>
      </c>
      <c r="C27" s="7" t="str">
        <f t="shared" si="0"/>
        <v>45530C</v>
      </c>
      <c r="D27" s="7" t="s">
        <v>353</v>
      </c>
      <c r="E27" s="7">
        <v>9.32</v>
      </c>
      <c r="F27" s="10">
        <v>18.38</v>
      </c>
      <c r="G27" s="7" t="s">
        <v>354</v>
      </c>
      <c r="H27" s="7">
        <v>11.4</v>
      </c>
      <c r="I27" s="10">
        <v>36.729999999999997</v>
      </c>
      <c r="J27" s="7" t="s">
        <v>355</v>
      </c>
      <c r="K27" s="7">
        <v>87.47</v>
      </c>
      <c r="L27" s="11">
        <v>21.53</v>
      </c>
      <c r="M27" s="7" t="s">
        <v>356</v>
      </c>
      <c r="N27" s="7">
        <v>8.5</v>
      </c>
      <c r="O27" s="11">
        <v>2.96</v>
      </c>
      <c r="P27" s="10">
        <v>4.29</v>
      </c>
      <c r="Q27" s="7" t="s">
        <v>357</v>
      </c>
      <c r="R27" s="7">
        <v>38.33</v>
      </c>
      <c r="S27" s="11">
        <v>0.02</v>
      </c>
      <c r="T27" s="11">
        <v>1.1599999999999999</v>
      </c>
      <c r="U27" s="7" t="s">
        <v>358</v>
      </c>
      <c r="V27" s="7">
        <v>25.75</v>
      </c>
      <c r="W27" s="11">
        <v>2.12</v>
      </c>
      <c r="X27" s="11">
        <v>1.75</v>
      </c>
      <c r="Y27" s="7" t="s">
        <v>359</v>
      </c>
      <c r="Z27" s="7">
        <v>56.46</v>
      </c>
      <c r="AA27" s="11">
        <v>7.0000000000000007E-2</v>
      </c>
      <c r="AB27" s="11">
        <v>2.52</v>
      </c>
      <c r="AC27" s="7" t="s">
        <v>360</v>
      </c>
      <c r="AD27" s="7">
        <v>4.29</v>
      </c>
      <c r="AE27" s="11">
        <v>0.46</v>
      </c>
      <c r="AF27" s="10">
        <v>12.59</v>
      </c>
      <c r="AG27" s="13" t="s">
        <v>361</v>
      </c>
      <c r="AH27" s="13">
        <v>3.58</v>
      </c>
      <c r="AI27" s="11">
        <v>1.99</v>
      </c>
      <c r="AJ27" s="11">
        <v>5.29</v>
      </c>
      <c r="AK27" s="7" t="s">
        <v>362</v>
      </c>
      <c r="AL27" s="7">
        <v>144.83000000000001</v>
      </c>
      <c r="AM27" s="11">
        <v>1.41</v>
      </c>
      <c r="AN27" s="11">
        <v>4.8600000000000003</v>
      </c>
    </row>
    <row r="28" spans="1:40" x14ac:dyDescent="0.3">
      <c r="A28" s="9">
        <v>45531</v>
      </c>
      <c r="B28" s="7" t="s">
        <v>21</v>
      </c>
      <c r="C28" s="7" t="str">
        <f t="shared" si="0"/>
        <v>45531A</v>
      </c>
      <c r="D28" s="7" t="s">
        <v>278</v>
      </c>
      <c r="E28" s="7">
        <v>15.69</v>
      </c>
      <c r="F28" s="10">
        <v>37.99</v>
      </c>
      <c r="G28" s="7" t="s">
        <v>363</v>
      </c>
      <c r="H28" s="7">
        <v>17.27</v>
      </c>
      <c r="I28" s="11">
        <v>3.73</v>
      </c>
      <c r="J28" s="7" t="s">
        <v>364</v>
      </c>
      <c r="K28" s="7">
        <v>107.54</v>
      </c>
      <c r="L28" s="11">
        <v>21.78</v>
      </c>
      <c r="M28" s="7" t="s">
        <v>365</v>
      </c>
      <c r="N28" s="12">
        <v>8.4</v>
      </c>
      <c r="O28" s="11">
        <v>0.47</v>
      </c>
      <c r="P28" s="10">
        <v>3.06</v>
      </c>
      <c r="Q28" s="7" t="s">
        <v>366</v>
      </c>
      <c r="R28" s="13">
        <v>36</v>
      </c>
      <c r="S28" s="10">
        <v>6.39</v>
      </c>
      <c r="T28" s="10">
        <v>7.16</v>
      </c>
      <c r="U28" s="7" t="s">
        <v>133</v>
      </c>
      <c r="V28" s="7">
        <v>25.46</v>
      </c>
      <c r="W28" s="11">
        <v>2.37</v>
      </c>
      <c r="X28" s="11">
        <v>2.86</v>
      </c>
      <c r="Y28" s="7" t="s">
        <v>359</v>
      </c>
      <c r="Z28" s="12">
        <v>57.09</v>
      </c>
      <c r="AA28" s="11">
        <v>1.18</v>
      </c>
      <c r="AB28" s="11">
        <v>3.66</v>
      </c>
      <c r="AC28" s="7" t="s">
        <v>367</v>
      </c>
      <c r="AD28" s="12">
        <v>4.29</v>
      </c>
      <c r="AE28" s="11">
        <v>0.7</v>
      </c>
      <c r="AF28" s="10">
        <v>12.59</v>
      </c>
      <c r="AG28" s="7" t="s">
        <v>120</v>
      </c>
      <c r="AH28" s="7">
        <v>3.2</v>
      </c>
      <c r="AI28" s="10">
        <v>7.78</v>
      </c>
      <c r="AJ28" s="11">
        <v>5.88</v>
      </c>
      <c r="AK28" s="7" t="s">
        <v>368</v>
      </c>
      <c r="AL28" s="13">
        <v>121</v>
      </c>
      <c r="AM28" s="10">
        <v>16.22</v>
      </c>
      <c r="AN28" s="10">
        <v>20.51</v>
      </c>
    </row>
    <row r="29" spans="1:40" x14ac:dyDescent="0.3">
      <c r="A29" s="9">
        <v>45531</v>
      </c>
      <c r="B29" s="7" t="s">
        <v>19</v>
      </c>
      <c r="C29" s="7" t="str">
        <f t="shared" si="0"/>
        <v>45531B</v>
      </c>
      <c r="D29" s="7" t="s">
        <v>369</v>
      </c>
      <c r="E29" s="7">
        <v>14.72</v>
      </c>
      <c r="F29" s="10">
        <v>30.03</v>
      </c>
      <c r="G29" s="7" t="s">
        <v>370</v>
      </c>
      <c r="H29" s="7">
        <v>17.649999999999999</v>
      </c>
      <c r="I29" s="10">
        <v>140.79</v>
      </c>
      <c r="J29" s="7" t="s">
        <v>371</v>
      </c>
      <c r="K29" s="7">
        <v>75.78</v>
      </c>
      <c r="L29" s="11">
        <v>0.85</v>
      </c>
      <c r="M29" s="7" t="s">
        <v>320</v>
      </c>
      <c r="N29" s="7">
        <v>8.4499999999999993</v>
      </c>
      <c r="O29" s="10">
        <v>3.17</v>
      </c>
      <c r="P29" s="10">
        <v>3.68</v>
      </c>
      <c r="Q29" s="7" t="s">
        <v>217</v>
      </c>
      <c r="R29" s="7">
        <v>37.799999999999997</v>
      </c>
      <c r="S29" s="11">
        <v>2.04</v>
      </c>
      <c r="T29" s="11">
        <v>2.52</v>
      </c>
      <c r="U29" s="7" t="s">
        <v>372</v>
      </c>
      <c r="V29" s="7">
        <v>27.46</v>
      </c>
      <c r="W29" s="11">
        <v>3.74</v>
      </c>
      <c r="X29" s="11">
        <v>4.76</v>
      </c>
      <c r="Y29" s="7" t="s">
        <v>373</v>
      </c>
      <c r="Z29" s="13">
        <v>57.78</v>
      </c>
      <c r="AA29" s="11">
        <v>1.26</v>
      </c>
      <c r="AB29" s="11">
        <v>4.92</v>
      </c>
      <c r="AC29" s="7" t="s">
        <v>367</v>
      </c>
      <c r="AD29" s="7">
        <v>4.29</v>
      </c>
      <c r="AE29" s="11">
        <v>0.7</v>
      </c>
      <c r="AF29" s="10">
        <v>12.59</v>
      </c>
      <c r="AG29" s="7" t="s">
        <v>113</v>
      </c>
      <c r="AH29" s="7">
        <v>3.38</v>
      </c>
      <c r="AI29" s="11">
        <v>2.02</v>
      </c>
      <c r="AJ29" s="11">
        <v>0.57999999999999996</v>
      </c>
      <c r="AK29" s="7" t="s">
        <v>374</v>
      </c>
      <c r="AL29" s="7">
        <v>144</v>
      </c>
      <c r="AM29" s="11">
        <v>1.24</v>
      </c>
      <c r="AN29" s="11">
        <v>5.4</v>
      </c>
    </row>
    <row r="30" spans="1:40" x14ac:dyDescent="0.3">
      <c r="A30" s="9">
        <v>45531</v>
      </c>
      <c r="B30" s="7" t="s">
        <v>20</v>
      </c>
      <c r="C30" s="7" t="str">
        <f t="shared" si="0"/>
        <v>45531C</v>
      </c>
      <c r="D30" s="7" t="s">
        <v>375</v>
      </c>
      <c r="E30" s="7">
        <v>13.62</v>
      </c>
      <c r="F30" s="10">
        <v>12.09</v>
      </c>
      <c r="G30" s="7" t="s">
        <v>214</v>
      </c>
      <c r="H30" s="7">
        <v>12.74</v>
      </c>
      <c r="I30" s="7"/>
      <c r="J30" s="7" t="s">
        <v>376</v>
      </c>
      <c r="K30" s="7">
        <v>98.94</v>
      </c>
      <c r="L30" s="11">
        <v>1.64</v>
      </c>
      <c r="M30" s="7" t="s">
        <v>103</v>
      </c>
      <c r="N30" s="7">
        <v>8.32</v>
      </c>
      <c r="O30" s="11">
        <v>2.08</v>
      </c>
      <c r="P30" s="11">
        <v>2.08</v>
      </c>
      <c r="Q30" s="7" t="s">
        <v>377</v>
      </c>
      <c r="R30" s="7">
        <v>38.43</v>
      </c>
      <c r="S30" s="11">
        <v>0.33</v>
      </c>
      <c r="T30" s="11">
        <v>0.9</v>
      </c>
      <c r="U30" s="7" t="s">
        <v>378</v>
      </c>
      <c r="V30" s="7">
        <v>26.34</v>
      </c>
      <c r="W30" s="11">
        <v>7.0000000000000007E-2</v>
      </c>
      <c r="X30" s="11">
        <v>0.49</v>
      </c>
      <c r="Y30" s="13" t="s">
        <v>379</v>
      </c>
      <c r="Z30" s="13">
        <v>57.78</v>
      </c>
      <c r="AA30" s="11">
        <v>0.53</v>
      </c>
      <c r="AB30" s="11">
        <v>4.92</v>
      </c>
      <c r="AC30" s="7" t="s">
        <v>380</v>
      </c>
      <c r="AD30" s="7">
        <v>4.29</v>
      </c>
      <c r="AE30" s="11">
        <v>3.12</v>
      </c>
      <c r="AF30" s="10">
        <v>12.59</v>
      </c>
      <c r="AG30" s="7" t="s">
        <v>136</v>
      </c>
      <c r="AH30" s="7">
        <v>3.41</v>
      </c>
      <c r="AI30" s="11">
        <v>1.18</v>
      </c>
      <c r="AJ30" s="11">
        <v>0.28999999999999998</v>
      </c>
      <c r="AK30" s="7" t="s">
        <v>381</v>
      </c>
      <c r="AL30" s="7">
        <v>144.71</v>
      </c>
      <c r="AM30" s="11">
        <v>1.06</v>
      </c>
      <c r="AN30" s="11">
        <v>4.93</v>
      </c>
    </row>
    <row r="31" spans="1:40" x14ac:dyDescent="0.3">
      <c r="A31" s="9">
        <v>45532</v>
      </c>
      <c r="B31" s="7" t="s">
        <v>21</v>
      </c>
      <c r="C31" s="7" t="str">
        <f t="shared" si="0"/>
        <v>45532A</v>
      </c>
      <c r="D31" s="7" t="s">
        <v>382</v>
      </c>
      <c r="E31" s="7">
        <v>19.82</v>
      </c>
      <c r="F31" s="10">
        <v>66.83</v>
      </c>
      <c r="G31" s="7" t="s">
        <v>214</v>
      </c>
      <c r="H31" s="7">
        <v>17.04</v>
      </c>
      <c r="I31" s="7"/>
      <c r="J31" s="7" t="s">
        <v>383</v>
      </c>
      <c r="K31" s="7">
        <v>86.19</v>
      </c>
      <c r="L31" s="11">
        <v>11.76</v>
      </c>
      <c r="M31" s="7" t="s">
        <v>149</v>
      </c>
      <c r="N31" s="7">
        <v>8.33</v>
      </c>
      <c r="O31" s="11">
        <v>2.33</v>
      </c>
      <c r="P31" s="11">
        <v>2.2000000000000002</v>
      </c>
      <c r="Q31" s="7" t="s">
        <v>384</v>
      </c>
      <c r="R31" s="7">
        <v>38</v>
      </c>
      <c r="S31" s="11">
        <v>1.17</v>
      </c>
      <c r="T31" s="11">
        <v>2.0099999999999998</v>
      </c>
      <c r="U31" s="7" t="s">
        <v>117</v>
      </c>
      <c r="V31" s="7">
        <v>25.6</v>
      </c>
      <c r="W31" s="11">
        <v>2.4700000000000002</v>
      </c>
      <c r="X31" s="11">
        <v>2.3199999999999998</v>
      </c>
      <c r="Y31" s="13" t="s">
        <v>385</v>
      </c>
      <c r="Z31" s="12">
        <v>56.04</v>
      </c>
      <c r="AA31" s="11">
        <v>2.5</v>
      </c>
      <c r="AB31" s="11">
        <v>1.76</v>
      </c>
      <c r="AC31" s="7" t="s">
        <v>386</v>
      </c>
      <c r="AD31" s="12">
        <v>4.0199999999999996</v>
      </c>
      <c r="AE31" s="11">
        <v>5.18</v>
      </c>
      <c r="AF31" s="11">
        <v>5.51</v>
      </c>
      <c r="AG31" s="7" t="s">
        <v>323</v>
      </c>
      <c r="AH31" s="7">
        <v>3.41</v>
      </c>
      <c r="AI31" s="11">
        <v>0</v>
      </c>
      <c r="AJ31" s="11">
        <v>0.28999999999999998</v>
      </c>
      <c r="AK31" s="7" t="s">
        <v>387</v>
      </c>
      <c r="AL31" s="7">
        <v>139.33000000000001</v>
      </c>
      <c r="AM31" s="11">
        <v>4.28</v>
      </c>
      <c r="AN31" s="11">
        <v>8.4700000000000006</v>
      </c>
    </row>
    <row r="32" spans="1:40" x14ac:dyDescent="0.3">
      <c r="A32" s="9">
        <v>45532</v>
      </c>
      <c r="B32" s="7" t="s">
        <v>19</v>
      </c>
      <c r="C32" s="7" t="str">
        <f t="shared" si="0"/>
        <v>45532B</v>
      </c>
      <c r="D32" s="7" t="s">
        <v>312</v>
      </c>
      <c r="E32" s="7">
        <v>20.47</v>
      </c>
      <c r="F32" s="10">
        <v>80.989999999999995</v>
      </c>
      <c r="G32" s="7" t="s">
        <v>214</v>
      </c>
      <c r="H32" s="7">
        <v>16.440000000000001</v>
      </c>
      <c r="I32" s="7"/>
      <c r="J32" s="7" t="s">
        <v>388</v>
      </c>
      <c r="K32" s="7">
        <v>92.98</v>
      </c>
      <c r="L32" s="11">
        <v>17.100000000000001</v>
      </c>
      <c r="M32" s="7" t="s">
        <v>333</v>
      </c>
      <c r="N32" s="12">
        <v>8.36</v>
      </c>
      <c r="O32" s="11">
        <v>2.3199999999999998</v>
      </c>
      <c r="P32" s="11">
        <v>2.57</v>
      </c>
      <c r="Q32" s="7" t="s">
        <v>252</v>
      </c>
      <c r="R32" s="7">
        <v>39</v>
      </c>
      <c r="S32" s="11">
        <v>0.74</v>
      </c>
      <c r="T32" s="11">
        <v>0.56000000000000005</v>
      </c>
      <c r="U32" s="7" t="s">
        <v>274</v>
      </c>
      <c r="V32" s="7">
        <v>26.6</v>
      </c>
      <c r="W32" s="11">
        <v>0.11</v>
      </c>
      <c r="X32" s="11">
        <v>1.48</v>
      </c>
      <c r="Y32" s="7" t="s">
        <v>389</v>
      </c>
      <c r="Z32" s="7">
        <v>56.03</v>
      </c>
      <c r="AA32" s="11">
        <v>0.17</v>
      </c>
      <c r="AB32" s="11">
        <v>1.74</v>
      </c>
      <c r="AC32" s="7" t="s">
        <v>390</v>
      </c>
      <c r="AD32" s="12">
        <v>4.0199999999999996</v>
      </c>
      <c r="AE32" s="11">
        <v>1.22</v>
      </c>
      <c r="AF32" s="11">
        <v>5.51</v>
      </c>
      <c r="AG32" s="7" t="s">
        <v>127</v>
      </c>
      <c r="AH32" s="13">
        <v>3.52</v>
      </c>
      <c r="AI32" s="11">
        <v>2.62</v>
      </c>
      <c r="AJ32" s="11">
        <v>3.52</v>
      </c>
      <c r="AK32" s="7" t="s">
        <v>391</v>
      </c>
      <c r="AL32" s="7">
        <v>145</v>
      </c>
      <c r="AM32" s="11">
        <v>0.65</v>
      </c>
      <c r="AN32" s="11">
        <v>4.74</v>
      </c>
    </row>
    <row r="33" spans="1:40" x14ac:dyDescent="0.3">
      <c r="A33" s="9">
        <v>45532</v>
      </c>
      <c r="B33" s="7" t="s">
        <v>20</v>
      </c>
      <c r="C33" s="7" t="str">
        <f t="shared" si="0"/>
        <v>45532C</v>
      </c>
      <c r="D33" s="7" t="s">
        <v>392</v>
      </c>
      <c r="E33" s="7">
        <v>14.23</v>
      </c>
      <c r="F33" s="10">
        <v>24.71</v>
      </c>
      <c r="G33" s="7" t="s">
        <v>393</v>
      </c>
      <c r="H33" s="7">
        <v>17.190000000000001</v>
      </c>
      <c r="I33" s="11">
        <v>6.24</v>
      </c>
      <c r="J33" s="7" t="s">
        <v>394</v>
      </c>
      <c r="K33" s="7">
        <v>63.25</v>
      </c>
      <c r="L33" s="10">
        <v>43.24</v>
      </c>
      <c r="M33" s="7" t="s">
        <v>216</v>
      </c>
      <c r="N33" s="7">
        <v>9</v>
      </c>
      <c r="O33" s="10">
        <v>8.56</v>
      </c>
      <c r="P33" s="10">
        <v>10.42</v>
      </c>
      <c r="Q33" s="7" t="s">
        <v>395</v>
      </c>
      <c r="R33" s="7">
        <v>39</v>
      </c>
      <c r="S33" s="11">
        <v>0.93</v>
      </c>
      <c r="T33" s="11">
        <v>0.56000000000000005</v>
      </c>
      <c r="U33" s="7" t="s">
        <v>396</v>
      </c>
      <c r="V33" s="7">
        <v>25.85</v>
      </c>
      <c r="W33" s="11">
        <v>1.86</v>
      </c>
      <c r="X33" s="11">
        <v>1.37</v>
      </c>
      <c r="Y33" s="7" t="s">
        <v>397</v>
      </c>
      <c r="Z33" s="12">
        <v>56.84</v>
      </c>
      <c r="AA33" s="11">
        <v>0.85</v>
      </c>
      <c r="AB33" s="11">
        <v>3.21</v>
      </c>
      <c r="AC33" s="7" t="s">
        <v>91</v>
      </c>
      <c r="AD33" s="12">
        <v>4.0199999999999996</v>
      </c>
      <c r="AE33" s="11">
        <v>1.77</v>
      </c>
      <c r="AF33" s="11">
        <v>5.51</v>
      </c>
      <c r="AG33" s="7" t="s">
        <v>184</v>
      </c>
      <c r="AH33" s="13">
        <v>3.78</v>
      </c>
      <c r="AI33" s="10">
        <v>11.17</v>
      </c>
      <c r="AJ33" s="10">
        <v>11.17</v>
      </c>
      <c r="AK33" s="7" t="s">
        <v>298</v>
      </c>
      <c r="AL33" s="7">
        <v>152</v>
      </c>
      <c r="AM33" s="11">
        <v>1.74</v>
      </c>
      <c r="AN33" s="11">
        <v>0.15</v>
      </c>
    </row>
    <row r="34" spans="1:40" x14ac:dyDescent="0.3">
      <c r="A34" s="9">
        <v>45533</v>
      </c>
      <c r="B34" s="7" t="s">
        <v>21</v>
      </c>
      <c r="C34" s="7" t="str">
        <f t="shared" si="0"/>
        <v>45533A</v>
      </c>
      <c r="D34" s="7" t="s">
        <v>392</v>
      </c>
      <c r="E34" s="7">
        <v>10.57</v>
      </c>
      <c r="F34" s="10">
        <v>7.36</v>
      </c>
      <c r="G34" s="7" t="s">
        <v>398</v>
      </c>
      <c r="H34" s="7">
        <v>16.899999999999999</v>
      </c>
      <c r="I34" s="11">
        <v>6.11</v>
      </c>
      <c r="J34" s="7" t="s">
        <v>399</v>
      </c>
      <c r="K34" s="7">
        <v>73.11</v>
      </c>
      <c r="L34" s="10">
        <v>31.83</v>
      </c>
      <c r="M34" s="7" t="s">
        <v>400</v>
      </c>
      <c r="N34" s="12">
        <v>8.65</v>
      </c>
      <c r="O34" s="11">
        <v>2.14</v>
      </c>
      <c r="P34" s="10">
        <v>6.13</v>
      </c>
      <c r="Q34" s="7" t="s">
        <v>401</v>
      </c>
      <c r="R34" s="7">
        <v>38</v>
      </c>
      <c r="S34" s="11">
        <v>2.08</v>
      </c>
      <c r="T34" s="11">
        <v>2.0099999999999998</v>
      </c>
      <c r="U34" s="7" t="s">
        <v>402</v>
      </c>
      <c r="V34" s="7">
        <v>25.4</v>
      </c>
      <c r="W34" s="11">
        <v>1.66</v>
      </c>
      <c r="X34" s="11">
        <v>3.09</v>
      </c>
      <c r="Y34" s="7" t="s">
        <v>403</v>
      </c>
      <c r="Z34" s="14">
        <v>53.2</v>
      </c>
      <c r="AA34" s="11">
        <v>6</v>
      </c>
      <c r="AB34" s="11">
        <v>3.39</v>
      </c>
      <c r="AC34" s="7" t="s">
        <v>404</v>
      </c>
      <c r="AD34" s="12">
        <v>4.0199999999999996</v>
      </c>
      <c r="AE34" s="11">
        <v>3.82</v>
      </c>
      <c r="AF34" s="11">
        <v>5.51</v>
      </c>
      <c r="AG34" s="13" t="s">
        <v>405</v>
      </c>
      <c r="AH34" s="7">
        <v>3.36</v>
      </c>
      <c r="AI34" s="11">
        <v>5.88</v>
      </c>
      <c r="AJ34" s="11">
        <v>1.17</v>
      </c>
      <c r="AK34" s="7" t="s">
        <v>406</v>
      </c>
      <c r="AL34" s="7">
        <v>148</v>
      </c>
      <c r="AM34" s="11">
        <v>2.54</v>
      </c>
      <c r="AN34" s="11">
        <v>2.77</v>
      </c>
    </row>
    <row r="35" spans="1:40" x14ac:dyDescent="0.3">
      <c r="A35" s="9">
        <v>45533</v>
      </c>
      <c r="B35" s="7" t="s">
        <v>19</v>
      </c>
      <c r="C35" s="7" t="str">
        <f t="shared" si="0"/>
        <v>45533B</v>
      </c>
      <c r="D35" s="7" t="s">
        <v>407</v>
      </c>
      <c r="E35" s="7">
        <v>11.84</v>
      </c>
      <c r="F35" s="11">
        <v>3.95</v>
      </c>
      <c r="G35" s="7" t="s">
        <v>408</v>
      </c>
      <c r="H35" s="7">
        <v>17.89</v>
      </c>
      <c r="I35" s="10">
        <v>167.81</v>
      </c>
      <c r="J35" s="7" t="s">
        <v>409</v>
      </c>
      <c r="K35" s="7">
        <v>104.85</v>
      </c>
      <c r="L35" s="11">
        <v>5.73</v>
      </c>
      <c r="M35" s="7" t="s">
        <v>410</v>
      </c>
      <c r="N35" s="7">
        <v>8.2799999999999994</v>
      </c>
      <c r="O35" s="11">
        <v>2.58</v>
      </c>
      <c r="P35" s="11">
        <v>1.59</v>
      </c>
      <c r="Q35" s="7" t="s">
        <v>377</v>
      </c>
      <c r="R35" s="13">
        <v>36</v>
      </c>
      <c r="S35" s="10">
        <v>6.63</v>
      </c>
      <c r="T35" s="10">
        <v>7.16</v>
      </c>
      <c r="U35" s="7" t="s">
        <v>372</v>
      </c>
      <c r="V35" s="7">
        <v>26.87</v>
      </c>
      <c r="W35" s="11">
        <v>1.51</v>
      </c>
      <c r="X35" s="11">
        <v>2.5099999999999998</v>
      </c>
      <c r="Y35" s="13" t="s">
        <v>411</v>
      </c>
      <c r="Z35" s="7">
        <v>54.98</v>
      </c>
      <c r="AA35" s="11">
        <v>2.09</v>
      </c>
      <c r="AB35" s="11">
        <v>0.16</v>
      </c>
      <c r="AC35" s="7" t="s">
        <v>412</v>
      </c>
      <c r="AD35" s="7">
        <v>4.0199999999999996</v>
      </c>
      <c r="AE35" s="11">
        <v>0.24</v>
      </c>
      <c r="AF35" s="11">
        <v>5.51</v>
      </c>
      <c r="AG35" s="7" t="s">
        <v>343</v>
      </c>
      <c r="AH35" s="7">
        <v>3.23</v>
      </c>
      <c r="AI35" s="10">
        <v>7.44</v>
      </c>
      <c r="AJ35" s="11">
        <v>4.99</v>
      </c>
      <c r="AK35" s="7" t="s">
        <v>413</v>
      </c>
      <c r="AL35" s="7">
        <v>142.66999999999999</v>
      </c>
      <c r="AM35" s="11">
        <v>1.61</v>
      </c>
      <c r="AN35" s="11">
        <v>6.27</v>
      </c>
    </row>
    <row r="36" spans="1:40" x14ac:dyDescent="0.3">
      <c r="A36" s="9">
        <v>45533</v>
      </c>
      <c r="B36" s="7" t="s">
        <v>20</v>
      </c>
      <c r="C36" s="7" t="str">
        <f t="shared" si="0"/>
        <v>45533C</v>
      </c>
      <c r="D36" s="7" t="s">
        <v>257</v>
      </c>
      <c r="E36" s="7">
        <v>14.83</v>
      </c>
      <c r="F36" s="10">
        <v>30.66</v>
      </c>
      <c r="G36" s="7" t="s">
        <v>214</v>
      </c>
      <c r="H36" s="7">
        <v>9.58</v>
      </c>
      <c r="I36" s="7"/>
      <c r="J36" s="7" t="s">
        <v>414</v>
      </c>
      <c r="K36" s="7">
        <v>98.92</v>
      </c>
      <c r="L36" s="11">
        <v>0.06</v>
      </c>
      <c r="M36" s="7" t="s">
        <v>187</v>
      </c>
      <c r="N36" s="7">
        <v>8.1</v>
      </c>
      <c r="O36" s="11">
        <v>1.75</v>
      </c>
      <c r="P36" s="11">
        <v>0.61</v>
      </c>
      <c r="Q36" s="7" t="s">
        <v>273</v>
      </c>
      <c r="R36" s="7">
        <v>37.71</v>
      </c>
      <c r="S36" s="11">
        <v>1.74</v>
      </c>
      <c r="T36" s="11">
        <v>2.75</v>
      </c>
      <c r="U36" s="7" t="s">
        <v>415</v>
      </c>
      <c r="V36" s="7">
        <v>26.17</v>
      </c>
      <c r="W36" s="11">
        <v>1.39</v>
      </c>
      <c r="X36" s="11">
        <v>0.15</v>
      </c>
      <c r="Y36" s="7" t="s">
        <v>416</v>
      </c>
      <c r="Z36" s="7">
        <v>56.77</v>
      </c>
      <c r="AA36" s="11">
        <v>2.71</v>
      </c>
      <c r="AB36" s="11">
        <v>3.08</v>
      </c>
      <c r="AC36" s="7" t="s">
        <v>126</v>
      </c>
      <c r="AD36" s="7">
        <v>4.0199999999999996</v>
      </c>
      <c r="AE36" s="11">
        <v>2.29</v>
      </c>
      <c r="AF36" s="11">
        <v>5.51</v>
      </c>
      <c r="AG36" s="7" t="s">
        <v>170</v>
      </c>
      <c r="AH36" s="7">
        <v>3.29</v>
      </c>
      <c r="AI36" s="11">
        <v>1.49</v>
      </c>
      <c r="AJ36" s="11">
        <v>3.23</v>
      </c>
      <c r="AK36" s="7" t="s">
        <v>417</v>
      </c>
      <c r="AL36" s="7">
        <v>142.71</v>
      </c>
      <c r="AM36" s="11">
        <v>3.02</v>
      </c>
      <c r="AN36" s="11">
        <v>6.25</v>
      </c>
    </row>
    <row r="37" spans="1:40" ht="18" x14ac:dyDescent="0.35">
      <c r="A37" s="9">
        <v>45538</v>
      </c>
      <c r="B37" s="7" t="s">
        <v>21</v>
      </c>
      <c r="C37" s="7" t="str">
        <f t="shared" si="0"/>
        <v>45538A</v>
      </c>
      <c r="D37" s="7" t="s">
        <v>418</v>
      </c>
      <c r="E37" s="7">
        <v>21.41</v>
      </c>
      <c r="F37" s="10">
        <v>58.35</v>
      </c>
      <c r="G37" s="7" t="s">
        <v>214</v>
      </c>
      <c r="H37" s="7">
        <v>16.329999999999998</v>
      </c>
      <c r="I37" s="7"/>
      <c r="J37" s="7" t="s">
        <v>419</v>
      </c>
      <c r="K37" s="7">
        <v>69.78</v>
      </c>
      <c r="L37" s="11">
        <v>1.8</v>
      </c>
      <c r="M37" s="7" t="s">
        <v>420</v>
      </c>
      <c r="N37" s="7">
        <v>8.09</v>
      </c>
      <c r="O37" s="11">
        <v>2.5299999999999998</v>
      </c>
      <c r="P37" s="11">
        <v>0.73</v>
      </c>
      <c r="Q37" s="7" t="s">
        <v>421</v>
      </c>
      <c r="R37" s="7">
        <v>38.67</v>
      </c>
      <c r="S37" s="11">
        <v>0.7</v>
      </c>
      <c r="T37" s="11">
        <v>0.28000000000000003</v>
      </c>
      <c r="U37" s="7" t="s">
        <v>253</v>
      </c>
      <c r="V37" s="7">
        <v>26.23</v>
      </c>
      <c r="W37" s="11">
        <v>1.57</v>
      </c>
      <c r="X37" s="11">
        <v>7.0000000000000007E-2</v>
      </c>
      <c r="Y37" s="7" t="s">
        <v>422</v>
      </c>
      <c r="Z37" s="7">
        <v>55.8</v>
      </c>
      <c r="AA37" s="11">
        <v>1.51</v>
      </c>
      <c r="AB37" s="11">
        <v>1.32</v>
      </c>
      <c r="AC37" s="7" t="s">
        <v>423</v>
      </c>
      <c r="AD37" s="7">
        <v>4.0199999999999996</v>
      </c>
      <c r="AE37" s="11">
        <v>1.25</v>
      </c>
      <c r="AF37" s="11">
        <v>5.51</v>
      </c>
      <c r="AG37" s="7" t="s">
        <v>145</v>
      </c>
      <c r="AH37" s="7">
        <v>3.41</v>
      </c>
      <c r="AI37" s="11">
        <v>2.4</v>
      </c>
      <c r="AJ37" s="11">
        <v>0.28999999999999998</v>
      </c>
      <c r="AK37" s="7" t="s">
        <v>424</v>
      </c>
      <c r="AL37" s="7">
        <v>143.5</v>
      </c>
      <c r="AM37" s="11">
        <v>1.95</v>
      </c>
      <c r="AN37" s="11">
        <v>5.73</v>
      </c>
    </row>
    <row r="38" spans="1:40" x14ac:dyDescent="0.3">
      <c r="A38" s="9">
        <v>45538</v>
      </c>
      <c r="B38" s="7" t="s">
        <v>19</v>
      </c>
      <c r="C38" s="7" t="str">
        <f t="shared" si="0"/>
        <v>45538B</v>
      </c>
      <c r="D38" s="7" t="s">
        <v>278</v>
      </c>
      <c r="E38" s="7">
        <v>18.22</v>
      </c>
      <c r="F38" s="10">
        <v>60.24</v>
      </c>
      <c r="G38" s="7" t="s">
        <v>425</v>
      </c>
      <c r="H38" s="7">
        <v>17.91</v>
      </c>
      <c r="I38" s="11">
        <v>0</v>
      </c>
      <c r="J38" s="7" t="s">
        <v>426</v>
      </c>
      <c r="K38" s="7">
        <v>73.239999999999995</v>
      </c>
      <c r="L38" s="11">
        <v>16.22</v>
      </c>
      <c r="M38" s="7" t="s">
        <v>103</v>
      </c>
      <c r="N38" s="7">
        <v>8.3000000000000007</v>
      </c>
      <c r="O38" s="11">
        <v>1.84</v>
      </c>
      <c r="P38" s="11">
        <v>1.84</v>
      </c>
      <c r="Q38" s="7" t="s">
        <v>427</v>
      </c>
      <c r="R38" s="7">
        <v>38.4</v>
      </c>
      <c r="S38" s="11">
        <v>0.72</v>
      </c>
      <c r="T38" s="11">
        <v>0.97</v>
      </c>
      <c r="U38" s="7" t="s">
        <v>428</v>
      </c>
      <c r="V38" s="7">
        <v>28.1</v>
      </c>
      <c r="W38" s="10">
        <v>6.92</v>
      </c>
      <c r="X38" s="10">
        <v>7.21</v>
      </c>
      <c r="Y38" s="7" t="s">
        <v>429</v>
      </c>
      <c r="Z38" s="12">
        <v>56</v>
      </c>
      <c r="AA38" s="11">
        <v>0.17</v>
      </c>
      <c r="AB38" s="11">
        <v>1.68</v>
      </c>
      <c r="AC38" s="7" t="s">
        <v>342</v>
      </c>
      <c r="AD38" s="7">
        <v>3.97</v>
      </c>
      <c r="AE38" s="11">
        <v>0.5</v>
      </c>
      <c r="AF38" s="11">
        <v>4.1900000000000004</v>
      </c>
      <c r="AG38" s="7" t="s">
        <v>127</v>
      </c>
      <c r="AH38" s="7">
        <v>3.44</v>
      </c>
      <c r="AI38" s="11">
        <v>0.28999999999999998</v>
      </c>
      <c r="AJ38" s="11">
        <v>1.17</v>
      </c>
      <c r="AK38" s="7" t="s">
        <v>430</v>
      </c>
      <c r="AL38" s="7">
        <v>144.4</v>
      </c>
      <c r="AM38" s="11">
        <v>2.95</v>
      </c>
      <c r="AN38" s="11">
        <v>5.14</v>
      </c>
    </row>
    <row r="39" spans="1:40" ht="18" x14ac:dyDescent="0.35">
      <c r="A39" s="9">
        <v>45538</v>
      </c>
      <c r="B39" s="7" t="s">
        <v>20</v>
      </c>
      <c r="C39" s="7" t="str">
        <f t="shared" si="0"/>
        <v>45538C</v>
      </c>
      <c r="D39" s="7" t="s">
        <v>222</v>
      </c>
      <c r="E39" s="7">
        <v>16.36</v>
      </c>
      <c r="F39" s="10">
        <v>44.01</v>
      </c>
      <c r="G39" s="7" t="s">
        <v>214</v>
      </c>
      <c r="H39" s="7">
        <v>6.99</v>
      </c>
      <c r="I39" s="7"/>
      <c r="J39" s="7" t="s">
        <v>431</v>
      </c>
      <c r="K39" s="7">
        <v>87.2</v>
      </c>
      <c r="L39" s="11">
        <v>14.94</v>
      </c>
      <c r="M39" s="7" t="s">
        <v>320</v>
      </c>
      <c r="N39" s="7">
        <v>8.4700000000000006</v>
      </c>
      <c r="O39" s="10">
        <v>3.41</v>
      </c>
      <c r="P39" s="10">
        <v>3.92</v>
      </c>
      <c r="Q39" s="7" t="s">
        <v>432</v>
      </c>
      <c r="R39" s="7">
        <v>37.25</v>
      </c>
      <c r="S39" s="11">
        <v>3.02</v>
      </c>
      <c r="T39" s="11">
        <v>3.94</v>
      </c>
      <c r="U39" s="7" t="s">
        <v>433</v>
      </c>
      <c r="V39" s="7">
        <v>26.52</v>
      </c>
      <c r="W39" s="11">
        <v>7.0000000000000007E-2</v>
      </c>
      <c r="X39" s="11">
        <v>1.18</v>
      </c>
      <c r="Y39" s="7" t="s">
        <v>434</v>
      </c>
      <c r="Z39" s="7">
        <v>55.99</v>
      </c>
      <c r="AA39" s="11">
        <v>0.03</v>
      </c>
      <c r="AB39" s="11">
        <v>1.67</v>
      </c>
      <c r="AC39" s="7" t="s">
        <v>435</v>
      </c>
      <c r="AD39" s="7">
        <v>3.91</v>
      </c>
      <c r="AE39" s="11">
        <v>0.51</v>
      </c>
      <c r="AF39" s="11">
        <v>2.62</v>
      </c>
      <c r="AG39" s="7" t="s">
        <v>136</v>
      </c>
      <c r="AH39" s="7">
        <v>3.5</v>
      </c>
      <c r="AI39" s="11">
        <v>3.85</v>
      </c>
      <c r="AJ39" s="11">
        <v>2.94</v>
      </c>
      <c r="AK39" s="7" t="s">
        <v>436</v>
      </c>
      <c r="AL39" s="7">
        <v>141.75</v>
      </c>
      <c r="AM39" s="11">
        <v>2.62</v>
      </c>
      <c r="AN39" s="11">
        <v>6.88</v>
      </c>
    </row>
    <row r="40" spans="1:40" ht="18" x14ac:dyDescent="0.35">
      <c r="A40" s="9">
        <v>45539</v>
      </c>
      <c r="B40" s="7" t="s">
        <v>21</v>
      </c>
      <c r="C40" s="7" t="str">
        <f t="shared" si="0"/>
        <v>45539A</v>
      </c>
      <c r="D40" s="7" t="s">
        <v>369</v>
      </c>
      <c r="E40" s="7">
        <v>19.89</v>
      </c>
      <c r="F40" s="10">
        <v>75.7</v>
      </c>
      <c r="G40" s="7" t="s">
        <v>214</v>
      </c>
      <c r="H40" s="7">
        <v>18.010000000000002</v>
      </c>
      <c r="I40" s="7"/>
      <c r="J40" s="7" t="s">
        <v>437</v>
      </c>
      <c r="K40" s="7">
        <v>66.72</v>
      </c>
      <c r="L40" s="11">
        <v>21.5</v>
      </c>
      <c r="M40" s="7" t="s">
        <v>259</v>
      </c>
      <c r="N40" s="7">
        <v>8.32</v>
      </c>
      <c r="O40" s="11">
        <v>1.46</v>
      </c>
      <c r="P40" s="11">
        <v>2.08</v>
      </c>
      <c r="Q40" s="7" t="s">
        <v>438</v>
      </c>
      <c r="R40" s="7">
        <v>38.14</v>
      </c>
      <c r="S40" s="11">
        <v>0.26</v>
      </c>
      <c r="T40" s="11">
        <v>1.65</v>
      </c>
      <c r="U40" s="7" t="s">
        <v>439</v>
      </c>
      <c r="V40" s="7">
        <v>27.31</v>
      </c>
      <c r="W40" s="11">
        <v>2.4300000000000002</v>
      </c>
      <c r="X40" s="11">
        <v>4.1900000000000004</v>
      </c>
      <c r="Y40" s="7" t="s">
        <v>440</v>
      </c>
      <c r="Z40" s="7">
        <v>54.89</v>
      </c>
      <c r="AA40" s="11">
        <v>1.98</v>
      </c>
      <c r="AB40" s="11">
        <v>0.32</v>
      </c>
      <c r="AC40" s="7" t="s">
        <v>441</v>
      </c>
      <c r="AD40" s="7">
        <v>4.05</v>
      </c>
      <c r="AE40" s="11">
        <v>2.0099999999999998</v>
      </c>
      <c r="AF40" s="11">
        <v>6.29</v>
      </c>
      <c r="AG40" s="7" t="s">
        <v>310</v>
      </c>
      <c r="AH40" s="13">
        <v>3.51</v>
      </c>
      <c r="AI40" s="11">
        <v>3.84</v>
      </c>
      <c r="AJ40" s="11">
        <v>3.23</v>
      </c>
      <c r="AK40" s="7" t="s">
        <v>442</v>
      </c>
      <c r="AL40" s="7">
        <v>147.43</v>
      </c>
      <c r="AM40" s="11">
        <v>4.2</v>
      </c>
      <c r="AN40" s="11">
        <v>3.15</v>
      </c>
    </row>
    <row r="41" spans="1:40" x14ac:dyDescent="0.3">
      <c r="A41" s="9">
        <v>45539</v>
      </c>
      <c r="B41" s="7" t="s">
        <v>19</v>
      </c>
      <c r="C41" s="7" t="str">
        <f t="shared" si="0"/>
        <v>45539B</v>
      </c>
      <c r="D41" s="7" t="s">
        <v>407</v>
      </c>
      <c r="E41" s="7">
        <v>17.64</v>
      </c>
      <c r="F41" s="10">
        <v>54.87</v>
      </c>
      <c r="G41" s="7" t="s">
        <v>443</v>
      </c>
      <c r="H41" s="7">
        <v>16.47</v>
      </c>
      <c r="I41" s="10">
        <v>110.88</v>
      </c>
      <c r="J41" s="7" t="s">
        <v>444</v>
      </c>
      <c r="K41" s="7">
        <v>76.55</v>
      </c>
      <c r="L41" s="10">
        <v>30.28</v>
      </c>
      <c r="M41" s="7" t="s">
        <v>445</v>
      </c>
      <c r="N41" s="7">
        <v>8.32</v>
      </c>
      <c r="O41" s="11">
        <v>0.84</v>
      </c>
      <c r="P41" s="11">
        <v>2.08</v>
      </c>
      <c r="Q41" s="7" t="s">
        <v>446</v>
      </c>
      <c r="R41" s="7">
        <v>38.25</v>
      </c>
      <c r="S41" s="11">
        <v>0.98</v>
      </c>
      <c r="T41" s="11">
        <v>1.36</v>
      </c>
      <c r="U41" s="7" t="s">
        <v>447</v>
      </c>
      <c r="V41" s="7">
        <v>27.45</v>
      </c>
      <c r="W41" s="11">
        <v>4.97</v>
      </c>
      <c r="X41" s="11">
        <v>4.7300000000000004</v>
      </c>
      <c r="Y41" s="7" t="s">
        <v>448</v>
      </c>
      <c r="Z41" s="7">
        <v>55.24</v>
      </c>
      <c r="AA41" s="11">
        <v>0.19</v>
      </c>
      <c r="AB41" s="11">
        <v>0.3</v>
      </c>
      <c r="AC41" s="7" t="s">
        <v>283</v>
      </c>
      <c r="AD41" s="7">
        <v>4.05</v>
      </c>
      <c r="AE41" s="11">
        <v>0.74</v>
      </c>
      <c r="AF41" s="11">
        <v>6.29</v>
      </c>
      <c r="AG41" s="7" t="s">
        <v>284</v>
      </c>
      <c r="AH41" s="13">
        <v>3.53</v>
      </c>
      <c r="AI41" s="11">
        <v>3.21</v>
      </c>
      <c r="AJ41" s="11">
        <v>3.82</v>
      </c>
      <c r="AK41" s="7" t="s">
        <v>449</v>
      </c>
      <c r="AL41" s="7">
        <v>146.5</v>
      </c>
      <c r="AM41" s="11">
        <v>1.39</v>
      </c>
      <c r="AN41" s="11">
        <v>3.76</v>
      </c>
    </row>
    <row r="42" spans="1:40" x14ac:dyDescent="0.3">
      <c r="A42" s="9">
        <v>45539</v>
      </c>
      <c r="B42" s="7" t="s">
        <v>20</v>
      </c>
      <c r="C42" s="7" t="str">
        <f t="shared" si="0"/>
        <v>45539C</v>
      </c>
      <c r="D42" s="7" t="s">
        <v>222</v>
      </c>
      <c r="E42" s="7">
        <v>13.39</v>
      </c>
      <c r="F42" s="10">
        <v>17.86</v>
      </c>
      <c r="G42" s="7" t="s">
        <v>214</v>
      </c>
      <c r="H42" s="7">
        <v>9.5299999999999994</v>
      </c>
      <c r="I42" s="7"/>
      <c r="J42" s="7" t="s">
        <v>450</v>
      </c>
      <c r="K42" s="7">
        <v>82.54</v>
      </c>
      <c r="L42" s="11">
        <v>20.25</v>
      </c>
      <c r="M42" s="7" t="s">
        <v>451</v>
      </c>
      <c r="N42" s="7">
        <v>8.5</v>
      </c>
      <c r="O42" s="10">
        <v>3.4</v>
      </c>
      <c r="P42" s="10">
        <v>4.29</v>
      </c>
      <c r="Q42" s="7" t="s">
        <v>273</v>
      </c>
      <c r="R42" s="7">
        <v>38.71</v>
      </c>
      <c r="S42" s="11">
        <v>0.85</v>
      </c>
      <c r="T42" s="11">
        <v>0.18</v>
      </c>
      <c r="U42" s="7" t="s">
        <v>452</v>
      </c>
      <c r="V42" s="7">
        <v>26.89</v>
      </c>
      <c r="W42" s="11">
        <v>2.0099999999999998</v>
      </c>
      <c r="X42" s="11">
        <v>2.59</v>
      </c>
      <c r="Y42" s="7" t="s">
        <v>453</v>
      </c>
      <c r="Z42" s="7">
        <v>54.89</v>
      </c>
      <c r="AA42" s="11">
        <v>0.9</v>
      </c>
      <c r="AB42" s="11">
        <v>0.32</v>
      </c>
      <c r="AC42" s="7" t="s">
        <v>412</v>
      </c>
      <c r="AD42" s="7">
        <v>4.05</v>
      </c>
      <c r="AE42" s="11">
        <v>0.49</v>
      </c>
      <c r="AF42" s="11">
        <v>6.29</v>
      </c>
      <c r="AG42" s="7" t="s">
        <v>310</v>
      </c>
      <c r="AH42" s="13">
        <v>3.51</v>
      </c>
      <c r="AI42" s="11">
        <v>3.84</v>
      </c>
      <c r="AJ42" s="11">
        <v>3.23</v>
      </c>
      <c r="AK42" s="7" t="s">
        <v>454</v>
      </c>
      <c r="AL42" s="7">
        <v>145.86000000000001</v>
      </c>
      <c r="AM42" s="11">
        <v>0.53</v>
      </c>
      <c r="AN42" s="11">
        <v>4.18</v>
      </c>
    </row>
    <row r="43" spans="1:40" x14ac:dyDescent="0.3">
      <c r="A43" s="9">
        <v>45540</v>
      </c>
      <c r="B43" s="7" t="s">
        <v>21</v>
      </c>
      <c r="C43" s="7" t="str">
        <f t="shared" si="0"/>
        <v>45540A</v>
      </c>
      <c r="D43" s="7" t="s">
        <v>264</v>
      </c>
      <c r="E43" s="7">
        <v>16.13</v>
      </c>
      <c r="F43" s="10">
        <v>41.73</v>
      </c>
      <c r="G43" s="7" t="s">
        <v>455</v>
      </c>
      <c r="H43" s="7">
        <v>16.91</v>
      </c>
      <c r="I43" s="10">
        <v>538.11</v>
      </c>
      <c r="J43" s="7" t="s">
        <v>456</v>
      </c>
      <c r="K43" s="7">
        <v>56.98</v>
      </c>
      <c r="L43" s="10">
        <v>47.86</v>
      </c>
      <c r="M43" s="7" t="s">
        <v>365</v>
      </c>
      <c r="N43" s="7">
        <v>8.4</v>
      </c>
      <c r="O43" s="11">
        <v>0.47</v>
      </c>
      <c r="P43" s="10">
        <v>3.06</v>
      </c>
      <c r="Q43" s="7" t="s">
        <v>395</v>
      </c>
      <c r="R43" s="13">
        <v>36.33</v>
      </c>
      <c r="S43" s="10">
        <v>5.97</v>
      </c>
      <c r="T43" s="10">
        <v>6.31</v>
      </c>
      <c r="U43" s="7" t="s">
        <v>457</v>
      </c>
      <c r="V43" s="7">
        <v>27.73</v>
      </c>
      <c r="W43" s="10">
        <v>6</v>
      </c>
      <c r="X43" s="10">
        <v>5.79</v>
      </c>
      <c r="Y43" s="7" t="s">
        <v>448</v>
      </c>
      <c r="Z43" s="13">
        <v>54.1</v>
      </c>
      <c r="AA43" s="11">
        <v>1.86</v>
      </c>
      <c r="AB43" s="11">
        <v>1.76</v>
      </c>
      <c r="AC43" s="7" t="s">
        <v>458</v>
      </c>
      <c r="AD43" s="7">
        <v>4.05</v>
      </c>
      <c r="AE43" s="11">
        <v>0</v>
      </c>
      <c r="AF43" s="11">
        <v>6.29</v>
      </c>
      <c r="AG43" s="7" t="s">
        <v>113</v>
      </c>
      <c r="AH43" s="7">
        <v>3.5</v>
      </c>
      <c r="AI43" s="11">
        <v>1.44</v>
      </c>
      <c r="AJ43" s="11">
        <v>2.94</v>
      </c>
      <c r="AK43" s="7" t="s">
        <v>459</v>
      </c>
      <c r="AL43" s="7">
        <v>138.66999999999999</v>
      </c>
      <c r="AM43" s="11">
        <v>5.45</v>
      </c>
      <c r="AN43" s="11">
        <v>8.9</v>
      </c>
    </row>
    <row r="44" spans="1:40" ht="18" x14ac:dyDescent="0.35">
      <c r="A44" s="9">
        <v>45540</v>
      </c>
      <c r="B44" s="7" t="s">
        <v>19</v>
      </c>
      <c r="C44" s="7" t="str">
        <f t="shared" si="0"/>
        <v>45540B</v>
      </c>
      <c r="D44" s="7" t="s">
        <v>264</v>
      </c>
      <c r="E44" s="7">
        <v>14.98</v>
      </c>
      <c r="F44" s="10">
        <v>31.63</v>
      </c>
      <c r="G44" s="7" t="s">
        <v>460</v>
      </c>
      <c r="H44" s="7">
        <v>18.170000000000002</v>
      </c>
      <c r="I44" s="10">
        <v>1014.72</v>
      </c>
      <c r="J44" s="7" t="s">
        <v>461</v>
      </c>
      <c r="K44" s="7">
        <v>81.48</v>
      </c>
      <c r="L44" s="10">
        <v>26.68</v>
      </c>
      <c r="M44" s="7" t="s">
        <v>462</v>
      </c>
      <c r="N44" s="7">
        <v>8.35</v>
      </c>
      <c r="O44" s="11">
        <v>1.41</v>
      </c>
      <c r="P44" s="11">
        <v>2.4500000000000002</v>
      </c>
      <c r="Q44" s="7" t="s">
        <v>463</v>
      </c>
      <c r="R44" s="7">
        <v>37.67</v>
      </c>
      <c r="S44" s="11">
        <v>2.25</v>
      </c>
      <c r="T44" s="11">
        <v>2.86</v>
      </c>
      <c r="U44" s="7" t="s">
        <v>464</v>
      </c>
      <c r="V44" s="7">
        <v>26.5</v>
      </c>
      <c r="W44" s="11">
        <v>0.74</v>
      </c>
      <c r="X44" s="11">
        <v>1.1000000000000001</v>
      </c>
      <c r="Y44" s="7" t="s">
        <v>465</v>
      </c>
      <c r="Z44" s="12">
        <v>56.24</v>
      </c>
      <c r="AA44" s="11">
        <v>3.06</v>
      </c>
      <c r="AB44" s="11">
        <v>2.12</v>
      </c>
      <c r="AC44" s="7" t="s">
        <v>390</v>
      </c>
      <c r="AD44" s="7">
        <v>4</v>
      </c>
      <c r="AE44" s="11">
        <v>1.71</v>
      </c>
      <c r="AF44" s="11">
        <v>4.9800000000000004</v>
      </c>
      <c r="AG44" s="7" t="s">
        <v>113</v>
      </c>
      <c r="AH44" s="7">
        <v>3.46</v>
      </c>
      <c r="AI44" s="11">
        <v>0.28000000000000003</v>
      </c>
      <c r="AJ44" s="11">
        <v>1.76</v>
      </c>
      <c r="AK44" s="7" t="s">
        <v>466</v>
      </c>
      <c r="AL44" s="7">
        <v>147.33000000000001</v>
      </c>
      <c r="AM44" s="11">
        <v>1.8</v>
      </c>
      <c r="AN44" s="11">
        <v>3.21</v>
      </c>
    </row>
    <row r="45" spans="1:40" x14ac:dyDescent="0.3">
      <c r="A45" s="9">
        <v>45540</v>
      </c>
      <c r="B45" s="7" t="s">
        <v>20</v>
      </c>
      <c r="C45" s="7" t="str">
        <f t="shared" si="0"/>
        <v>45540C</v>
      </c>
      <c r="D45" s="7" t="s">
        <v>222</v>
      </c>
      <c r="E45" s="7">
        <v>11.36</v>
      </c>
      <c r="F45" s="11">
        <v>0</v>
      </c>
      <c r="G45" s="7" t="s">
        <v>467</v>
      </c>
      <c r="H45" s="7">
        <v>16.71</v>
      </c>
      <c r="I45" s="10">
        <v>636.12</v>
      </c>
      <c r="J45" s="7" t="s">
        <v>468</v>
      </c>
      <c r="K45" s="7">
        <v>87.68</v>
      </c>
      <c r="L45" s="11">
        <v>10.78</v>
      </c>
      <c r="M45" s="7" t="s">
        <v>469</v>
      </c>
      <c r="N45" s="7">
        <v>8.5</v>
      </c>
      <c r="O45" s="10">
        <v>3.15</v>
      </c>
      <c r="P45" s="10">
        <v>4.29</v>
      </c>
      <c r="Q45" s="7" t="s">
        <v>252</v>
      </c>
      <c r="R45" s="7">
        <v>38.75</v>
      </c>
      <c r="S45" s="11">
        <v>0.1</v>
      </c>
      <c r="T45" s="11">
        <v>7.0000000000000007E-2</v>
      </c>
      <c r="U45" s="7" t="s">
        <v>378</v>
      </c>
      <c r="V45" s="7">
        <v>25.43</v>
      </c>
      <c r="W45" s="11">
        <v>3.38</v>
      </c>
      <c r="X45" s="11">
        <v>2.97</v>
      </c>
      <c r="Y45" s="7" t="s">
        <v>470</v>
      </c>
      <c r="Z45" s="7">
        <v>56.24</v>
      </c>
      <c r="AA45" s="11">
        <v>0.03</v>
      </c>
      <c r="AB45" s="11">
        <v>2.12</v>
      </c>
      <c r="AC45" s="7" t="s">
        <v>283</v>
      </c>
      <c r="AD45" s="7">
        <v>4</v>
      </c>
      <c r="AE45" s="11">
        <v>0.49</v>
      </c>
      <c r="AF45" s="11">
        <v>4.9800000000000004</v>
      </c>
      <c r="AG45" s="7" t="s">
        <v>284</v>
      </c>
      <c r="AH45" s="7">
        <v>3.47</v>
      </c>
      <c r="AI45" s="11">
        <v>1.46</v>
      </c>
      <c r="AJ45" s="11">
        <v>2.0499999999999998</v>
      </c>
      <c r="AK45" s="7" t="s">
        <v>471</v>
      </c>
      <c r="AL45" s="7">
        <v>144.25</v>
      </c>
      <c r="AM45" s="11">
        <v>1.88</v>
      </c>
      <c r="AN45" s="11">
        <v>5.24</v>
      </c>
    </row>
    <row r="46" spans="1:40" x14ac:dyDescent="0.3">
      <c r="A46" s="9">
        <v>45541</v>
      </c>
      <c r="B46" s="7" t="s">
        <v>21</v>
      </c>
      <c r="C46" s="7" t="str">
        <f t="shared" si="0"/>
        <v>45541A</v>
      </c>
      <c r="D46" s="7" t="s">
        <v>472</v>
      </c>
      <c r="E46" s="7">
        <v>12.05</v>
      </c>
      <c r="F46" s="10">
        <v>6.63</v>
      </c>
      <c r="G46" s="7" t="s">
        <v>214</v>
      </c>
      <c r="H46" s="7">
        <v>16.87</v>
      </c>
      <c r="I46" s="7"/>
      <c r="J46" s="7" t="s">
        <v>473</v>
      </c>
      <c r="K46" s="7">
        <v>77.63</v>
      </c>
      <c r="L46" s="11">
        <v>3.19</v>
      </c>
      <c r="M46" s="7" t="s">
        <v>451</v>
      </c>
      <c r="N46" s="7">
        <v>8.1999999999999993</v>
      </c>
      <c r="O46" s="11">
        <v>0.24</v>
      </c>
      <c r="P46" s="11">
        <v>0.61</v>
      </c>
      <c r="Q46" s="7" t="s">
        <v>339</v>
      </c>
      <c r="R46" s="7">
        <v>37.67</v>
      </c>
      <c r="S46" s="11">
        <v>2.5299999999999998</v>
      </c>
      <c r="T46" s="11">
        <v>2.86</v>
      </c>
      <c r="U46" s="7" t="s">
        <v>474</v>
      </c>
      <c r="V46" s="7">
        <v>25.74</v>
      </c>
      <c r="W46" s="11">
        <v>2.64</v>
      </c>
      <c r="X46" s="11">
        <v>1.79</v>
      </c>
      <c r="Y46" s="7" t="s">
        <v>470</v>
      </c>
      <c r="Z46" s="7">
        <v>56.56</v>
      </c>
      <c r="AA46" s="11">
        <v>0.6</v>
      </c>
      <c r="AB46" s="11">
        <v>2.7</v>
      </c>
      <c r="AC46" s="7" t="s">
        <v>390</v>
      </c>
      <c r="AD46" s="7">
        <v>3.89</v>
      </c>
      <c r="AE46" s="11">
        <v>4.42</v>
      </c>
      <c r="AF46" s="11">
        <v>2.09</v>
      </c>
      <c r="AG46" s="7" t="s">
        <v>127</v>
      </c>
      <c r="AH46" s="7">
        <v>3.42</v>
      </c>
      <c r="AI46" s="11">
        <v>0.28999999999999998</v>
      </c>
      <c r="AJ46" s="11">
        <v>0.57999999999999996</v>
      </c>
      <c r="AK46" s="7" t="s">
        <v>475</v>
      </c>
      <c r="AL46" s="7">
        <v>142.16999999999999</v>
      </c>
      <c r="AM46" s="11">
        <v>1.82</v>
      </c>
      <c r="AN46" s="11">
        <v>6.6</v>
      </c>
    </row>
    <row r="47" spans="1:40" x14ac:dyDescent="0.3">
      <c r="A47" s="9">
        <v>45541</v>
      </c>
      <c r="B47" s="7" t="s">
        <v>19</v>
      </c>
      <c r="C47" s="7" t="str">
        <f t="shared" si="0"/>
        <v>45541B</v>
      </c>
      <c r="D47" s="7" t="s">
        <v>312</v>
      </c>
      <c r="E47" s="7">
        <v>14.94</v>
      </c>
      <c r="F47" s="10">
        <v>32.090000000000003</v>
      </c>
      <c r="G47" s="7" t="s">
        <v>214</v>
      </c>
      <c r="H47" s="7">
        <v>16.559999999999999</v>
      </c>
      <c r="I47" s="7"/>
      <c r="J47" s="7" t="s">
        <v>476</v>
      </c>
      <c r="K47" s="7">
        <v>77.09</v>
      </c>
      <c r="L47" s="11">
        <v>2.71</v>
      </c>
      <c r="M47" s="7" t="s">
        <v>103</v>
      </c>
      <c r="N47" s="7">
        <v>8</v>
      </c>
      <c r="O47" s="11">
        <v>1.84</v>
      </c>
      <c r="P47" s="11">
        <v>1.84</v>
      </c>
      <c r="Q47" s="7" t="s">
        <v>289</v>
      </c>
      <c r="R47" s="7">
        <v>37.4</v>
      </c>
      <c r="S47" s="11">
        <v>3.35</v>
      </c>
      <c r="T47" s="11">
        <v>3.55</v>
      </c>
      <c r="U47" s="7" t="s">
        <v>477</v>
      </c>
      <c r="V47" s="7">
        <v>26.98</v>
      </c>
      <c r="W47" s="11">
        <v>1.88</v>
      </c>
      <c r="X47" s="11">
        <v>2.93</v>
      </c>
      <c r="Y47" s="7" t="s">
        <v>478</v>
      </c>
      <c r="Z47" s="7">
        <v>56.56</v>
      </c>
      <c r="AA47" s="11">
        <v>0.14000000000000001</v>
      </c>
      <c r="AB47" s="11">
        <v>2.7</v>
      </c>
      <c r="AC47" s="7" t="s">
        <v>423</v>
      </c>
      <c r="AD47" s="7">
        <v>3.7</v>
      </c>
      <c r="AE47" s="11">
        <v>6.8</v>
      </c>
      <c r="AF47" s="11">
        <v>2.88</v>
      </c>
      <c r="AG47" s="7" t="s">
        <v>284</v>
      </c>
      <c r="AH47" s="7">
        <v>3.25</v>
      </c>
      <c r="AI47" s="11">
        <v>4.97</v>
      </c>
      <c r="AJ47" s="11">
        <v>4.41</v>
      </c>
      <c r="AK47" s="7" t="s">
        <v>479</v>
      </c>
      <c r="AL47" s="7">
        <v>144.6</v>
      </c>
      <c r="AM47" s="11">
        <v>1.38</v>
      </c>
      <c r="AN47" s="11">
        <v>5.01</v>
      </c>
    </row>
    <row r="48" spans="1:40" ht="18" x14ac:dyDescent="0.35">
      <c r="A48" s="9">
        <v>45541</v>
      </c>
      <c r="B48" s="7" t="s">
        <v>20</v>
      </c>
      <c r="C48" s="7" t="str">
        <f t="shared" si="0"/>
        <v>45541C</v>
      </c>
      <c r="D48" s="7" t="s">
        <v>480</v>
      </c>
      <c r="E48" s="7">
        <v>16.91</v>
      </c>
      <c r="F48" s="10">
        <v>31.9</v>
      </c>
      <c r="G48" s="7" t="s">
        <v>214</v>
      </c>
      <c r="H48" s="7">
        <v>12.37</v>
      </c>
      <c r="I48" s="7"/>
      <c r="J48" s="7" t="s">
        <v>481</v>
      </c>
      <c r="K48" s="7">
        <v>84.71</v>
      </c>
      <c r="L48" s="11">
        <v>13.93</v>
      </c>
      <c r="M48" s="7" t="s">
        <v>482</v>
      </c>
      <c r="N48" s="7">
        <v>8.1999999999999993</v>
      </c>
      <c r="O48" s="10">
        <v>3.92</v>
      </c>
      <c r="P48" s="11">
        <v>0.61</v>
      </c>
      <c r="Q48" s="7" t="s">
        <v>225</v>
      </c>
      <c r="R48" s="7">
        <v>37.880000000000003</v>
      </c>
      <c r="S48" s="11">
        <v>1.32</v>
      </c>
      <c r="T48" s="11">
        <v>2.3199999999999998</v>
      </c>
      <c r="U48" s="7" t="s">
        <v>483</v>
      </c>
      <c r="V48" s="7">
        <v>27.12</v>
      </c>
      <c r="W48" s="11">
        <v>1.42</v>
      </c>
      <c r="X48" s="11">
        <v>3.47</v>
      </c>
      <c r="Y48" s="7" t="s">
        <v>484</v>
      </c>
      <c r="Z48" s="7">
        <v>56.56</v>
      </c>
      <c r="AA48" s="11">
        <v>0.23</v>
      </c>
      <c r="AB48" s="11">
        <v>2.7</v>
      </c>
      <c r="AC48" s="7" t="s">
        <v>485</v>
      </c>
      <c r="AD48" s="7">
        <v>3.7</v>
      </c>
      <c r="AE48" s="11">
        <v>0.8</v>
      </c>
      <c r="AF48" s="11">
        <v>2.88</v>
      </c>
      <c r="AG48" s="7" t="s">
        <v>486</v>
      </c>
      <c r="AH48" s="7">
        <v>3.3</v>
      </c>
      <c r="AI48" s="11">
        <v>0.6</v>
      </c>
      <c r="AJ48" s="11">
        <v>2.94</v>
      </c>
      <c r="AK48" s="7" t="s">
        <v>487</v>
      </c>
      <c r="AL48" s="7">
        <v>146.75</v>
      </c>
      <c r="AM48" s="11">
        <v>0.79</v>
      </c>
      <c r="AN48" s="11">
        <v>3.59</v>
      </c>
    </row>
    <row r="49" spans="1:40" x14ac:dyDescent="0.3">
      <c r="A49" s="9">
        <v>45544</v>
      </c>
      <c r="B49" s="7" t="s">
        <v>21</v>
      </c>
      <c r="C49" s="7" t="str">
        <f t="shared" si="0"/>
        <v>45544A</v>
      </c>
      <c r="D49" s="7" t="s">
        <v>312</v>
      </c>
      <c r="E49" s="7">
        <v>19.64</v>
      </c>
      <c r="F49" s="10">
        <v>73.650000000000006</v>
      </c>
      <c r="G49" s="7" t="s">
        <v>214</v>
      </c>
      <c r="H49" s="7">
        <v>15.06</v>
      </c>
      <c r="I49" s="7"/>
      <c r="J49" s="7" t="s">
        <v>488</v>
      </c>
      <c r="K49" s="7">
        <v>61</v>
      </c>
      <c r="L49" s="11">
        <v>21.89</v>
      </c>
      <c r="M49" s="7" t="s">
        <v>294</v>
      </c>
      <c r="N49" s="7">
        <v>8.6</v>
      </c>
      <c r="O49" s="10">
        <v>7.9</v>
      </c>
      <c r="P49" s="10">
        <v>5.52</v>
      </c>
      <c r="Q49" s="7" t="s">
        <v>489</v>
      </c>
      <c r="R49" s="7">
        <v>37.14</v>
      </c>
      <c r="S49" s="11">
        <v>2.95</v>
      </c>
      <c r="T49" s="11">
        <v>4.22</v>
      </c>
      <c r="U49" s="7" t="s">
        <v>490</v>
      </c>
      <c r="V49" s="13">
        <v>30.01</v>
      </c>
      <c r="W49" s="10">
        <v>12.73</v>
      </c>
      <c r="X49" s="10">
        <v>14.49</v>
      </c>
      <c r="Y49" s="7" t="s">
        <v>491</v>
      </c>
      <c r="Z49" s="12">
        <v>56.2</v>
      </c>
      <c r="AA49" s="11">
        <v>0.37</v>
      </c>
      <c r="AB49" s="11">
        <v>2.0499999999999998</v>
      </c>
      <c r="AC49" s="7" t="s">
        <v>160</v>
      </c>
      <c r="AD49" s="12">
        <v>3.7</v>
      </c>
      <c r="AE49" s="11">
        <v>1.33</v>
      </c>
      <c r="AF49" s="11">
        <v>2.88</v>
      </c>
      <c r="AG49" s="7" t="s">
        <v>145</v>
      </c>
      <c r="AH49" s="13">
        <v>3.59</v>
      </c>
      <c r="AI49" s="10">
        <v>7.8</v>
      </c>
      <c r="AJ49" s="11">
        <v>5.58</v>
      </c>
      <c r="AK49" s="7" t="s">
        <v>492</v>
      </c>
      <c r="AL49" s="7">
        <v>131.71</v>
      </c>
      <c r="AM49" s="10">
        <v>10.77</v>
      </c>
      <c r="AN49" s="10">
        <v>13.47</v>
      </c>
    </row>
    <row r="50" spans="1:40" x14ac:dyDescent="0.3">
      <c r="A50" s="9">
        <v>45544</v>
      </c>
      <c r="B50" s="7" t="s">
        <v>19</v>
      </c>
      <c r="C50" s="7" t="str">
        <f t="shared" si="0"/>
        <v>45544B</v>
      </c>
      <c r="D50" s="7" t="s">
        <v>264</v>
      </c>
      <c r="E50" s="7">
        <v>17.36</v>
      </c>
      <c r="F50" s="10">
        <v>52.54</v>
      </c>
      <c r="G50" s="7" t="s">
        <v>214</v>
      </c>
      <c r="H50" s="7">
        <v>15.71</v>
      </c>
      <c r="I50" s="7"/>
      <c r="J50" s="7" t="s">
        <v>265</v>
      </c>
      <c r="K50" s="7">
        <v>66.260000000000005</v>
      </c>
      <c r="L50" s="10">
        <v>40.35</v>
      </c>
      <c r="M50" s="7" t="s">
        <v>493</v>
      </c>
      <c r="N50" s="7">
        <v>8.64</v>
      </c>
      <c r="O50" s="11">
        <v>0.46</v>
      </c>
      <c r="P50" s="10">
        <v>6.01</v>
      </c>
      <c r="Q50" s="7" t="s">
        <v>366</v>
      </c>
      <c r="R50" s="13">
        <v>44</v>
      </c>
      <c r="S50" s="10">
        <v>14.4</v>
      </c>
      <c r="T50" s="10">
        <v>13.46</v>
      </c>
      <c r="U50" s="7" t="s">
        <v>494</v>
      </c>
      <c r="V50" s="7">
        <v>26.75</v>
      </c>
      <c r="W50" s="11">
        <v>0.28999999999999998</v>
      </c>
      <c r="X50" s="11">
        <v>2.06</v>
      </c>
      <c r="Y50" s="7" t="s">
        <v>350</v>
      </c>
      <c r="Z50" s="13">
        <v>57.41</v>
      </c>
      <c r="AA50" s="11">
        <v>2.17</v>
      </c>
      <c r="AB50" s="11">
        <v>4.24</v>
      </c>
      <c r="AC50" s="7" t="s">
        <v>495</v>
      </c>
      <c r="AD50" s="7">
        <v>4.1900000000000004</v>
      </c>
      <c r="AE50" s="10">
        <v>8.5399999999999991</v>
      </c>
      <c r="AF50" s="10">
        <v>9.9700000000000006</v>
      </c>
      <c r="AG50" s="7" t="s">
        <v>120</v>
      </c>
      <c r="AH50" s="13">
        <v>3.85</v>
      </c>
      <c r="AI50" s="10">
        <v>10.95</v>
      </c>
      <c r="AJ50" s="10">
        <v>13.23</v>
      </c>
      <c r="AK50" s="7" t="s">
        <v>496</v>
      </c>
      <c r="AL50" s="7">
        <v>157</v>
      </c>
      <c r="AM50" s="10">
        <v>10.24</v>
      </c>
      <c r="AN50" s="11">
        <v>3.13</v>
      </c>
    </row>
    <row r="51" spans="1:40" ht="18" x14ac:dyDescent="0.35">
      <c r="A51" s="9">
        <v>45547</v>
      </c>
      <c r="B51" s="7" t="s">
        <v>21</v>
      </c>
      <c r="C51" s="7" t="str">
        <f t="shared" si="0"/>
        <v>45547A</v>
      </c>
      <c r="D51" s="7" t="s">
        <v>407</v>
      </c>
      <c r="E51" s="7">
        <v>11.92</v>
      </c>
      <c r="F51" s="11">
        <v>4.6500000000000004</v>
      </c>
      <c r="G51" s="7" t="s">
        <v>497</v>
      </c>
      <c r="H51" s="7">
        <v>16.45</v>
      </c>
      <c r="I51" s="11">
        <v>8.4</v>
      </c>
      <c r="J51" s="7" t="s">
        <v>498</v>
      </c>
      <c r="K51" s="7">
        <v>62.22</v>
      </c>
      <c r="L51" s="10">
        <v>35.9</v>
      </c>
      <c r="M51" s="7" t="s">
        <v>499</v>
      </c>
      <c r="N51" s="7">
        <v>8.5500000000000007</v>
      </c>
      <c r="O51" s="11">
        <v>0.46</v>
      </c>
      <c r="P51" s="10">
        <v>4.9000000000000004</v>
      </c>
      <c r="Q51" s="7" t="s">
        <v>463</v>
      </c>
      <c r="R51" s="7">
        <v>38.67</v>
      </c>
      <c r="S51" s="11">
        <v>0.33</v>
      </c>
      <c r="T51" s="11">
        <v>0.28000000000000003</v>
      </c>
      <c r="U51" s="7" t="s">
        <v>500</v>
      </c>
      <c r="V51" s="7">
        <v>26.77</v>
      </c>
      <c r="W51" s="11">
        <v>2.84</v>
      </c>
      <c r="X51" s="11">
        <v>2.13</v>
      </c>
      <c r="Y51" s="7" t="s">
        <v>501</v>
      </c>
      <c r="Z51" s="12">
        <v>56.59</v>
      </c>
      <c r="AA51" s="11">
        <v>0.91</v>
      </c>
      <c r="AB51" s="11">
        <v>2.76</v>
      </c>
      <c r="AC51" s="7" t="s">
        <v>107</v>
      </c>
      <c r="AD51" s="7">
        <v>4.2300000000000004</v>
      </c>
      <c r="AE51" s="11">
        <v>2.91</v>
      </c>
      <c r="AF51" s="10">
        <v>11.02</v>
      </c>
      <c r="AG51" s="7" t="s">
        <v>343</v>
      </c>
      <c r="AH51" s="13">
        <v>3.67</v>
      </c>
      <c r="AI51" s="11">
        <v>5.15</v>
      </c>
      <c r="AJ51" s="10">
        <v>7.94</v>
      </c>
      <c r="AK51" s="7" t="s">
        <v>502</v>
      </c>
      <c r="AL51" s="7">
        <v>135.66999999999999</v>
      </c>
      <c r="AM51" s="11">
        <v>6.21</v>
      </c>
      <c r="AN51" s="10">
        <v>10.87</v>
      </c>
    </row>
    <row r="52" spans="1:40" ht="18" x14ac:dyDescent="0.35">
      <c r="A52" s="9">
        <v>45547</v>
      </c>
      <c r="B52" s="7" t="s">
        <v>19</v>
      </c>
      <c r="C52" s="7" t="str">
        <f t="shared" si="0"/>
        <v>45547B</v>
      </c>
      <c r="D52" s="7" t="s">
        <v>392</v>
      </c>
      <c r="E52" s="7">
        <v>10.71</v>
      </c>
      <c r="F52" s="10">
        <v>6.13</v>
      </c>
      <c r="G52" s="7" t="s">
        <v>398</v>
      </c>
      <c r="H52" s="7">
        <v>14.43</v>
      </c>
      <c r="I52" s="10">
        <v>19.829999999999998</v>
      </c>
      <c r="J52" s="7" t="s">
        <v>503</v>
      </c>
      <c r="K52" s="7">
        <v>80.63</v>
      </c>
      <c r="L52" s="11">
        <v>24.37</v>
      </c>
      <c r="M52" s="7" t="s">
        <v>504</v>
      </c>
      <c r="N52" s="7">
        <v>8.36</v>
      </c>
      <c r="O52" s="10">
        <v>3.24</v>
      </c>
      <c r="P52" s="11">
        <v>2.57</v>
      </c>
      <c r="Q52" s="7" t="s">
        <v>339</v>
      </c>
      <c r="R52" s="7">
        <v>37.33</v>
      </c>
      <c r="S52" s="11">
        <v>3.41</v>
      </c>
      <c r="T52" s="11">
        <v>3.73</v>
      </c>
      <c r="U52" s="7" t="s">
        <v>505</v>
      </c>
      <c r="V52" s="7">
        <v>27.63</v>
      </c>
      <c r="W52" s="10">
        <v>6.1</v>
      </c>
      <c r="X52" s="10">
        <v>5.41</v>
      </c>
      <c r="Y52" s="7" t="s">
        <v>506</v>
      </c>
      <c r="Z52" s="7">
        <v>57.07</v>
      </c>
      <c r="AA52" s="11">
        <v>0.91</v>
      </c>
      <c r="AB52" s="11">
        <v>3.63</v>
      </c>
      <c r="AC52" s="7" t="s">
        <v>507</v>
      </c>
      <c r="AD52" s="7">
        <v>3.99</v>
      </c>
      <c r="AE52" s="11">
        <v>6.11</v>
      </c>
      <c r="AF52" s="11">
        <v>4.72</v>
      </c>
      <c r="AG52" s="13" t="s">
        <v>351</v>
      </c>
      <c r="AH52" s="7">
        <v>3.49</v>
      </c>
      <c r="AI52" s="11">
        <v>0.85</v>
      </c>
      <c r="AJ52" s="11">
        <v>2.64</v>
      </c>
      <c r="AK52" s="7" t="s">
        <v>508</v>
      </c>
      <c r="AL52" s="7">
        <v>135.25</v>
      </c>
      <c r="AM52" s="11">
        <v>5.12</v>
      </c>
      <c r="AN52" s="10">
        <v>11.15</v>
      </c>
    </row>
    <row r="53" spans="1:40" x14ac:dyDescent="0.3">
      <c r="A53" s="9">
        <v>45547</v>
      </c>
      <c r="B53" s="7" t="s">
        <v>20</v>
      </c>
      <c r="C53" s="7" t="str">
        <f t="shared" si="0"/>
        <v>45547C</v>
      </c>
      <c r="D53" s="7" t="s">
        <v>222</v>
      </c>
      <c r="E53" s="7">
        <v>7.4</v>
      </c>
      <c r="F53" s="10">
        <v>34.85</v>
      </c>
      <c r="G53" s="7" t="s">
        <v>214</v>
      </c>
      <c r="H53" s="7">
        <v>6.89</v>
      </c>
      <c r="I53" s="7"/>
      <c r="J53" s="7" t="s">
        <v>509</v>
      </c>
      <c r="K53" s="7">
        <v>95.03</v>
      </c>
      <c r="L53" s="11">
        <v>5.12</v>
      </c>
      <c r="M53" s="7" t="s">
        <v>510</v>
      </c>
      <c r="N53" s="7">
        <v>8.32</v>
      </c>
      <c r="O53" s="11">
        <v>0.83</v>
      </c>
      <c r="P53" s="11">
        <v>2.08</v>
      </c>
      <c r="Q53" s="7" t="s">
        <v>366</v>
      </c>
      <c r="R53" s="7">
        <v>39</v>
      </c>
      <c r="S53" s="11">
        <v>1.4</v>
      </c>
      <c r="T53" s="11">
        <v>0.56000000000000005</v>
      </c>
      <c r="U53" s="7" t="s">
        <v>433</v>
      </c>
      <c r="V53" s="7">
        <v>26.43</v>
      </c>
      <c r="W53" s="11">
        <v>0.26</v>
      </c>
      <c r="X53" s="11">
        <v>0.83</v>
      </c>
      <c r="Y53" s="7" t="s">
        <v>511</v>
      </c>
      <c r="Z53" s="7">
        <v>57.07</v>
      </c>
      <c r="AA53" s="11">
        <v>0.54</v>
      </c>
      <c r="AB53" s="11">
        <v>3.63</v>
      </c>
      <c r="AC53" s="7" t="s">
        <v>276</v>
      </c>
      <c r="AD53" s="7">
        <v>3.99</v>
      </c>
      <c r="AE53" s="11">
        <v>1.23</v>
      </c>
      <c r="AF53" s="11">
        <v>4.72</v>
      </c>
      <c r="AG53" s="7" t="s">
        <v>512</v>
      </c>
      <c r="AH53" s="7">
        <v>3.41</v>
      </c>
      <c r="AI53" s="11">
        <v>0.87</v>
      </c>
      <c r="AJ53" s="11">
        <v>0.28999999999999998</v>
      </c>
      <c r="AK53" s="7" t="s">
        <v>513</v>
      </c>
      <c r="AL53" s="7">
        <v>140.29</v>
      </c>
      <c r="AM53" s="11">
        <v>0.81</v>
      </c>
      <c r="AN53" s="11">
        <v>7.84</v>
      </c>
    </row>
    <row r="54" spans="1:40" ht="18" x14ac:dyDescent="0.35">
      <c r="A54" s="9">
        <v>45548</v>
      </c>
      <c r="B54" s="7" t="s">
        <v>19</v>
      </c>
      <c r="C54" s="7" t="str">
        <f t="shared" si="0"/>
        <v>45548B</v>
      </c>
      <c r="D54" s="7" t="s">
        <v>472</v>
      </c>
      <c r="E54" s="7">
        <v>13.64</v>
      </c>
      <c r="F54" s="10">
        <v>20.7</v>
      </c>
      <c r="G54" s="7" t="s">
        <v>214</v>
      </c>
      <c r="H54" s="7">
        <v>16.03</v>
      </c>
      <c r="I54" s="7"/>
      <c r="J54" s="7" t="s">
        <v>514</v>
      </c>
      <c r="K54" s="7">
        <v>79.010000000000005</v>
      </c>
      <c r="L54" s="11">
        <v>9.2200000000000006</v>
      </c>
      <c r="M54" s="7" t="s">
        <v>288</v>
      </c>
      <c r="N54" s="7">
        <v>7.7</v>
      </c>
      <c r="O54" s="10">
        <v>5.63</v>
      </c>
      <c r="P54" s="10">
        <v>5.52</v>
      </c>
      <c r="Q54" s="7" t="s">
        <v>421</v>
      </c>
      <c r="R54" s="7">
        <v>38</v>
      </c>
      <c r="S54" s="11">
        <v>1.04</v>
      </c>
      <c r="T54" s="11">
        <v>2.0099999999999998</v>
      </c>
      <c r="U54" s="7" t="s">
        <v>515</v>
      </c>
      <c r="V54" s="7">
        <v>26.54</v>
      </c>
      <c r="W54" s="11">
        <v>0.18</v>
      </c>
      <c r="X54" s="11">
        <v>1.25</v>
      </c>
      <c r="Y54" s="7" t="s">
        <v>516</v>
      </c>
      <c r="Z54" s="12">
        <v>57.13</v>
      </c>
      <c r="AA54" s="11">
        <v>0.36</v>
      </c>
      <c r="AB54" s="11">
        <v>3.74</v>
      </c>
      <c r="AC54" s="7" t="s">
        <v>283</v>
      </c>
      <c r="AD54" s="12">
        <v>3.6</v>
      </c>
      <c r="AE54" s="10">
        <v>10.44</v>
      </c>
      <c r="AF54" s="11">
        <v>5.51</v>
      </c>
      <c r="AG54" s="7" t="s">
        <v>184</v>
      </c>
      <c r="AH54" s="7">
        <v>3.28</v>
      </c>
      <c r="AI54" s="11">
        <v>3.52</v>
      </c>
      <c r="AJ54" s="11">
        <v>3.52</v>
      </c>
      <c r="AK54" s="7" t="s">
        <v>517</v>
      </c>
      <c r="AL54" s="7">
        <v>145.75</v>
      </c>
      <c r="AM54" s="11">
        <v>1.78</v>
      </c>
      <c r="AN54" s="11">
        <v>4.25</v>
      </c>
    </row>
    <row r="55" spans="1:40" x14ac:dyDescent="0.3">
      <c r="A55" s="9">
        <v>45548</v>
      </c>
      <c r="B55" s="7" t="s">
        <v>20</v>
      </c>
      <c r="C55" s="7" t="str">
        <f t="shared" si="0"/>
        <v>45548C</v>
      </c>
      <c r="D55" s="7" t="s">
        <v>518</v>
      </c>
      <c r="E55" s="7">
        <v>14.34</v>
      </c>
      <c r="F55" s="10">
        <v>37.020000000000003</v>
      </c>
      <c r="G55" s="7" t="s">
        <v>214</v>
      </c>
      <c r="H55" s="7">
        <v>12</v>
      </c>
      <c r="I55" s="7"/>
      <c r="J55" s="7" t="s">
        <v>519</v>
      </c>
      <c r="K55" s="7">
        <v>95.07</v>
      </c>
      <c r="L55" s="10">
        <v>32.06</v>
      </c>
      <c r="M55" s="7" t="s">
        <v>294</v>
      </c>
      <c r="N55" s="7">
        <v>8.08</v>
      </c>
      <c r="O55" s="11">
        <v>1.38</v>
      </c>
      <c r="P55" s="11">
        <v>0.85</v>
      </c>
      <c r="Q55" s="7" t="s">
        <v>384</v>
      </c>
      <c r="R55" s="7">
        <v>38.44</v>
      </c>
      <c r="S55" s="11">
        <v>0.02</v>
      </c>
      <c r="T55" s="11">
        <v>0.87</v>
      </c>
      <c r="U55" s="7" t="s">
        <v>483</v>
      </c>
      <c r="V55" s="7">
        <v>25.8</v>
      </c>
      <c r="W55" s="11">
        <v>3.51</v>
      </c>
      <c r="X55" s="11">
        <v>1.56</v>
      </c>
      <c r="Y55" s="7" t="s">
        <v>511</v>
      </c>
      <c r="Z55" s="7">
        <v>57.13</v>
      </c>
      <c r="AA55" s="11">
        <v>0.65</v>
      </c>
      <c r="AB55" s="11">
        <v>3.74</v>
      </c>
      <c r="AC55" s="7" t="s">
        <v>520</v>
      </c>
      <c r="AD55" s="7">
        <v>3.6</v>
      </c>
      <c r="AE55" s="11">
        <v>1.36</v>
      </c>
      <c r="AF55" s="11">
        <v>5.51</v>
      </c>
      <c r="AG55" s="7" t="s">
        <v>161</v>
      </c>
      <c r="AH55" s="7">
        <v>3.33</v>
      </c>
      <c r="AI55" s="11">
        <v>0.9</v>
      </c>
      <c r="AJ55" s="11">
        <v>2.0499999999999998</v>
      </c>
      <c r="AK55" s="7" t="s">
        <v>521</v>
      </c>
      <c r="AL55" s="7">
        <v>149.78</v>
      </c>
      <c r="AM55" s="11">
        <v>0.89</v>
      </c>
      <c r="AN55" s="11">
        <v>1.6</v>
      </c>
    </row>
    <row r="56" spans="1:40" ht="18" x14ac:dyDescent="0.35">
      <c r="A56" s="9">
        <v>45549</v>
      </c>
      <c r="B56" s="7" t="s">
        <v>21</v>
      </c>
      <c r="C56" s="7" t="str">
        <f t="shared" si="0"/>
        <v>45549A</v>
      </c>
      <c r="D56" s="7" t="s">
        <v>522</v>
      </c>
      <c r="E56" s="7">
        <v>22.96</v>
      </c>
      <c r="F56" s="10">
        <v>34.82</v>
      </c>
      <c r="G56" s="7" t="s">
        <v>214</v>
      </c>
      <c r="H56" s="7">
        <v>16.93</v>
      </c>
      <c r="I56" s="7"/>
      <c r="J56" s="7" t="s">
        <v>523</v>
      </c>
      <c r="K56" s="7">
        <v>85.92</v>
      </c>
      <c r="L56" s="11">
        <v>24.23</v>
      </c>
      <c r="M56" s="7" t="s">
        <v>524</v>
      </c>
      <c r="N56" s="7">
        <v>7.7</v>
      </c>
      <c r="O56" s="11">
        <v>2.16</v>
      </c>
      <c r="P56" s="10">
        <v>5.52</v>
      </c>
      <c r="Q56" s="7" t="s">
        <v>384</v>
      </c>
      <c r="R56" s="7">
        <v>37</v>
      </c>
      <c r="S56" s="11">
        <v>3.77</v>
      </c>
      <c r="T56" s="11">
        <v>4.58</v>
      </c>
      <c r="U56" s="7" t="s">
        <v>433</v>
      </c>
      <c r="V56" s="7">
        <v>26.77</v>
      </c>
      <c r="W56" s="11">
        <v>1.01</v>
      </c>
      <c r="X56" s="11">
        <v>2.13</v>
      </c>
      <c r="Y56" s="7" t="s">
        <v>525</v>
      </c>
      <c r="Z56" s="12">
        <v>54.95</v>
      </c>
      <c r="AA56" s="11">
        <v>3.17</v>
      </c>
      <c r="AB56" s="11">
        <v>0.21</v>
      </c>
      <c r="AC56" s="7" t="s">
        <v>526</v>
      </c>
      <c r="AD56" s="7">
        <v>3.51</v>
      </c>
      <c r="AE56" s="11">
        <v>4.09</v>
      </c>
      <c r="AF56" s="11">
        <v>7.87</v>
      </c>
      <c r="AG56" s="7" t="s">
        <v>527</v>
      </c>
      <c r="AH56" s="7">
        <v>3.23</v>
      </c>
      <c r="AI56" s="11">
        <v>1.82</v>
      </c>
      <c r="AJ56" s="11">
        <v>4.99</v>
      </c>
      <c r="AK56" s="7" t="s">
        <v>528</v>
      </c>
      <c r="AL56" s="7">
        <v>141</v>
      </c>
      <c r="AM56" s="11">
        <v>3.97</v>
      </c>
      <c r="AN56" s="11">
        <v>7.37</v>
      </c>
    </row>
    <row r="57" spans="1:40" ht="18" x14ac:dyDescent="0.35">
      <c r="A57" s="9">
        <v>45549</v>
      </c>
      <c r="B57" s="7" t="s">
        <v>19</v>
      </c>
      <c r="C57" s="7" t="str">
        <f t="shared" si="0"/>
        <v>45549B</v>
      </c>
      <c r="D57" s="7" t="s">
        <v>529</v>
      </c>
      <c r="E57" s="7">
        <v>23.18</v>
      </c>
      <c r="F57" s="10">
        <v>104.77</v>
      </c>
      <c r="G57" s="7" t="s">
        <v>214</v>
      </c>
      <c r="H57" s="7">
        <v>15.4</v>
      </c>
      <c r="I57" s="7"/>
      <c r="J57" s="7" t="s">
        <v>530</v>
      </c>
      <c r="K57" s="7">
        <v>94.12</v>
      </c>
      <c r="L57" s="11">
        <v>14.18</v>
      </c>
      <c r="M57" s="7" t="s">
        <v>531</v>
      </c>
      <c r="N57" s="7">
        <v>8.1</v>
      </c>
      <c r="O57" s="11">
        <v>2.92</v>
      </c>
      <c r="P57" s="11">
        <v>0.61</v>
      </c>
      <c r="Q57" s="7" t="s">
        <v>281</v>
      </c>
      <c r="R57" s="7">
        <v>38.25</v>
      </c>
      <c r="S57" s="11">
        <v>0.64</v>
      </c>
      <c r="T57" s="11">
        <v>1.36</v>
      </c>
      <c r="U57" s="7" t="s">
        <v>532</v>
      </c>
      <c r="V57" s="7">
        <v>26.9</v>
      </c>
      <c r="W57" s="11">
        <v>0.14000000000000001</v>
      </c>
      <c r="X57" s="11">
        <v>2.63</v>
      </c>
      <c r="Y57" s="7" t="s">
        <v>275</v>
      </c>
      <c r="Z57" s="7">
        <v>54.95</v>
      </c>
      <c r="AA57" s="11">
        <v>0.43</v>
      </c>
      <c r="AB57" s="11">
        <v>0.21</v>
      </c>
      <c r="AC57" s="7" t="s">
        <v>533</v>
      </c>
      <c r="AD57" s="7">
        <v>3.82</v>
      </c>
      <c r="AE57" s="11">
        <v>6.7</v>
      </c>
      <c r="AF57" s="11">
        <v>0.26</v>
      </c>
      <c r="AG57" s="7" t="s">
        <v>534</v>
      </c>
      <c r="AH57" s="7">
        <v>3.38</v>
      </c>
      <c r="AI57" s="11">
        <v>1.8</v>
      </c>
      <c r="AJ57" s="11">
        <v>0.57999999999999996</v>
      </c>
      <c r="AK57" s="7" t="s">
        <v>535</v>
      </c>
      <c r="AL57" s="7">
        <v>146.75</v>
      </c>
      <c r="AM57" s="11">
        <v>1.4</v>
      </c>
      <c r="AN57" s="11">
        <v>3.59</v>
      </c>
    </row>
    <row r="58" spans="1:40" ht="18" x14ac:dyDescent="0.35">
      <c r="A58" s="9">
        <v>45549</v>
      </c>
      <c r="B58" s="7" t="s">
        <v>20</v>
      </c>
      <c r="C58" s="7" t="str">
        <f t="shared" si="0"/>
        <v>45549C</v>
      </c>
      <c r="D58" s="7" t="s">
        <v>536</v>
      </c>
      <c r="E58" s="7">
        <v>22.04</v>
      </c>
      <c r="F58" s="10">
        <v>94.18</v>
      </c>
      <c r="G58" s="7" t="s">
        <v>214</v>
      </c>
      <c r="H58" s="7">
        <v>8.75</v>
      </c>
      <c r="I58" s="7"/>
      <c r="J58" s="7" t="s">
        <v>537</v>
      </c>
      <c r="K58" s="7">
        <v>102.68</v>
      </c>
      <c r="L58" s="11">
        <v>5.84</v>
      </c>
      <c r="M58" s="7" t="s">
        <v>224</v>
      </c>
      <c r="N58" s="7">
        <v>8.3000000000000007</v>
      </c>
      <c r="O58" s="10">
        <v>3.75</v>
      </c>
      <c r="P58" s="11">
        <v>1.84</v>
      </c>
      <c r="Q58" s="7" t="s">
        <v>233</v>
      </c>
      <c r="R58" s="7">
        <v>39.33</v>
      </c>
      <c r="S58" s="11">
        <v>2.34</v>
      </c>
      <c r="T58" s="11">
        <v>1.41</v>
      </c>
      <c r="U58" s="7" t="s">
        <v>303</v>
      </c>
      <c r="V58" s="7">
        <v>27.23</v>
      </c>
      <c r="W58" s="11">
        <v>2.36</v>
      </c>
      <c r="X58" s="11">
        <v>3.89</v>
      </c>
      <c r="Y58" s="7" t="s">
        <v>282</v>
      </c>
      <c r="Z58" s="7">
        <v>54.95</v>
      </c>
      <c r="AA58" s="11">
        <v>0.39</v>
      </c>
      <c r="AB58" s="11">
        <v>0.21</v>
      </c>
      <c r="AC58" s="7" t="s">
        <v>538</v>
      </c>
      <c r="AD58" s="7">
        <v>3.82</v>
      </c>
      <c r="AE58" s="11">
        <v>0.79</v>
      </c>
      <c r="AF58" s="11">
        <v>0.26</v>
      </c>
      <c r="AG58" s="7" t="s">
        <v>145</v>
      </c>
      <c r="AH58" s="7">
        <v>3.44</v>
      </c>
      <c r="AI58" s="11">
        <v>3.3</v>
      </c>
      <c r="AJ58" s="11">
        <v>1.17</v>
      </c>
      <c r="AK58" s="7" t="s">
        <v>539</v>
      </c>
      <c r="AL58" s="7">
        <v>145.16999999999999</v>
      </c>
      <c r="AM58" s="11">
        <v>1.84</v>
      </c>
      <c r="AN58" s="11">
        <v>4.63</v>
      </c>
    </row>
    <row r="59" spans="1:40" x14ac:dyDescent="0.3">
      <c r="A59" s="9">
        <v>45551</v>
      </c>
      <c r="B59" s="7" t="s">
        <v>21</v>
      </c>
      <c r="C59" s="7" t="str">
        <f t="shared" si="0"/>
        <v>45551A</v>
      </c>
      <c r="D59" s="7" t="s">
        <v>222</v>
      </c>
      <c r="E59" s="7">
        <v>16.39</v>
      </c>
      <c r="F59" s="10">
        <v>44.27</v>
      </c>
      <c r="G59" s="7" t="s">
        <v>214</v>
      </c>
      <c r="H59" s="7">
        <v>12.27</v>
      </c>
      <c r="I59" s="7"/>
      <c r="J59" s="7" t="s">
        <v>540</v>
      </c>
      <c r="K59" s="7">
        <v>64.16</v>
      </c>
      <c r="L59" s="10">
        <v>36.49</v>
      </c>
      <c r="M59" s="7" t="s">
        <v>280</v>
      </c>
      <c r="N59" s="7">
        <v>8.31</v>
      </c>
      <c r="O59" s="11">
        <v>0.48</v>
      </c>
      <c r="P59" s="11">
        <v>1.96</v>
      </c>
      <c r="Q59" s="7" t="s">
        <v>541</v>
      </c>
      <c r="R59" s="7">
        <v>38</v>
      </c>
      <c r="S59" s="11">
        <v>1.0900000000000001</v>
      </c>
      <c r="T59" s="11">
        <v>2.0099999999999998</v>
      </c>
      <c r="U59" s="7" t="s">
        <v>542</v>
      </c>
      <c r="V59" s="7">
        <v>27.63</v>
      </c>
      <c r="W59" s="11">
        <v>4.6500000000000004</v>
      </c>
      <c r="X59" s="10">
        <v>5.41</v>
      </c>
      <c r="Y59" s="7" t="s">
        <v>282</v>
      </c>
      <c r="Z59" s="7">
        <v>55.87</v>
      </c>
      <c r="AA59" s="11">
        <v>1.26</v>
      </c>
      <c r="AB59" s="11">
        <v>1.45</v>
      </c>
      <c r="AC59" s="7" t="s">
        <v>495</v>
      </c>
      <c r="AD59" s="7">
        <v>3.82</v>
      </c>
      <c r="AE59" s="11">
        <v>1.03</v>
      </c>
      <c r="AF59" s="11">
        <v>0.26</v>
      </c>
      <c r="AG59" s="7" t="s">
        <v>323</v>
      </c>
      <c r="AH59" s="13">
        <v>3.64</v>
      </c>
      <c r="AI59" s="11">
        <v>6.74</v>
      </c>
      <c r="AJ59" s="10">
        <v>7.05</v>
      </c>
      <c r="AK59" s="7" t="s">
        <v>543</v>
      </c>
      <c r="AL59" s="7">
        <v>142</v>
      </c>
      <c r="AM59" s="11">
        <v>2.69</v>
      </c>
      <c r="AN59" s="11">
        <v>6.72</v>
      </c>
    </row>
    <row r="60" spans="1:40" ht="18" x14ac:dyDescent="0.35">
      <c r="A60" s="9">
        <v>45551</v>
      </c>
      <c r="B60" s="7" t="s">
        <v>19</v>
      </c>
      <c r="C60" s="7" t="str">
        <f t="shared" si="0"/>
        <v>45551B</v>
      </c>
      <c r="D60" s="7" t="s">
        <v>278</v>
      </c>
      <c r="E60" s="7">
        <v>12.2</v>
      </c>
      <c r="F60" s="10">
        <v>7.29</v>
      </c>
      <c r="G60" s="7" t="s">
        <v>214</v>
      </c>
      <c r="H60" s="7">
        <v>10.55</v>
      </c>
      <c r="I60" s="7"/>
      <c r="J60" s="7" t="s">
        <v>544</v>
      </c>
      <c r="K60" s="7">
        <v>79.08</v>
      </c>
      <c r="L60" s="10">
        <v>25.83</v>
      </c>
      <c r="M60" s="7" t="s">
        <v>545</v>
      </c>
      <c r="N60" s="7">
        <v>8.5</v>
      </c>
      <c r="O60" s="11">
        <v>0.35</v>
      </c>
      <c r="P60" s="10">
        <v>4.29</v>
      </c>
      <c r="Q60" s="7" t="s">
        <v>546</v>
      </c>
      <c r="R60" s="7">
        <v>39</v>
      </c>
      <c r="S60" s="11">
        <v>0.56000000000000005</v>
      </c>
      <c r="T60" s="11">
        <v>0.56000000000000005</v>
      </c>
      <c r="U60" s="7" t="s">
        <v>542</v>
      </c>
      <c r="V60" s="7">
        <v>27.78</v>
      </c>
      <c r="W60" s="10">
        <v>5.22</v>
      </c>
      <c r="X60" s="10">
        <v>5.99</v>
      </c>
      <c r="Y60" s="7" t="s">
        <v>547</v>
      </c>
      <c r="Z60" s="13">
        <v>57.41</v>
      </c>
      <c r="AA60" s="11">
        <v>2.64</v>
      </c>
      <c r="AB60" s="11">
        <v>4.24</v>
      </c>
      <c r="AC60" s="7" t="s">
        <v>183</v>
      </c>
      <c r="AD60" s="7">
        <v>4.28</v>
      </c>
      <c r="AE60" s="10">
        <v>8.08</v>
      </c>
      <c r="AF60" s="10">
        <v>12.33</v>
      </c>
      <c r="AG60" s="7" t="s">
        <v>548</v>
      </c>
      <c r="AH60" s="13">
        <v>3.74</v>
      </c>
      <c r="AI60" s="10">
        <v>7.78</v>
      </c>
      <c r="AJ60" s="10">
        <v>10</v>
      </c>
      <c r="AK60" s="7" t="s">
        <v>549</v>
      </c>
      <c r="AL60" s="7">
        <v>151.19999999999999</v>
      </c>
      <c r="AM60" s="11">
        <v>4.9400000000000004</v>
      </c>
      <c r="AN60" s="11">
        <v>0.67</v>
      </c>
    </row>
    <row r="61" spans="1:40" ht="18" x14ac:dyDescent="0.35">
      <c r="A61" s="9">
        <v>45551</v>
      </c>
      <c r="B61" s="7" t="s">
        <v>20</v>
      </c>
      <c r="C61" s="7" t="str">
        <f t="shared" si="0"/>
        <v>45551C</v>
      </c>
      <c r="D61" s="7" t="s">
        <v>353</v>
      </c>
      <c r="E61" s="7">
        <v>7.61</v>
      </c>
      <c r="F61" s="10">
        <v>33.36</v>
      </c>
      <c r="G61" s="7" t="s">
        <v>550</v>
      </c>
      <c r="H61" s="7">
        <v>7.1</v>
      </c>
      <c r="I61" s="10">
        <v>60.57</v>
      </c>
      <c r="J61" s="7" t="s">
        <v>551</v>
      </c>
      <c r="K61" s="7">
        <v>96.75</v>
      </c>
      <c r="L61" s="11">
        <v>13.14</v>
      </c>
      <c r="M61" s="7" t="s">
        <v>410</v>
      </c>
      <c r="N61" s="7">
        <v>8.1999999999999993</v>
      </c>
      <c r="O61" s="10">
        <v>3.52</v>
      </c>
      <c r="P61" s="11">
        <v>0.61</v>
      </c>
      <c r="Q61" s="7" t="s">
        <v>552</v>
      </c>
      <c r="R61" s="7">
        <v>38.17</v>
      </c>
      <c r="S61" s="11">
        <v>0.98</v>
      </c>
      <c r="T61" s="11">
        <v>1.57</v>
      </c>
      <c r="U61" s="7" t="s">
        <v>553</v>
      </c>
      <c r="V61" s="7">
        <v>25.9</v>
      </c>
      <c r="W61" s="11">
        <v>0.26</v>
      </c>
      <c r="X61" s="11">
        <v>1.18</v>
      </c>
      <c r="Y61" s="7" t="s">
        <v>373</v>
      </c>
      <c r="Z61" s="7">
        <v>57.4</v>
      </c>
      <c r="AA61" s="11">
        <v>0.59</v>
      </c>
      <c r="AB61" s="11">
        <v>4.2300000000000004</v>
      </c>
      <c r="AC61" s="7" t="s">
        <v>554</v>
      </c>
      <c r="AD61" s="7">
        <v>4.1399999999999997</v>
      </c>
      <c r="AE61" s="11">
        <v>0.48</v>
      </c>
      <c r="AF61" s="10">
        <v>8.66</v>
      </c>
      <c r="AG61" s="7" t="s">
        <v>555</v>
      </c>
      <c r="AH61" s="7">
        <v>3.46</v>
      </c>
      <c r="AI61" s="11">
        <v>0.28000000000000003</v>
      </c>
      <c r="AJ61" s="11">
        <v>1.76</v>
      </c>
      <c r="AK61" s="7" t="s">
        <v>556</v>
      </c>
      <c r="AL61" s="7">
        <v>146.5</v>
      </c>
      <c r="AM61" s="11">
        <v>0.04</v>
      </c>
      <c r="AN61" s="11">
        <v>3.76</v>
      </c>
    </row>
    <row r="62" spans="1:40" ht="18" x14ac:dyDescent="0.35">
      <c r="A62" s="9">
        <v>45552</v>
      </c>
      <c r="B62" s="7" t="s">
        <v>21</v>
      </c>
      <c r="C62" s="7" t="str">
        <f t="shared" si="0"/>
        <v>45552A</v>
      </c>
      <c r="D62" s="7" t="s">
        <v>557</v>
      </c>
      <c r="E62" s="7">
        <v>14.21</v>
      </c>
      <c r="F62" s="11">
        <v>0.85</v>
      </c>
      <c r="G62" s="7" t="s">
        <v>558</v>
      </c>
      <c r="H62" s="7">
        <v>15.93</v>
      </c>
      <c r="I62" s="10">
        <v>494.4</v>
      </c>
      <c r="J62" s="7" t="s">
        <v>559</v>
      </c>
      <c r="K62" s="7">
        <v>96.16</v>
      </c>
      <c r="L62" s="10">
        <v>28.45</v>
      </c>
      <c r="M62" s="7" t="s">
        <v>288</v>
      </c>
      <c r="N62" s="7">
        <v>8.02</v>
      </c>
      <c r="O62" s="11">
        <v>1.71</v>
      </c>
      <c r="P62" s="11">
        <v>1.59</v>
      </c>
      <c r="Q62" s="7" t="s">
        <v>463</v>
      </c>
      <c r="R62" s="7">
        <v>37.17</v>
      </c>
      <c r="S62" s="11">
        <v>3.55</v>
      </c>
      <c r="T62" s="11">
        <v>4.1500000000000004</v>
      </c>
      <c r="U62" s="7" t="s">
        <v>117</v>
      </c>
      <c r="V62" s="7">
        <v>27.38</v>
      </c>
      <c r="W62" s="11">
        <v>4.3</v>
      </c>
      <c r="X62" s="11">
        <v>4.46</v>
      </c>
      <c r="Y62" s="7" t="s">
        <v>560</v>
      </c>
      <c r="Z62" s="7">
        <v>56.15</v>
      </c>
      <c r="AA62" s="11">
        <v>1.68</v>
      </c>
      <c r="AB62" s="11">
        <v>1.96</v>
      </c>
      <c r="AC62" s="7" t="s">
        <v>561</v>
      </c>
      <c r="AD62" s="7">
        <v>4.1399999999999997</v>
      </c>
      <c r="AE62" s="11">
        <v>0.24</v>
      </c>
      <c r="AF62" s="10">
        <v>8.66</v>
      </c>
      <c r="AG62" s="7" t="s">
        <v>323</v>
      </c>
      <c r="AH62" s="7">
        <v>3.23</v>
      </c>
      <c r="AI62" s="11">
        <v>5.27</v>
      </c>
      <c r="AJ62" s="11">
        <v>4.99</v>
      </c>
      <c r="AK62" s="7" t="s">
        <v>562</v>
      </c>
      <c r="AL62" s="7">
        <v>140.5</v>
      </c>
      <c r="AM62" s="11">
        <v>4.21</v>
      </c>
      <c r="AN62" s="11">
        <v>7.7</v>
      </c>
    </row>
    <row r="63" spans="1:40" x14ac:dyDescent="0.3">
      <c r="A63" s="9">
        <v>45552</v>
      </c>
      <c r="B63" s="7" t="s">
        <v>19</v>
      </c>
      <c r="C63" s="7" t="str">
        <f t="shared" si="0"/>
        <v>45552B</v>
      </c>
      <c r="D63" s="7" t="s">
        <v>331</v>
      </c>
      <c r="E63" s="7">
        <v>16.16</v>
      </c>
      <c r="F63" s="10">
        <v>42.63</v>
      </c>
      <c r="G63" s="7" t="s">
        <v>214</v>
      </c>
      <c r="H63" s="7">
        <v>17</v>
      </c>
      <c r="I63" s="7"/>
      <c r="J63" s="7" t="s">
        <v>563</v>
      </c>
      <c r="K63" s="7">
        <v>90.3</v>
      </c>
      <c r="L63" s="11">
        <v>0.74</v>
      </c>
      <c r="M63" s="7" t="s">
        <v>564</v>
      </c>
      <c r="N63" s="7">
        <v>7.75</v>
      </c>
      <c r="O63" s="11">
        <v>2.2599999999999998</v>
      </c>
      <c r="P63" s="10">
        <v>4.9000000000000004</v>
      </c>
      <c r="Q63" s="7" t="s">
        <v>565</v>
      </c>
      <c r="R63" s="7">
        <v>38.71</v>
      </c>
      <c r="S63" s="11">
        <v>0.88</v>
      </c>
      <c r="T63" s="11">
        <v>0.18</v>
      </c>
      <c r="U63" s="7" t="s">
        <v>167</v>
      </c>
      <c r="V63" s="7">
        <v>25.94</v>
      </c>
      <c r="W63" s="11">
        <v>2.33</v>
      </c>
      <c r="X63" s="11">
        <v>1.03</v>
      </c>
      <c r="Y63" s="7" t="s">
        <v>304</v>
      </c>
      <c r="Z63" s="7">
        <v>56.01</v>
      </c>
      <c r="AA63" s="11">
        <v>0.44</v>
      </c>
      <c r="AB63" s="11">
        <v>1.7</v>
      </c>
      <c r="AC63" s="7" t="s">
        <v>412</v>
      </c>
      <c r="AD63" s="7">
        <v>3.81</v>
      </c>
      <c r="AE63" s="11">
        <v>5.45</v>
      </c>
      <c r="AF63" s="11">
        <v>0</v>
      </c>
      <c r="AG63" s="7" t="s">
        <v>76</v>
      </c>
      <c r="AH63" s="7">
        <v>3.19</v>
      </c>
      <c r="AI63" s="11">
        <v>4.7699999999999996</v>
      </c>
      <c r="AJ63" s="11">
        <v>6.17</v>
      </c>
      <c r="AK63" s="7" t="s">
        <v>566</v>
      </c>
      <c r="AL63" s="7">
        <v>148.13999999999999</v>
      </c>
      <c r="AM63" s="11">
        <v>1.4</v>
      </c>
      <c r="AN63" s="11">
        <v>2.68</v>
      </c>
    </row>
    <row r="64" spans="1:40" x14ac:dyDescent="0.3">
      <c r="A64" s="9">
        <v>45552</v>
      </c>
      <c r="B64" s="7" t="s">
        <v>20</v>
      </c>
      <c r="C64" s="7" t="str">
        <f t="shared" si="0"/>
        <v>45552C</v>
      </c>
      <c r="D64" s="7" t="s">
        <v>567</v>
      </c>
      <c r="E64" s="7">
        <v>20.32</v>
      </c>
      <c r="F64" s="11">
        <v>3.14</v>
      </c>
      <c r="G64" s="7" t="s">
        <v>214</v>
      </c>
      <c r="H64" s="7">
        <v>15.18</v>
      </c>
      <c r="I64" s="7"/>
      <c r="J64" s="7" t="s">
        <v>300</v>
      </c>
      <c r="K64" s="7">
        <v>86.96</v>
      </c>
      <c r="L64" s="10">
        <v>25.64</v>
      </c>
      <c r="M64" s="7" t="s">
        <v>568</v>
      </c>
      <c r="N64" s="7">
        <v>7.8</v>
      </c>
      <c r="O64" s="11">
        <v>0.25</v>
      </c>
      <c r="P64" s="10">
        <v>4.29</v>
      </c>
      <c r="Q64" s="7" t="s">
        <v>438</v>
      </c>
      <c r="R64" s="7">
        <v>39</v>
      </c>
      <c r="S64" s="11">
        <v>1.98</v>
      </c>
      <c r="T64" s="11">
        <v>0.56000000000000005</v>
      </c>
      <c r="U64" s="7" t="s">
        <v>569</v>
      </c>
      <c r="V64" s="7">
        <v>26.5</v>
      </c>
      <c r="W64" s="11">
        <v>0.03</v>
      </c>
      <c r="X64" s="11">
        <v>1.1000000000000001</v>
      </c>
      <c r="Y64" s="7" t="s">
        <v>118</v>
      </c>
      <c r="Z64" s="12">
        <v>56.01</v>
      </c>
      <c r="AA64" s="11">
        <v>0.17</v>
      </c>
      <c r="AB64" s="11">
        <v>1.7</v>
      </c>
      <c r="AC64" s="7" t="s">
        <v>198</v>
      </c>
      <c r="AD64" s="12">
        <v>3.81</v>
      </c>
      <c r="AE64" s="11">
        <v>1.32</v>
      </c>
      <c r="AF64" s="11">
        <v>0</v>
      </c>
      <c r="AG64" s="7" t="s">
        <v>570</v>
      </c>
      <c r="AH64" s="7">
        <v>3.2</v>
      </c>
      <c r="AI64" s="11">
        <v>2.4300000000000002</v>
      </c>
      <c r="AJ64" s="11">
        <v>5.88</v>
      </c>
      <c r="AK64" s="7" t="s">
        <v>571</v>
      </c>
      <c r="AL64" s="7">
        <v>152.5</v>
      </c>
      <c r="AM64" s="11">
        <v>2.5299999999999998</v>
      </c>
      <c r="AN64" s="11">
        <v>0.17</v>
      </c>
    </row>
    <row r="65" spans="1:40" x14ac:dyDescent="0.3">
      <c r="A65" s="9">
        <v>45553</v>
      </c>
      <c r="B65" s="7" t="s">
        <v>21</v>
      </c>
      <c r="C65" s="7" t="str">
        <f t="shared" si="0"/>
        <v>45553A</v>
      </c>
      <c r="D65" s="7" t="s">
        <v>572</v>
      </c>
      <c r="E65" s="7">
        <v>26.84</v>
      </c>
      <c r="F65" s="10">
        <v>11.13</v>
      </c>
      <c r="G65" s="7" t="s">
        <v>214</v>
      </c>
      <c r="H65" s="7">
        <v>15.51</v>
      </c>
      <c r="I65" s="7"/>
      <c r="J65" s="7" t="s">
        <v>573</v>
      </c>
      <c r="K65" s="7">
        <v>63.54</v>
      </c>
      <c r="L65" s="11">
        <v>15.5</v>
      </c>
      <c r="M65" s="7" t="s">
        <v>165</v>
      </c>
      <c r="N65" s="7">
        <v>8.07</v>
      </c>
      <c r="O65" s="11">
        <v>2.8</v>
      </c>
      <c r="P65" s="11">
        <v>0.98</v>
      </c>
      <c r="Q65" s="7" t="s">
        <v>574</v>
      </c>
      <c r="R65" s="7">
        <v>37.67</v>
      </c>
      <c r="S65" s="11">
        <v>1.51</v>
      </c>
      <c r="T65" s="11">
        <v>2.86</v>
      </c>
      <c r="U65" s="7" t="s">
        <v>247</v>
      </c>
      <c r="V65" s="7">
        <v>27.33</v>
      </c>
      <c r="W65" s="11">
        <v>3.01</v>
      </c>
      <c r="X65" s="11">
        <v>4.2699999999999996</v>
      </c>
      <c r="Y65" s="7" t="s">
        <v>575</v>
      </c>
      <c r="Z65" s="7">
        <v>54.87</v>
      </c>
      <c r="AA65" s="11">
        <v>1.68</v>
      </c>
      <c r="AB65" s="11">
        <v>0.36</v>
      </c>
      <c r="AC65" s="7" t="s">
        <v>160</v>
      </c>
      <c r="AD65" s="7">
        <v>3.81</v>
      </c>
      <c r="AE65" s="11">
        <v>1.6</v>
      </c>
      <c r="AF65" s="11">
        <v>0</v>
      </c>
      <c r="AG65" s="7" t="s">
        <v>576</v>
      </c>
      <c r="AH65" s="7">
        <v>3.48</v>
      </c>
      <c r="AI65" s="11">
        <v>6.74</v>
      </c>
      <c r="AJ65" s="11">
        <v>2.35</v>
      </c>
      <c r="AK65" s="7" t="s">
        <v>577</v>
      </c>
      <c r="AL65" s="7">
        <v>152.33000000000001</v>
      </c>
      <c r="AM65" s="11">
        <v>1.2</v>
      </c>
      <c r="AN65" s="11">
        <v>0.06</v>
      </c>
    </row>
    <row r="66" spans="1:40" x14ac:dyDescent="0.3">
      <c r="A66" s="9">
        <v>45553</v>
      </c>
      <c r="B66" s="7" t="s">
        <v>19</v>
      </c>
      <c r="C66" s="7" t="str">
        <f t="shared" si="0"/>
        <v>45553B</v>
      </c>
      <c r="D66" s="7" t="s">
        <v>578</v>
      </c>
      <c r="E66" s="7">
        <v>22.15</v>
      </c>
      <c r="F66" s="10">
        <v>67.040000000000006</v>
      </c>
      <c r="G66" s="7" t="s">
        <v>214</v>
      </c>
      <c r="H66" s="7">
        <v>13.13</v>
      </c>
      <c r="I66" s="7"/>
      <c r="J66" s="7" t="s">
        <v>461</v>
      </c>
      <c r="K66" s="7">
        <v>84.47</v>
      </c>
      <c r="L66" s="11">
        <v>23.98</v>
      </c>
      <c r="M66" s="7" t="s">
        <v>579</v>
      </c>
      <c r="N66" s="7">
        <v>8</v>
      </c>
      <c r="O66" s="11">
        <v>0.86</v>
      </c>
      <c r="P66" s="11">
        <v>1.84</v>
      </c>
      <c r="Q66" s="7" t="s">
        <v>580</v>
      </c>
      <c r="R66" s="7">
        <v>39</v>
      </c>
      <c r="S66" s="11">
        <v>0.46</v>
      </c>
      <c r="T66" s="11">
        <v>0.56000000000000005</v>
      </c>
      <c r="U66" s="7" t="s">
        <v>515</v>
      </c>
      <c r="V66" s="7">
        <v>28.05</v>
      </c>
      <c r="W66" s="10">
        <v>5.49</v>
      </c>
      <c r="X66" s="10">
        <v>7.02</v>
      </c>
      <c r="Y66" s="7" t="s">
        <v>581</v>
      </c>
      <c r="Z66" s="12">
        <v>56.21</v>
      </c>
      <c r="AA66" s="11">
        <v>2.1</v>
      </c>
      <c r="AB66" s="11">
        <v>2.0699999999999998</v>
      </c>
      <c r="AC66" s="7" t="s">
        <v>582</v>
      </c>
      <c r="AD66" s="7">
        <v>3.95</v>
      </c>
      <c r="AE66" s="11">
        <v>4.49</v>
      </c>
      <c r="AF66" s="11">
        <v>3.67</v>
      </c>
      <c r="AG66" s="7" t="s">
        <v>76</v>
      </c>
      <c r="AH66" s="13">
        <v>3.57</v>
      </c>
      <c r="AI66" s="11">
        <v>6.56</v>
      </c>
      <c r="AJ66" s="11">
        <v>4.99</v>
      </c>
      <c r="AK66" s="7" t="s">
        <v>583</v>
      </c>
      <c r="AL66" s="7">
        <v>143</v>
      </c>
      <c r="AM66" s="11">
        <v>6.08</v>
      </c>
      <c r="AN66" s="11">
        <v>6.06</v>
      </c>
    </row>
    <row r="67" spans="1:40" x14ac:dyDescent="0.3">
      <c r="A67" s="9">
        <v>45553</v>
      </c>
      <c r="B67" s="7" t="s">
        <v>20</v>
      </c>
      <c r="C67" s="7" t="str">
        <f t="shared" si="0"/>
        <v>45553C</v>
      </c>
      <c r="D67" s="7" t="s">
        <v>264</v>
      </c>
      <c r="E67" s="7">
        <v>7.5</v>
      </c>
      <c r="F67" s="10">
        <v>34.090000000000003</v>
      </c>
      <c r="G67" s="7" t="s">
        <v>214</v>
      </c>
      <c r="H67" s="7">
        <v>8.8800000000000008</v>
      </c>
      <c r="I67" s="7"/>
      <c r="J67" s="7" t="s">
        <v>265</v>
      </c>
      <c r="K67" s="7">
        <v>76.55</v>
      </c>
      <c r="L67" s="10">
        <v>31.09</v>
      </c>
      <c r="M67" s="7" t="s">
        <v>584</v>
      </c>
      <c r="N67" s="7">
        <v>8.6</v>
      </c>
      <c r="O67" s="11">
        <v>2.0099999999999998</v>
      </c>
      <c r="P67" s="10">
        <v>5.52</v>
      </c>
      <c r="Q67" s="7" t="s">
        <v>252</v>
      </c>
      <c r="R67" s="7">
        <v>39.43</v>
      </c>
      <c r="S67" s="11">
        <v>1.85</v>
      </c>
      <c r="T67" s="11">
        <v>1.67</v>
      </c>
      <c r="U67" s="7" t="s">
        <v>167</v>
      </c>
      <c r="V67" s="7">
        <v>27.38</v>
      </c>
      <c r="W67" s="11">
        <v>3.08</v>
      </c>
      <c r="X67" s="11">
        <v>4.46</v>
      </c>
      <c r="Y67" s="7" t="s">
        <v>585</v>
      </c>
      <c r="Z67" s="7">
        <v>56.21</v>
      </c>
      <c r="AA67" s="11">
        <v>0.19</v>
      </c>
      <c r="AB67" s="11">
        <v>2.0699999999999998</v>
      </c>
      <c r="AC67" s="7" t="s">
        <v>495</v>
      </c>
      <c r="AD67" s="7">
        <v>3.78</v>
      </c>
      <c r="AE67" s="11">
        <v>2.0699999999999998</v>
      </c>
      <c r="AF67" s="11">
        <v>0.78</v>
      </c>
      <c r="AG67" s="7" t="s">
        <v>284</v>
      </c>
      <c r="AH67" s="13">
        <v>3.65</v>
      </c>
      <c r="AI67" s="11">
        <v>6.72</v>
      </c>
      <c r="AJ67" s="10">
        <v>7.35</v>
      </c>
      <c r="AK67" s="7" t="s">
        <v>586</v>
      </c>
      <c r="AL67" s="7">
        <v>152.86000000000001</v>
      </c>
      <c r="AM67" s="11">
        <v>2.92</v>
      </c>
      <c r="AN67" s="11">
        <v>0.41</v>
      </c>
    </row>
    <row r="68" spans="1:40" x14ac:dyDescent="0.3">
      <c r="A68" s="7" t="s">
        <v>208</v>
      </c>
      <c r="B68" s="7"/>
      <c r="C68" s="7" t="str">
        <f t="shared" si="0"/>
        <v>RMSE</v>
      </c>
      <c r="D68" s="7">
        <v>5.0999999999999996</v>
      </c>
      <c r="E68" s="7"/>
      <c r="F68" s="7"/>
      <c r="G68" s="7">
        <v>10.37</v>
      </c>
      <c r="H68" s="7"/>
      <c r="I68" s="7"/>
      <c r="J68" s="7">
        <v>22.32</v>
      </c>
      <c r="K68" s="7"/>
      <c r="L68" s="7"/>
      <c r="M68" s="7">
        <v>0.23</v>
      </c>
      <c r="N68" s="7"/>
      <c r="O68" s="7"/>
      <c r="P68" s="7"/>
      <c r="Q68" s="7">
        <v>1.21</v>
      </c>
      <c r="R68" s="7"/>
      <c r="S68" s="7"/>
      <c r="T68" s="7"/>
      <c r="U68" s="7">
        <v>0.93</v>
      </c>
      <c r="V68" s="7"/>
      <c r="W68" s="7"/>
      <c r="X68" s="7"/>
      <c r="Y68" s="7">
        <v>0.84</v>
      </c>
      <c r="Z68" s="7"/>
      <c r="AA68" s="7"/>
      <c r="AB68" s="7"/>
      <c r="AC68" s="7">
        <v>0.14000000000000001</v>
      </c>
      <c r="AD68" s="7"/>
      <c r="AE68" s="7"/>
      <c r="AF68" s="7"/>
      <c r="AG68" s="7">
        <v>0.14000000000000001</v>
      </c>
      <c r="AH68" s="7"/>
      <c r="AI68" s="7"/>
      <c r="AJ68" s="7"/>
      <c r="AK68" s="7">
        <v>6.27</v>
      </c>
      <c r="AL68" s="7"/>
      <c r="AM68" s="7"/>
      <c r="AN68" s="7"/>
    </row>
    <row r="69" spans="1:40" x14ac:dyDescent="0.3">
      <c r="A69" s="7" t="s">
        <v>209</v>
      </c>
      <c r="B69" s="7"/>
      <c r="C69" s="7" t="str">
        <f t="shared" si="0"/>
        <v>Std. Dev</v>
      </c>
      <c r="D69" s="7">
        <v>2.98</v>
      </c>
      <c r="E69" s="7">
        <v>4.16</v>
      </c>
      <c r="F69" s="7"/>
      <c r="G69" s="7">
        <v>6.22</v>
      </c>
      <c r="H69" s="7">
        <v>7.21</v>
      </c>
      <c r="I69" s="7"/>
      <c r="J69" s="7">
        <v>14.77</v>
      </c>
      <c r="K69" s="7">
        <v>12.74</v>
      </c>
      <c r="L69" s="7"/>
      <c r="M69" s="7">
        <v>0.24</v>
      </c>
      <c r="N69" s="7">
        <v>0.27</v>
      </c>
      <c r="O69" s="7"/>
      <c r="P69" s="7"/>
      <c r="Q69" s="7">
        <v>0.18</v>
      </c>
      <c r="R69" s="7">
        <v>1.17</v>
      </c>
      <c r="S69" s="7"/>
      <c r="T69" s="7"/>
      <c r="U69" s="7">
        <v>0.22</v>
      </c>
      <c r="V69" s="7">
        <v>0.89</v>
      </c>
      <c r="W69" s="7"/>
      <c r="X69" s="7"/>
      <c r="Y69" s="7">
        <v>0.75</v>
      </c>
      <c r="Z69" s="7">
        <v>0.94</v>
      </c>
      <c r="AA69" s="7"/>
      <c r="AB69" s="7"/>
      <c r="AC69" s="7">
        <v>0.18</v>
      </c>
      <c r="AD69" s="7">
        <v>0.22</v>
      </c>
      <c r="AE69" s="7"/>
      <c r="AF69" s="7"/>
      <c r="AG69" s="7">
        <v>7.0000000000000007E-2</v>
      </c>
      <c r="AH69" s="7">
        <v>0.15</v>
      </c>
      <c r="AI69" s="7"/>
      <c r="AJ69" s="7"/>
      <c r="AK69" s="7">
        <v>2.4700000000000002</v>
      </c>
      <c r="AL69" s="7">
        <v>5.74</v>
      </c>
      <c r="AM69" s="7"/>
      <c r="AN69" s="7"/>
    </row>
  </sheetData>
  <mergeCells count="12">
    <mergeCell ref="A2:A3"/>
    <mergeCell ref="B2:B3"/>
    <mergeCell ref="D2:F2"/>
    <mergeCell ref="G2:I2"/>
    <mergeCell ref="J2:L2"/>
    <mergeCell ref="AG2:AJ2"/>
    <mergeCell ref="AK2:AN2"/>
    <mergeCell ref="M2:P2"/>
    <mergeCell ref="Q2:T2"/>
    <mergeCell ref="U2:X2"/>
    <mergeCell ref="Y2:AB2"/>
    <mergeCell ref="AC2:A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B2513-CCA0-4E02-A6AB-D58F7EB4E83C}">
  <dimension ref="A1:AN52"/>
  <sheetViews>
    <sheetView workbookViewId="0">
      <selection activeCell="C5" sqref="C5:E52"/>
    </sheetView>
  </sheetViews>
  <sheetFormatPr defaultRowHeight="14.4" x14ac:dyDescent="0.3"/>
  <cols>
    <col min="1" max="1" width="16.5546875" customWidth="1"/>
  </cols>
  <sheetData>
    <row r="1" spans="1:40" x14ac:dyDescent="0.3">
      <c r="A1" s="18" t="s">
        <v>43</v>
      </c>
      <c r="B1" s="17" t="s">
        <v>44</v>
      </c>
      <c r="C1" s="17"/>
      <c r="D1" s="18" t="s">
        <v>45</v>
      </c>
      <c r="E1" s="17"/>
      <c r="F1" s="18" t="s">
        <v>46</v>
      </c>
      <c r="G1" s="17" t="s">
        <v>47</v>
      </c>
      <c r="H1" s="18" t="s">
        <v>48</v>
      </c>
      <c r="I1" s="18">
        <v>45519</v>
      </c>
      <c r="J1" s="18" t="s">
        <v>49</v>
      </c>
      <c r="K1" s="18">
        <v>45555</v>
      </c>
      <c r="L1" s="18" t="s">
        <v>50</v>
      </c>
      <c r="M1" s="17">
        <v>10</v>
      </c>
      <c r="N1" s="18" t="s">
        <v>51</v>
      </c>
      <c r="O1" s="17">
        <v>10</v>
      </c>
      <c r="P1" s="18" t="s">
        <v>52</v>
      </c>
      <c r="Q1" s="17">
        <v>10</v>
      </c>
      <c r="R1" s="18" t="s">
        <v>53</v>
      </c>
      <c r="S1" s="17">
        <v>8</v>
      </c>
      <c r="T1" s="18" t="s">
        <v>54</v>
      </c>
      <c r="U1" s="17">
        <v>10</v>
      </c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</row>
    <row r="2" spans="1:40" x14ac:dyDescent="0.3">
      <c r="A2" s="16" t="s">
        <v>55</v>
      </c>
      <c r="B2" s="16" t="s">
        <v>56</v>
      </c>
      <c r="C2" s="17"/>
      <c r="D2" s="15" t="s">
        <v>57</v>
      </c>
      <c r="E2" s="16"/>
      <c r="F2" s="16"/>
      <c r="G2" s="15" t="s">
        <v>58</v>
      </c>
      <c r="H2" s="16"/>
      <c r="I2" s="16"/>
      <c r="J2" s="15" t="s">
        <v>59</v>
      </c>
      <c r="K2" s="16"/>
      <c r="L2" s="16"/>
      <c r="M2" s="15" t="s">
        <v>60</v>
      </c>
      <c r="N2" s="16"/>
      <c r="O2" s="16"/>
      <c r="P2" s="16"/>
      <c r="Q2" s="15" t="s">
        <v>61</v>
      </c>
      <c r="R2" s="16"/>
      <c r="S2" s="16"/>
      <c r="T2" s="16"/>
      <c r="U2" s="15" t="s">
        <v>27</v>
      </c>
      <c r="V2" s="16"/>
      <c r="W2" s="16"/>
      <c r="X2" s="16"/>
      <c r="Y2" s="15" t="s">
        <v>62</v>
      </c>
      <c r="Z2" s="16"/>
      <c r="AA2" s="16"/>
      <c r="AB2" s="16"/>
      <c r="AC2" s="15" t="s">
        <v>29</v>
      </c>
      <c r="AD2" s="16"/>
      <c r="AE2" s="16"/>
      <c r="AF2" s="16"/>
      <c r="AG2" s="15" t="s">
        <v>28</v>
      </c>
      <c r="AH2" s="16"/>
      <c r="AI2" s="16"/>
      <c r="AJ2" s="16"/>
      <c r="AK2" s="15" t="s">
        <v>63</v>
      </c>
      <c r="AL2" s="16"/>
      <c r="AM2" s="16"/>
      <c r="AN2" s="16"/>
    </row>
    <row r="3" spans="1:40" x14ac:dyDescent="0.3">
      <c r="A3" s="16"/>
      <c r="B3" s="16"/>
      <c r="C3" s="17"/>
      <c r="D3" s="17" t="s">
        <v>64</v>
      </c>
      <c r="E3" s="17" t="s">
        <v>65</v>
      </c>
      <c r="F3" s="17" t="s">
        <v>66</v>
      </c>
      <c r="G3" s="17" t="s">
        <v>64</v>
      </c>
      <c r="H3" s="17" t="s">
        <v>65</v>
      </c>
      <c r="I3" s="17" t="s">
        <v>66</v>
      </c>
      <c r="J3" s="17" t="s">
        <v>64</v>
      </c>
      <c r="K3" s="17" t="s">
        <v>65</v>
      </c>
      <c r="L3" s="17" t="s">
        <v>66</v>
      </c>
      <c r="M3" s="17" t="s">
        <v>64</v>
      </c>
      <c r="N3" s="17" t="s">
        <v>65</v>
      </c>
      <c r="O3" s="17" t="s">
        <v>66</v>
      </c>
      <c r="P3" s="17" t="s">
        <v>67</v>
      </c>
      <c r="Q3" s="17" t="s">
        <v>64</v>
      </c>
      <c r="R3" s="17" t="s">
        <v>65</v>
      </c>
      <c r="S3" s="17" t="s">
        <v>66</v>
      </c>
      <c r="T3" s="17" t="s">
        <v>67</v>
      </c>
      <c r="U3" s="17" t="s">
        <v>64</v>
      </c>
      <c r="V3" s="17" t="s">
        <v>65</v>
      </c>
      <c r="W3" s="17" t="s">
        <v>66</v>
      </c>
      <c r="X3" s="17" t="s">
        <v>67</v>
      </c>
      <c r="Y3" s="17" t="s">
        <v>64</v>
      </c>
      <c r="Z3" s="17" t="s">
        <v>65</v>
      </c>
      <c r="AA3" s="17" t="s">
        <v>66</v>
      </c>
      <c r="AB3" s="17" t="s">
        <v>67</v>
      </c>
      <c r="AC3" s="17" t="s">
        <v>64</v>
      </c>
      <c r="AD3" s="17" t="s">
        <v>65</v>
      </c>
      <c r="AE3" s="17" t="s">
        <v>66</v>
      </c>
      <c r="AF3" s="17" t="s">
        <v>67</v>
      </c>
      <c r="AG3" s="17" t="s">
        <v>64</v>
      </c>
      <c r="AH3" s="17" t="s">
        <v>65</v>
      </c>
      <c r="AI3" s="17" t="s">
        <v>66</v>
      </c>
      <c r="AJ3" s="17" t="s">
        <v>67</v>
      </c>
      <c r="AK3" s="17" t="s">
        <v>64</v>
      </c>
      <c r="AL3" s="17" t="s">
        <v>65</v>
      </c>
      <c r="AM3" s="17" t="s">
        <v>66</v>
      </c>
      <c r="AN3" s="17" t="s">
        <v>67</v>
      </c>
    </row>
    <row r="4" spans="1:40" x14ac:dyDescent="0.3">
      <c r="A4" s="17" t="s">
        <v>68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>
        <v>8.15</v>
      </c>
      <c r="O4" s="17"/>
      <c r="P4" s="17"/>
      <c r="Q4" s="17"/>
      <c r="R4" s="17">
        <v>38.78</v>
      </c>
      <c r="S4" s="17"/>
      <c r="T4" s="17"/>
      <c r="U4" s="17"/>
      <c r="V4" s="17">
        <v>26.21</v>
      </c>
      <c r="W4" s="17"/>
      <c r="X4" s="17"/>
      <c r="Y4" s="17"/>
      <c r="Z4" s="17">
        <v>55.07</v>
      </c>
      <c r="AA4" s="17"/>
      <c r="AB4" s="17"/>
      <c r="AC4" s="17"/>
      <c r="AD4" s="17">
        <v>3.81</v>
      </c>
      <c r="AE4" s="17"/>
      <c r="AF4" s="17"/>
      <c r="AG4" s="17"/>
      <c r="AH4" s="17">
        <v>3.4</v>
      </c>
      <c r="AI4" s="17"/>
      <c r="AJ4" s="17"/>
      <c r="AK4" s="17"/>
      <c r="AL4" s="17">
        <v>152.22999999999999</v>
      </c>
      <c r="AM4" s="17"/>
      <c r="AN4" s="17"/>
    </row>
    <row r="5" spans="1:40" x14ac:dyDescent="0.3">
      <c r="A5" s="19">
        <v>45555</v>
      </c>
      <c r="B5" s="17" t="s">
        <v>19</v>
      </c>
      <c r="C5" s="17" t="str">
        <f>A5&amp;B5</f>
        <v>45555B</v>
      </c>
      <c r="D5" s="17">
        <v>5</v>
      </c>
      <c r="E5" s="17">
        <v>5.15</v>
      </c>
      <c r="F5" s="21">
        <v>3</v>
      </c>
      <c r="G5" s="17" t="s">
        <v>587</v>
      </c>
      <c r="H5" s="17">
        <v>9.0500000000000007</v>
      </c>
      <c r="I5" s="20">
        <v>115.47</v>
      </c>
      <c r="J5" s="17" t="s">
        <v>70</v>
      </c>
      <c r="K5" s="17">
        <v>104.02</v>
      </c>
      <c r="L5" s="21">
        <v>9.5399999999999991</v>
      </c>
      <c r="M5" s="17" t="s">
        <v>588</v>
      </c>
      <c r="N5" s="17">
        <v>8.3000000000000007</v>
      </c>
      <c r="O5" s="21">
        <v>2.12</v>
      </c>
      <c r="P5" s="21">
        <v>1.84</v>
      </c>
      <c r="Q5" s="17" t="s">
        <v>589</v>
      </c>
      <c r="R5" s="17">
        <v>38.799999999999997</v>
      </c>
      <c r="S5" s="21">
        <v>2.75</v>
      </c>
      <c r="T5" s="21">
        <v>0.05</v>
      </c>
      <c r="U5" s="17" t="s">
        <v>241</v>
      </c>
      <c r="V5" s="17">
        <v>27.6</v>
      </c>
      <c r="W5" s="20">
        <v>4.5</v>
      </c>
      <c r="X5" s="20">
        <v>5.3</v>
      </c>
      <c r="Y5" s="17" t="s">
        <v>590</v>
      </c>
      <c r="Z5" s="17">
        <v>54.89</v>
      </c>
      <c r="AA5" s="21">
        <v>1.52</v>
      </c>
      <c r="AB5" s="21">
        <v>0.32</v>
      </c>
      <c r="AC5" s="17" t="s">
        <v>591</v>
      </c>
      <c r="AD5" s="17">
        <v>4.03</v>
      </c>
      <c r="AE5" s="21">
        <v>3.35</v>
      </c>
      <c r="AF5" s="21">
        <v>5.77</v>
      </c>
      <c r="AG5" s="17" t="s">
        <v>184</v>
      </c>
      <c r="AH5" s="22">
        <v>3.66</v>
      </c>
      <c r="AI5" s="21">
        <v>7.64</v>
      </c>
      <c r="AJ5" s="21">
        <v>7.64</v>
      </c>
      <c r="AK5" s="17" t="s">
        <v>592</v>
      </c>
      <c r="AL5" s="17">
        <v>153.80000000000001</v>
      </c>
      <c r="AM5" s="20">
        <v>8.4600000000000009</v>
      </c>
      <c r="AN5" s="21">
        <v>1.03</v>
      </c>
    </row>
    <row r="6" spans="1:40" x14ac:dyDescent="0.3">
      <c r="A6" s="19">
        <v>45555</v>
      </c>
      <c r="B6" s="17" t="s">
        <v>21</v>
      </c>
      <c r="C6" s="17" t="str">
        <f t="shared" ref="C6:C52" si="0">A6&amp;B6</f>
        <v>45555A</v>
      </c>
      <c r="D6" s="17">
        <v>8.99</v>
      </c>
      <c r="E6" s="17">
        <v>8.1</v>
      </c>
      <c r="F6" s="21">
        <v>9.89</v>
      </c>
      <c r="G6" s="17" t="s">
        <v>593</v>
      </c>
      <c r="H6" s="17">
        <v>15.51</v>
      </c>
      <c r="I6" s="20">
        <v>226.52</v>
      </c>
      <c r="J6" s="17" t="s">
        <v>594</v>
      </c>
      <c r="K6" s="17">
        <v>71.64</v>
      </c>
      <c r="L6" s="20">
        <v>34.71</v>
      </c>
      <c r="M6" s="17" t="s">
        <v>87</v>
      </c>
      <c r="N6" s="22">
        <v>8.9700000000000006</v>
      </c>
      <c r="O6" s="20">
        <v>10.46</v>
      </c>
      <c r="P6" s="20">
        <v>10.06</v>
      </c>
      <c r="Q6" s="17" t="s">
        <v>401</v>
      </c>
      <c r="R6" s="17">
        <v>37.18</v>
      </c>
      <c r="S6" s="21">
        <v>4.1900000000000004</v>
      </c>
      <c r="T6" s="21">
        <v>4.12</v>
      </c>
      <c r="U6" s="17" t="s">
        <v>595</v>
      </c>
      <c r="V6" s="17">
        <v>28.4</v>
      </c>
      <c r="W6" s="20">
        <v>9.65</v>
      </c>
      <c r="X6" s="20">
        <v>8.35</v>
      </c>
      <c r="Y6" s="17" t="s">
        <v>575</v>
      </c>
      <c r="Z6" s="17">
        <v>54.89</v>
      </c>
      <c r="AA6" s="21">
        <v>1.64</v>
      </c>
      <c r="AB6" s="21">
        <v>0.32</v>
      </c>
      <c r="AC6" s="17" t="s">
        <v>596</v>
      </c>
      <c r="AD6" s="17">
        <v>4.0199999999999996</v>
      </c>
      <c r="AE6" s="21">
        <v>3.07</v>
      </c>
      <c r="AF6" s="21">
        <v>5.51</v>
      </c>
      <c r="AG6" s="17" t="s">
        <v>184</v>
      </c>
      <c r="AH6" s="22">
        <v>3.69</v>
      </c>
      <c r="AI6" s="20">
        <v>8.52</v>
      </c>
      <c r="AJ6" s="20">
        <v>8.52</v>
      </c>
      <c r="AK6" s="17" t="s">
        <v>597</v>
      </c>
      <c r="AL6" s="17">
        <v>146.09</v>
      </c>
      <c r="AM6" s="21">
        <v>0.21</v>
      </c>
      <c r="AN6" s="21">
        <v>4.03</v>
      </c>
    </row>
    <row r="7" spans="1:40" x14ac:dyDescent="0.3">
      <c r="A7" s="19">
        <v>45554</v>
      </c>
      <c r="B7" s="17" t="s">
        <v>19</v>
      </c>
      <c r="C7" s="17" t="str">
        <f t="shared" si="0"/>
        <v>45554B</v>
      </c>
      <c r="D7" s="17">
        <v>14.43</v>
      </c>
      <c r="E7" s="17">
        <v>13.63</v>
      </c>
      <c r="F7" s="21">
        <v>5.54</v>
      </c>
      <c r="G7" s="17" t="s">
        <v>598</v>
      </c>
      <c r="H7" s="17">
        <v>15.08</v>
      </c>
      <c r="I7" s="20">
        <v>2592.85</v>
      </c>
      <c r="J7" s="17" t="s">
        <v>70</v>
      </c>
      <c r="K7" s="17">
        <v>88.21</v>
      </c>
      <c r="L7" s="20">
        <v>23.29</v>
      </c>
      <c r="M7" s="17" t="s">
        <v>131</v>
      </c>
      <c r="N7" s="17">
        <v>8.27</v>
      </c>
      <c r="O7" s="21">
        <v>3.5</v>
      </c>
      <c r="P7" s="21">
        <v>1.47</v>
      </c>
      <c r="Q7" s="17" t="s">
        <v>599</v>
      </c>
      <c r="R7" s="17">
        <v>39.25</v>
      </c>
      <c r="S7" s="21">
        <v>4.1100000000000003</v>
      </c>
      <c r="T7" s="21">
        <v>1.21</v>
      </c>
      <c r="U7" s="17" t="s">
        <v>439</v>
      </c>
      <c r="V7" s="17">
        <v>26.65</v>
      </c>
      <c r="W7" s="21">
        <v>0.03</v>
      </c>
      <c r="X7" s="21">
        <v>1.67</v>
      </c>
      <c r="Y7" s="17" t="s">
        <v>600</v>
      </c>
      <c r="Z7" s="17">
        <v>55.81</v>
      </c>
      <c r="AA7" s="20">
        <v>2.76</v>
      </c>
      <c r="AB7" s="21">
        <v>1.34</v>
      </c>
      <c r="AC7" s="17" t="s">
        <v>582</v>
      </c>
      <c r="AD7" s="17">
        <v>3.75</v>
      </c>
      <c r="AE7" s="21">
        <v>0.79</v>
      </c>
      <c r="AF7" s="21">
        <v>1.57</v>
      </c>
      <c r="AG7" s="17" t="s">
        <v>145</v>
      </c>
      <c r="AH7" s="22">
        <v>3.52</v>
      </c>
      <c r="AI7" s="21">
        <v>5.7</v>
      </c>
      <c r="AJ7" s="21">
        <v>3.52</v>
      </c>
      <c r="AK7" s="17" t="s">
        <v>601</v>
      </c>
      <c r="AL7" s="17">
        <v>145.88</v>
      </c>
      <c r="AM7" s="21">
        <v>1.92</v>
      </c>
      <c r="AN7" s="21">
        <v>4.17</v>
      </c>
    </row>
    <row r="8" spans="1:40" x14ac:dyDescent="0.3">
      <c r="A8" s="19">
        <v>45554</v>
      </c>
      <c r="B8" s="17" t="s">
        <v>21</v>
      </c>
      <c r="C8" s="17" t="str">
        <f t="shared" si="0"/>
        <v>45554A</v>
      </c>
      <c r="D8" s="17">
        <v>11.03</v>
      </c>
      <c r="E8" s="17">
        <v>12.1</v>
      </c>
      <c r="F8" s="21">
        <v>9.6999999999999993</v>
      </c>
      <c r="G8" s="17" t="s">
        <v>94</v>
      </c>
      <c r="H8" s="17">
        <v>15.59</v>
      </c>
      <c r="I8" s="17"/>
      <c r="J8" s="17" t="s">
        <v>70</v>
      </c>
      <c r="K8" s="17">
        <v>85.11</v>
      </c>
      <c r="L8" s="20">
        <v>25.99</v>
      </c>
      <c r="M8" s="17" t="s">
        <v>202</v>
      </c>
      <c r="N8" s="17">
        <v>8.49</v>
      </c>
      <c r="O8" s="20">
        <v>5.33</v>
      </c>
      <c r="P8" s="21">
        <v>4.17</v>
      </c>
      <c r="Q8" s="17" t="s">
        <v>602</v>
      </c>
      <c r="R8" s="17">
        <v>37.380000000000003</v>
      </c>
      <c r="S8" s="21">
        <v>1.65</v>
      </c>
      <c r="T8" s="21">
        <v>3.61</v>
      </c>
      <c r="U8" s="17" t="s">
        <v>603</v>
      </c>
      <c r="V8" s="17">
        <v>27.27</v>
      </c>
      <c r="W8" s="20">
        <v>4.8</v>
      </c>
      <c r="X8" s="20">
        <v>4.04</v>
      </c>
      <c r="Y8" s="17" t="s">
        <v>604</v>
      </c>
      <c r="Z8" s="22">
        <v>53.89</v>
      </c>
      <c r="AA8" s="20">
        <v>4.04</v>
      </c>
      <c r="AB8" s="20">
        <v>2.14</v>
      </c>
      <c r="AC8" s="17" t="s">
        <v>126</v>
      </c>
      <c r="AD8" s="17">
        <v>3.91</v>
      </c>
      <c r="AE8" s="21">
        <v>0.5</v>
      </c>
      <c r="AF8" s="21">
        <v>2.62</v>
      </c>
      <c r="AG8" s="17" t="s">
        <v>100</v>
      </c>
      <c r="AH8" s="22">
        <v>3.52</v>
      </c>
      <c r="AI8" s="21">
        <v>4.76</v>
      </c>
      <c r="AJ8" s="21">
        <v>3.52</v>
      </c>
      <c r="AK8" s="17" t="s">
        <v>605</v>
      </c>
      <c r="AL8" s="17">
        <v>146.12</v>
      </c>
      <c r="AM8" s="21">
        <v>0.94</v>
      </c>
      <c r="AN8" s="21">
        <v>4.01</v>
      </c>
    </row>
    <row r="9" spans="1:40" x14ac:dyDescent="0.3">
      <c r="A9" s="19">
        <v>45553</v>
      </c>
      <c r="B9" s="17" t="s">
        <v>19</v>
      </c>
      <c r="C9" s="17" t="str">
        <f t="shared" si="0"/>
        <v>45553B</v>
      </c>
      <c r="D9" s="17">
        <v>7.48</v>
      </c>
      <c r="E9" s="17">
        <v>7.56</v>
      </c>
      <c r="F9" s="21">
        <v>1.06</v>
      </c>
      <c r="G9" s="17" t="s">
        <v>606</v>
      </c>
      <c r="H9" s="17">
        <v>9.33</v>
      </c>
      <c r="I9" s="20">
        <v>196.19</v>
      </c>
      <c r="J9" s="17" t="s">
        <v>607</v>
      </c>
      <c r="K9" s="17">
        <v>73.48</v>
      </c>
      <c r="L9" s="20">
        <v>15.54</v>
      </c>
      <c r="M9" s="17" t="s">
        <v>202</v>
      </c>
      <c r="N9" s="17">
        <v>8.67</v>
      </c>
      <c r="O9" s="20">
        <v>7.56</v>
      </c>
      <c r="P9" s="20">
        <v>6.38</v>
      </c>
      <c r="Q9" s="17" t="s">
        <v>608</v>
      </c>
      <c r="R9" s="17">
        <v>39.200000000000003</v>
      </c>
      <c r="S9" s="21">
        <v>2.69</v>
      </c>
      <c r="T9" s="21">
        <v>1.08</v>
      </c>
      <c r="U9" s="17" t="s">
        <v>609</v>
      </c>
      <c r="V9" s="17">
        <v>27.69</v>
      </c>
      <c r="W9" s="20">
        <v>2.63</v>
      </c>
      <c r="X9" s="20">
        <v>5.64</v>
      </c>
      <c r="Y9" s="17" t="s">
        <v>190</v>
      </c>
      <c r="Z9" s="17">
        <v>56.21</v>
      </c>
      <c r="AA9" s="20">
        <v>1.92</v>
      </c>
      <c r="AB9" s="20">
        <v>2.0699999999999998</v>
      </c>
      <c r="AC9" s="17" t="s">
        <v>262</v>
      </c>
      <c r="AD9" s="17">
        <v>3.95</v>
      </c>
      <c r="AE9" s="21">
        <v>4.7699999999999996</v>
      </c>
      <c r="AF9" s="21">
        <v>3.67</v>
      </c>
      <c r="AG9" s="17" t="s">
        <v>170</v>
      </c>
      <c r="AH9" s="22">
        <v>3.64</v>
      </c>
      <c r="AI9" s="20">
        <v>8.98</v>
      </c>
      <c r="AJ9" s="21">
        <v>7.05</v>
      </c>
      <c r="AK9" s="17" t="s">
        <v>610</v>
      </c>
      <c r="AL9" s="17">
        <v>151.9</v>
      </c>
      <c r="AM9" s="21">
        <v>3.02</v>
      </c>
      <c r="AN9" s="21">
        <v>0.21</v>
      </c>
    </row>
    <row r="10" spans="1:40" x14ac:dyDescent="0.3">
      <c r="A10" s="19">
        <v>45553</v>
      </c>
      <c r="B10" s="17" t="s">
        <v>21</v>
      </c>
      <c r="C10" s="17" t="str">
        <f t="shared" si="0"/>
        <v>45553A</v>
      </c>
      <c r="D10" s="17">
        <v>25</v>
      </c>
      <c r="E10" s="17">
        <v>25.85</v>
      </c>
      <c r="F10" s="21">
        <v>3.4</v>
      </c>
      <c r="G10" s="17" t="s">
        <v>94</v>
      </c>
      <c r="H10" s="17">
        <v>15.9</v>
      </c>
      <c r="I10" s="17"/>
      <c r="J10" s="17" t="s">
        <v>611</v>
      </c>
      <c r="K10" s="17">
        <v>78.13</v>
      </c>
      <c r="L10" s="21">
        <v>7.97</v>
      </c>
      <c r="M10" s="17" t="s">
        <v>612</v>
      </c>
      <c r="N10" s="17">
        <v>8.0500000000000007</v>
      </c>
      <c r="O10" s="21">
        <v>2.94</v>
      </c>
      <c r="P10" s="21">
        <v>1.22</v>
      </c>
      <c r="Q10" s="17" t="s">
        <v>315</v>
      </c>
      <c r="R10" s="17">
        <v>37.75</v>
      </c>
      <c r="S10" s="21">
        <v>2.7</v>
      </c>
      <c r="T10" s="21">
        <v>2.65</v>
      </c>
      <c r="U10" s="17" t="s">
        <v>124</v>
      </c>
      <c r="V10" s="17">
        <v>27.15</v>
      </c>
      <c r="W10" s="20">
        <v>6.76</v>
      </c>
      <c r="X10" s="20">
        <v>3.58</v>
      </c>
      <c r="Y10" s="17" t="s">
        <v>613</v>
      </c>
      <c r="Z10" s="17">
        <v>54.87</v>
      </c>
      <c r="AA10" s="21">
        <v>1.33</v>
      </c>
      <c r="AB10" s="21">
        <v>0.36</v>
      </c>
      <c r="AC10" s="17" t="s">
        <v>526</v>
      </c>
      <c r="AD10" s="23">
        <v>3.61</v>
      </c>
      <c r="AE10" s="21">
        <v>1.36</v>
      </c>
      <c r="AF10" s="21">
        <v>5.24</v>
      </c>
      <c r="AG10" s="17" t="s">
        <v>614</v>
      </c>
      <c r="AH10" s="22">
        <v>3.48</v>
      </c>
      <c r="AI10" s="21">
        <v>7.07</v>
      </c>
      <c r="AJ10" s="21">
        <v>2.35</v>
      </c>
      <c r="AK10" s="17" t="s">
        <v>615</v>
      </c>
      <c r="AL10" s="17">
        <v>149.5</v>
      </c>
      <c r="AM10" s="21">
        <v>0.3</v>
      </c>
      <c r="AN10" s="21">
        <v>1.79</v>
      </c>
    </row>
    <row r="11" spans="1:40" x14ac:dyDescent="0.3">
      <c r="A11" s="19">
        <v>45552</v>
      </c>
      <c r="B11" s="17" t="s">
        <v>19</v>
      </c>
      <c r="C11" s="17" t="str">
        <f t="shared" si="0"/>
        <v>45552B</v>
      </c>
      <c r="D11" s="17">
        <v>18</v>
      </c>
      <c r="E11" s="17">
        <v>18.72</v>
      </c>
      <c r="F11" s="21">
        <v>3.99</v>
      </c>
      <c r="G11" s="17" t="s">
        <v>616</v>
      </c>
      <c r="H11" s="17">
        <v>15.73</v>
      </c>
      <c r="I11" s="20">
        <v>1007.74</v>
      </c>
      <c r="J11" s="17" t="s">
        <v>617</v>
      </c>
      <c r="K11" s="17">
        <v>86.09</v>
      </c>
      <c r="L11" s="21">
        <v>0.78</v>
      </c>
      <c r="M11" s="17" t="s">
        <v>618</v>
      </c>
      <c r="N11" s="17">
        <v>7.81</v>
      </c>
      <c r="O11" s="21">
        <v>1.26</v>
      </c>
      <c r="P11" s="21">
        <v>4.17</v>
      </c>
      <c r="Q11" s="17" t="s">
        <v>377</v>
      </c>
      <c r="R11" s="17">
        <v>39.6</v>
      </c>
      <c r="S11" s="21">
        <v>2.69</v>
      </c>
      <c r="T11" s="21">
        <v>2.11</v>
      </c>
      <c r="U11" s="17" t="s">
        <v>619</v>
      </c>
      <c r="V11" s="17">
        <v>25.84</v>
      </c>
      <c r="W11" s="21">
        <v>0.42</v>
      </c>
      <c r="X11" s="21">
        <v>1.41</v>
      </c>
      <c r="Y11" s="17" t="s">
        <v>620</v>
      </c>
      <c r="Z11" s="17">
        <v>56.01</v>
      </c>
      <c r="AA11" s="21">
        <v>0.16</v>
      </c>
      <c r="AB11" s="21">
        <v>1.7</v>
      </c>
      <c r="AC11" s="17" t="s">
        <v>177</v>
      </c>
      <c r="AD11" s="17">
        <v>3.61</v>
      </c>
      <c r="AE11" s="21">
        <v>6.23</v>
      </c>
      <c r="AF11" s="21">
        <v>5.24</v>
      </c>
      <c r="AG11" s="17" t="s">
        <v>570</v>
      </c>
      <c r="AH11" s="17">
        <v>3.18</v>
      </c>
      <c r="AI11" s="21">
        <v>3.04</v>
      </c>
      <c r="AJ11" s="21">
        <v>6.47</v>
      </c>
      <c r="AK11" s="17" t="s">
        <v>621</v>
      </c>
      <c r="AL11" s="17">
        <v>151</v>
      </c>
      <c r="AM11" s="20">
        <v>5.6</v>
      </c>
      <c r="AN11" s="21">
        <v>0.8</v>
      </c>
    </row>
    <row r="12" spans="1:40" x14ac:dyDescent="0.3">
      <c r="A12" s="19">
        <v>45552</v>
      </c>
      <c r="B12" s="17" t="s">
        <v>21</v>
      </c>
      <c r="C12" s="17" t="str">
        <f t="shared" si="0"/>
        <v>45552A</v>
      </c>
      <c r="D12" s="17">
        <v>13.39</v>
      </c>
      <c r="E12" s="17">
        <v>14.55</v>
      </c>
      <c r="F12" s="21">
        <v>8.66</v>
      </c>
      <c r="G12" s="17" t="s">
        <v>622</v>
      </c>
      <c r="H12" s="17">
        <v>16.98</v>
      </c>
      <c r="I12" s="20">
        <v>42350</v>
      </c>
      <c r="J12" s="17" t="s">
        <v>70</v>
      </c>
      <c r="K12" s="17">
        <v>95.06</v>
      </c>
      <c r="L12" s="20">
        <v>17.329999999999998</v>
      </c>
      <c r="M12" s="17" t="s">
        <v>149</v>
      </c>
      <c r="N12" s="17">
        <v>7.91</v>
      </c>
      <c r="O12" s="21">
        <v>2.82</v>
      </c>
      <c r="P12" s="21">
        <v>2.94</v>
      </c>
      <c r="Q12" s="17" t="s">
        <v>623</v>
      </c>
      <c r="R12" s="17">
        <v>37.4</v>
      </c>
      <c r="S12" s="21">
        <v>5</v>
      </c>
      <c r="T12" s="21">
        <v>3.55</v>
      </c>
      <c r="U12" s="17" t="s">
        <v>624</v>
      </c>
      <c r="V12" s="17">
        <v>26.97</v>
      </c>
      <c r="W12" s="20">
        <v>10.08</v>
      </c>
      <c r="X12" s="20">
        <v>2.89</v>
      </c>
      <c r="Y12" s="17" t="s">
        <v>625</v>
      </c>
      <c r="Z12" s="17">
        <v>56.15</v>
      </c>
      <c r="AA12" s="21">
        <v>1.47</v>
      </c>
      <c r="AB12" s="20">
        <v>1.96</v>
      </c>
      <c r="AC12" s="17" t="s">
        <v>626</v>
      </c>
      <c r="AD12" s="17">
        <v>3.91</v>
      </c>
      <c r="AE12" s="21">
        <v>5.55</v>
      </c>
      <c r="AF12" s="21">
        <v>2.62</v>
      </c>
      <c r="AG12" s="17" t="s">
        <v>184</v>
      </c>
      <c r="AH12" s="17">
        <v>3.23</v>
      </c>
      <c r="AI12" s="21">
        <v>4.99</v>
      </c>
      <c r="AJ12" s="21">
        <v>4.99</v>
      </c>
      <c r="AK12" s="17" t="s">
        <v>627</v>
      </c>
      <c r="AL12" s="17">
        <v>143</v>
      </c>
      <c r="AM12" s="21">
        <v>2.1</v>
      </c>
      <c r="AN12" s="20">
        <v>6.06</v>
      </c>
    </row>
    <row r="13" spans="1:40" x14ac:dyDescent="0.3">
      <c r="A13" s="19">
        <v>45551</v>
      </c>
      <c r="B13" s="17" t="s">
        <v>19</v>
      </c>
      <c r="C13" s="17" t="str">
        <f t="shared" si="0"/>
        <v>45551B</v>
      </c>
      <c r="D13" s="17">
        <v>7.35</v>
      </c>
      <c r="E13" s="17">
        <v>7.98</v>
      </c>
      <c r="F13" s="21">
        <v>8.57</v>
      </c>
      <c r="G13" s="17" t="s">
        <v>628</v>
      </c>
      <c r="H13" s="17">
        <v>7.9</v>
      </c>
      <c r="I13" s="20">
        <v>375.9</v>
      </c>
      <c r="J13" s="17" t="s">
        <v>70</v>
      </c>
      <c r="K13" s="17">
        <v>97.06</v>
      </c>
      <c r="L13" s="20">
        <v>15.59</v>
      </c>
      <c r="M13" s="17" t="s">
        <v>451</v>
      </c>
      <c r="N13" s="17">
        <v>8.36</v>
      </c>
      <c r="O13" s="21">
        <v>1.7</v>
      </c>
      <c r="P13" s="21">
        <v>2.57</v>
      </c>
      <c r="Q13" s="17" t="s">
        <v>366</v>
      </c>
      <c r="R13" s="17">
        <v>38.799999999999997</v>
      </c>
      <c r="S13" s="21">
        <v>0.88</v>
      </c>
      <c r="T13" s="21">
        <v>0.05</v>
      </c>
      <c r="U13" s="17" t="s">
        <v>629</v>
      </c>
      <c r="V13" s="17">
        <v>26.58</v>
      </c>
      <c r="W13" s="21">
        <v>1.29</v>
      </c>
      <c r="X13" s="21">
        <v>1.41</v>
      </c>
      <c r="Y13" s="17" t="s">
        <v>630</v>
      </c>
      <c r="Z13" s="17">
        <v>57.4</v>
      </c>
      <c r="AA13" s="20">
        <v>2.42</v>
      </c>
      <c r="AB13" s="20">
        <v>4.2300000000000004</v>
      </c>
      <c r="AC13" s="17" t="s">
        <v>119</v>
      </c>
      <c r="AD13" s="22">
        <v>4.28</v>
      </c>
      <c r="AE13" s="21">
        <v>5.41</v>
      </c>
      <c r="AF13" s="20">
        <v>12.33</v>
      </c>
      <c r="AG13" s="17" t="s">
        <v>127</v>
      </c>
      <c r="AH13" s="22">
        <v>3.55</v>
      </c>
      <c r="AI13" s="21">
        <v>3.49</v>
      </c>
      <c r="AJ13" s="21">
        <v>4.41</v>
      </c>
      <c r="AK13" s="17" t="s">
        <v>631</v>
      </c>
      <c r="AL13" s="17">
        <v>149.66999999999999</v>
      </c>
      <c r="AM13" s="20">
        <v>7.53</v>
      </c>
      <c r="AN13" s="21">
        <v>1.68</v>
      </c>
    </row>
    <row r="14" spans="1:40" x14ac:dyDescent="0.3">
      <c r="A14" s="19">
        <v>45551</v>
      </c>
      <c r="B14" s="17" t="s">
        <v>21</v>
      </c>
      <c r="C14" s="17" t="str">
        <f t="shared" si="0"/>
        <v>45551A</v>
      </c>
      <c r="D14" s="17">
        <v>16.239999999999998</v>
      </c>
      <c r="E14" s="17">
        <v>15.88</v>
      </c>
      <c r="F14" s="21">
        <v>2.21</v>
      </c>
      <c r="G14" s="17" t="s">
        <v>94</v>
      </c>
      <c r="H14" s="17">
        <v>11.42</v>
      </c>
      <c r="I14" s="17"/>
      <c r="J14" s="17" t="s">
        <v>632</v>
      </c>
      <c r="K14" s="17">
        <v>61.99</v>
      </c>
      <c r="L14" s="20">
        <v>23.21</v>
      </c>
      <c r="M14" s="17" t="s">
        <v>633</v>
      </c>
      <c r="N14" s="17">
        <v>8.34</v>
      </c>
      <c r="O14" s="20">
        <v>7.89</v>
      </c>
      <c r="P14" s="21">
        <v>2.33</v>
      </c>
      <c r="Q14" s="17" t="s">
        <v>634</v>
      </c>
      <c r="R14" s="17">
        <v>37.799999999999997</v>
      </c>
      <c r="S14" s="21">
        <v>0.42</v>
      </c>
      <c r="T14" s="21">
        <v>2.52</v>
      </c>
      <c r="U14" s="17" t="s">
        <v>261</v>
      </c>
      <c r="V14" s="17">
        <v>27.6</v>
      </c>
      <c r="W14" s="20">
        <v>4.66</v>
      </c>
      <c r="X14" s="20">
        <v>5.3</v>
      </c>
      <c r="Y14" s="17" t="s">
        <v>635</v>
      </c>
      <c r="Z14" s="17">
        <v>55.87</v>
      </c>
      <c r="AA14" s="21">
        <v>1.61</v>
      </c>
      <c r="AB14" s="21">
        <v>1.45</v>
      </c>
      <c r="AC14" s="17" t="s">
        <v>169</v>
      </c>
      <c r="AD14" s="23">
        <v>4</v>
      </c>
      <c r="AE14" s="21">
        <v>4.9800000000000004</v>
      </c>
      <c r="AF14" s="21">
        <v>4.9800000000000004</v>
      </c>
      <c r="AG14" s="17" t="s">
        <v>191</v>
      </c>
      <c r="AH14" s="22">
        <v>3.68</v>
      </c>
      <c r="AI14" s="20">
        <v>11.17</v>
      </c>
      <c r="AJ14" s="20">
        <v>8.23</v>
      </c>
      <c r="AK14" s="17" t="s">
        <v>636</v>
      </c>
      <c r="AL14" s="17">
        <v>142.80000000000001</v>
      </c>
      <c r="AM14" s="21">
        <v>0.18</v>
      </c>
      <c r="AN14" s="20">
        <v>6.19</v>
      </c>
    </row>
    <row r="15" spans="1:40" ht="18" x14ac:dyDescent="0.35">
      <c r="A15" s="19">
        <v>45549</v>
      </c>
      <c r="B15" s="17" t="s">
        <v>19</v>
      </c>
      <c r="C15" s="17" t="str">
        <f t="shared" si="0"/>
        <v>45549B</v>
      </c>
      <c r="D15" s="17">
        <v>21.21</v>
      </c>
      <c r="E15" s="17">
        <v>22.16</v>
      </c>
      <c r="F15" s="21">
        <v>4.47</v>
      </c>
      <c r="G15" s="17" t="s">
        <v>637</v>
      </c>
      <c r="H15" s="17">
        <v>10.44</v>
      </c>
      <c r="I15" s="20">
        <v>232.48</v>
      </c>
      <c r="J15" s="17" t="s">
        <v>638</v>
      </c>
      <c r="K15" s="17">
        <v>103.12</v>
      </c>
      <c r="L15" s="20">
        <v>21</v>
      </c>
      <c r="M15" s="17" t="s">
        <v>165</v>
      </c>
      <c r="N15" s="17">
        <v>8.32</v>
      </c>
      <c r="O15" s="20">
        <v>5.98</v>
      </c>
      <c r="P15" s="21">
        <v>2.08</v>
      </c>
      <c r="Q15" s="17" t="s">
        <v>639</v>
      </c>
      <c r="R15" s="17">
        <v>39</v>
      </c>
      <c r="S15" s="21">
        <v>1.85</v>
      </c>
      <c r="T15" s="21">
        <v>0.56000000000000005</v>
      </c>
      <c r="U15" s="17" t="s">
        <v>640</v>
      </c>
      <c r="V15" s="17">
        <v>27.21</v>
      </c>
      <c r="W15" s="21">
        <v>2.48</v>
      </c>
      <c r="X15" s="20">
        <v>3.81</v>
      </c>
      <c r="Y15" s="17" t="s">
        <v>641</v>
      </c>
      <c r="Z15" s="17">
        <v>54.95</v>
      </c>
      <c r="AA15" s="21">
        <v>7.0000000000000007E-2</v>
      </c>
      <c r="AB15" s="21">
        <v>0.21</v>
      </c>
      <c r="AC15" s="17" t="s">
        <v>642</v>
      </c>
      <c r="AD15" s="17">
        <v>3.82</v>
      </c>
      <c r="AE15" s="21">
        <v>5.52</v>
      </c>
      <c r="AF15" s="21">
        <v>0.26</v>
      </c>
      <c r="AG15" s="17" t="s">
        <v>570</v>
      </c>
      <c r="AH15" s="17">
        <v>3.43</v>
      </c>
      <c r="AI15" s="21">
        <v>4.57</v>
      </c>
      <c r="AJ15" s="21">
        <v>0.88</v>
      </c>
      <c r="AK15" s="17" t="s">
        <v>643</v>
      </c>
      <c r="AL15" s="17">
        <v>146.11000000000001</v>
      </c>
      <c r="AM15" s="21">
        <v>1.87</v>
      </c>
      <c r="AN15" s="21">
        <v>4.0199999999999996</v>
      </c>
    </row>
    <row r="16" spans="1:40" x14ac:dyDescent="0.3">
      <c r="A16" s="19">
        <v>45549</v>
      </c>
      <c r="B16" s="17" t="s">
        <v>21</v>
      </c>
      <c r="C16" s="17" t="str">
        <f t="shared" si="0"/>
        <v>45549A</v>
      </c>
      <c r="D16" s="17">
        <v>22.73</v>
      </c>
      <c r="E16" s="17">
        <v>23.31</v>
      </c>
      <c r="F16" s="21">
        <v>2.5499999999999998</v>
      </c>
      <c r="G16" s="17" t="s">
        <v>94</v>
      </c>
      <c r="H16" s="17">
        <v>16.190000000000001</v>
      </c>
      <c r="I16" s="17"/>
      <c r="J16" s="17" t="s">
        <v>644</v>
      </c>
      <c r="K16" s="17">
        <v>85.36</v>
      </c>
      <c r="L16" s="21">
        <v>2.6</v>
      </c>
      <c r="M16" s="17" t="s">
        <v>202</v>
      </c>
      <c r="N16" s="17">
        <v>7.73</v>
      </c>
      <c r="O16" s="21">
        <v>4.09</v>
      </c>
      <c r="P16" s="21">
        <v>5.15</v>
      </c>
      <c r="Q16" s="17" t="s">
        <v>645</v>
      </c>
      <c r="R16" s="17">
        <v>37.25</v>
      </c>
      <c r="S16" s="21">
        <v>3.52</v>
      </c>
      <c r="T16" s="21">
        <v>3.94</v>
      </c>
      <c r="U16" s="17" t="s">
        <v>646</v>
      </c>
      <c r="V16" s="17">
        <v>26.6</v>
      </c>
      <c r="W16" s="20">
        <v>4.1500000000000004</v>
      </c>
      <c r="X16" s="21">
        <v>1.48</v>
      </c>
      <c r="Y16" s="17" t="s">
        <v>647</v>
      </c>
      <c r="Z16" s="23">
        <v>54.95</v>
      </c>
      <c r="AA16" s="20">
        <v>2.86</v>
      </c>
      <c r="AB16" s="21">
        <v>0.21</v>
      </c>
      <c r="AC16" s="17" t="s">
        <v>169</v>
      </c>
      <c r="AD16" s="17">
        <v>3.51</v>
      </c>
      <c r="AE16" s="20">
        <v>7.87</v>
      </c>
      <c r="AF16" s="20">
        <v>7.87</v>
      </c>
      <c r="AG16" s="17" t="s">
        <v>570</v>
      </c>
      <c r="AH16" s="17">
        <v>3.25</v>
      </c>
      <c r="AI16" s="21">
        <v>0.91</v>
      </c>
      <c r="AJ16" s="21">
        <v>4.41</v>
      </c>
      <c r="AK16" s="17" t="s">
        <v>648</v>
      </c>
      <c r="AL16" s="17">
        <v>141.5</v>
      </c>
      <c r="AM16" s="21">
        <v>2.52</v>
      </c>
      <c r="AN16" s="20">
        <v>7.04</v>
      </c>
    </row>
    <row r="17" spans="1:40" x14ac:dyDescent="0.3">
      <c r="A17" s="19">
        <v>45548</v>
      </c>
      <c r="B17" s="17" t="s">
        <v>19</v>
      </c>
      <c r="C17" s="17" t="str">
        <f t="shared" si="0"/>
        <v>45548B</v>
      </c>
      <c r="D17" s="17">
        <v>12.3</v>
      </c>
      <c r="E17" s="17">
        <v>13.68</v>
      </c>
      <c r="F17" s="20">
        <v>11.21</v>
      </c>
      <c r="G17" s="17" t="s">
        <v>649</v>
      </c>
      <c r="H17" s="17">
        <v>12.89</v>
      </c>
      <c r="I17" s="20">
        <v>759.33</v>
      </c>
      <c r="J17" s="17" t="s">
        <v>650</v>
      </c>
      <c r="K17" s="17">
        <v>89.33</v>
      </c>
      <c r="L17" s="21">
        <v>5.91</v>
      </c>
      <c r="M17" s="17" t="s">
        <v>87</v>
      </c>
      <c r="N17" s="17">
        <v>8.08</v>
      </c>
      <c r="O17" s="21">
        <v>0.49</v>
      </c>
      <c r="P17" s="21">
        <v>0.85</v>
      </c>
      <c r="Q17" s="17" t="s">
        <v>384</v>
      </c>
      <c r="R17" s="17">
        <v>38.36</v>
      </c>
      <c r="S17" s="21">
        <v>0.23</v>
      </c>
      <c r="T17" s="21">
        <v>1.08</v>
      </c>
      <c r="U17" s="17" t="s">
        <v>241</v>
      </c>
      <c r="V17" s="17">
        <v>25.89</v>
      </c>
      <c r="W17" s="21">
        <v>1.96</v>
      </c>
      <c r="X17" s="21">
        <v>1.22</v>
      </c>
      <c r="Y17" s="17" t="s">
        <v>651</v>
      </c>
      <c r="Z17" s="17">
        <v>57.13</v>
      </c>
      <c r="AA17" s="21">
        <v>1.65</v>
      </c>
      <c r="AB17" s="20">
        <v>3.74</v>
      </c>
      <c r="AC17" s="17" t="s">
        <v>177</v>
      </c>
      <c r="AD17" s="23">
        <v>3.6</v>
      </c>
      <c r="AE17" s="21">
        <v>6.49</v>
      </c>
      <c r="AF17" s="21">
        <v>5.51</v>
      </c>
      <c r="AG17" s="17" t="s">
        <v>191</v>
      </c>
      <c r="AH17" s="17">
        <v>3.33</v>
      </c>
      <c r="AI17" s="21">
        <v>0.6</v>
      </c>
      <c r="AJ17" s="21">
        <v>2.0499999999999998</v>
      </c>
      <c r="AK17" s="17" t="s">
        <v>652</v>
      </c>
      <c r="AL17" s="17">
        <v>149.44999999999999</v>
      </c>
      <c r="AM17" s="21">
        <v>3.66</v>
      </c>
      <c r="AN17" s="21">
        <v>1.82</v>
      </c>
    </row>
    <row r="18" spans="1:40" x14ac:dyDescent="0.3">
      <c r="A18" s="19">
        <v>45548</v>
      </c>
      <c r="B18" s="17" t="s">
        <v>21</v>
      </c>
      <c r="C18" s="17" t="str">
        <f t="shared" si="0"/>
        <v>45548A</v>
      </c>
      <c r="D18" s="17">
        <v>13.49</v>
      </c>
      <c r="E18" s="17">
        <v>14.4</v>
      </c>
      <c r="F18" s="21">
        <v>6.74</v>
      </c>
      <c r="G18" s="17" t="s">
        <v>94</v>
      </c>
      <c r="H18" s="17">
        <v>16.809999999999999</v>
      </c>
      <c r="I18" s="17"/>
      <c r="J18" s="17" t="s">
        <v>653</v>
      </c>
      <c r="K18" s="17">
        <v>79.760000000000005</v>
      </c>
      <c r="L18" s="20">
        <v>10.84</v>
      </c>
      <c r="M18" s="17" t="s">
        <v>156</v>
      </c>
      <c r="N18" s="17">
        <v>7.87</v>
      </c>
      <c r="O18" s="21">
        <v>2.59</v>
      </c>
      <c r="P18" s="21">
        <v>3.43</v>
      </c>
      <c r="Q18" s="17" t="s">
        <v>88</v>
      </c>
      <c r="R18" s="17">
        <v>37.4</v>
      </c>
      <c r="S18" s="21">
        <v>3.43</v>
      </c>
      <c r="T18" s="21">
        <v>3.55</v>
      </c>
      <c r="U18" s="17" t="s">
        <v>654</v>
      </c>
      <c r="V18" s="17">
        <v>26.25</v>
      </c>
      <c r="W18" s="20">
        <v>2.65</v>
      </c>
      <c r="X18" s="21">
        <v>0.15</v>
      </c>
      <c r="Y18" s="17" t="s">
        <v>655</v>
      </c>
      <c r="Z18" s="23">
        <v>56.43</v>
      </c>
      <c r="AA18" s="21">
        <v>0.61</v>
      </c>
      <c r="AB18" s="20">
        <v>2.46</v>
      </c>
      <c r="AC18" s="17" t="s">
        <v>267</v>
      </c>
      <c r="AD18" s="17">
        <v>3.66</v>
      </c>
      <c r="AE18" s="20">
        <v>8.7200000000000006</v>
      </c>
      <c r="AF18" s="21">
        <v>3.93</v>
      </c>
      <c r="AG18" s="17" t="s">
        <v>136</v>
      </c>
      <c r="AH18" s="17">
        <v>3.25</v>
      </c>
      <c r="AI18" s="21">
        <v>3.56</v>
      </c>
      <c r="AJ18" s="21">
        <v>4.41</v>
      </c>
      <c r="AK18" s="17" t="s">
        <v>656</v>
      </c>
      <c r="AL18" s="17">
        <v>143.19999999999999</v>
      </c>
      <c r="AM18" s="21">
        <v>2.99</v>
      </c>
      <c r="AN18" s="20">
        <v>5.93</v>
      </c>
    </row>
    <row r="19" spans="1:40" x14ac:dyDescent="0.3">
      <c r="A19" s="19">
        <v>45547</v>
      </c>
      <c r="B19" s="17" t="s">
        <v>19</v>
      </c>
      <c r="C19" s="17" t="str">
        <f t="shared" si="0"/>
        <v>45547B</v>
      </c>
      <c r="D19" s="17">
        <v>7</v>
      </c>
      <c r="E19" s="17">
        <v>7.75</v>
      </c>
      <c r="F19" s="20">
        <v>10.71</v>
      </c>
      <c r="G19" s="17" t="s">
        <v>657</v>
      </c>
      <c r="H19" s="17">
        <v>9.49</v>
      </c>
      <c r="I19" s="20">
        <v>79.73</v>
      </c>
      <c r="J19" s="17" t="s">
        <v>70</v>
      </c>
      <c r="K19" s="17">
        <v>94.47</v>
      </c>
      <c r="L19" s="20">
        <v>17.850000000000001</v>
      </c>
      <c r="M19" s="17" t="s">
        <v>658</v>
      </c>
      <c r="N19" s="17">
        <v>8.35</v>
      </c>
      <c r="O19" s="21">
        <v>0.84</v>
      </c>
      <c r="P19" s="21">
        <v>2.4500000000000002</v>
      </c>
      <c r="Q19" s="17" t="s">
        <v>150</v>
      </c>
      <c r="R19" s="17">
        <v>38.5</v>
      </c>
      <c r="S19" s="21">
        <v>1.33</v>
      </c>
      <c r="T19" s="21">
        <v>0.72</v>
      </c>
      <c r="U19" s="17" t="s">
        <v>659</v>
      </c>
      <c r="V19" s="17">
        <v>26.73</v>
      </c>
      <c r="W19" s="20">
        <v>4.45</v>
      </c>
      <c r="X19" s="21">
        <v>1.98</v>
      </c>
      <c r="Y19" s="17" t="s">
        <v>660</v>
      </c>
      <c r="Z19" s="17">
        <v>57.07</v>
      </c>
      <c r="AA19" s="21">
        <v>0.93</v>
      </c>
      <c r="AB19" s="20">
        <v>3.63</v>
      </c>
      <c r="AC19" s="22" t="s">
        <v>661</v>
      </c>
      <c r="AD19" s="17">
        <v>3.99</v>
      </c>
      <c r="AE19" s="21">
        <v>6.77</v>
      </c>
      <c r="AF19" s="21">
        <v>4.72</v>
      </c>
      <c r="AG19" s="17" t="s">
        <v>120</v>
      </c>
      <c r="AH19" s="17">
        <v>3.43</v>
      </c>
      <c r="AI19" s="21">
        <v>1.1499999999999999</v>
      </c>
      <c r="AJ19" s="21">
        <v>0.88</v>
      </c>
      <c r="AK19" s="17" t="s">
        <v>662</v>
      </c>
      <c r="AL19" s="17">
        <v>138.69999999999999</v>
      </c>
      <c r="AM19" s="21">
        <v>0.3</v>
      </c>
      <c r="AN19" s="20">
        <v>8.8800000000000008</v>
      </c>
    </row>
    <row r="20" spans="1:40" x14ac:dyDescent="0.3">
      <c r="A20" s="19">
        <v>45547</v>
      </c>
      <c r="B20" s="17" t="s">
        <v>21</v>
      </c>
      <c r="C20" s="17" t="str">
        <f t="shared" si="0"/>
        <v>45547A</v>
      </c>
      <c r="D20" s="17">
        <v>13.68</v>
      </c>
      <c r="E20" s="17">
        <v>12.68</v>
      </c>
      <c r="F20" s="21">
        <v>7.3</v>
      </c>
      <c r="G20" s="17" t="s">
        <v>663</v>
      </c>
      <c r="H20" s="17">
        <v>15.71</v>
      </c>
      <c r="I20" s="20">
        <v>777.65</v>
      </c>
      <c r="J20" s="17" t="s">
        <v>664</v>
      </c>
      <c r="K20" s="17">
        <v>66.349999999999994</v>
      </c>
      <c r="L20" s="20">
        <v>38.99</v>
      </c>
      <c r="M20" s="17" t="s">
        <v>665</v>
      </c>
      <c r="N20" s="17">
        <v>8.43</v>
      </c>
      <c r="O20" s="21">
        <v>3.69</v>
      </c>
      <c r="P20" s="21">
        <v>3.43</v>
      </c>
      <c r="Q20" s="17" t="s">
        <v>666</v>
      </c>
      <c r="R20" s="17">
        <v>38</v>
      </c>
      <c r="S20" s="21">
        <v>3.96</v>
      </c>
      <c r="T20" s="21">
        <v>2.0099999999999998</v>
      </c>
      <c r="U20" s="17" t="s">
        <v>667</v>
      </c>
      <c r="V20" s="17">
        <v>27.3</v>
      </c>
      <c r="W20" s="20">
        <v>14.41</v>
      </c>
      <c r="X20" s="20">
        <v>4.1500000000000004</v>
      </c>
      <c r="Y20" s="17" t="s">
        <v>668</v>
      </c>
      <c r="Z20" s="23">
        <v>56.59</v>
      </c>
      <c r="AA20" s="21">
        <v>0.49</v>
      </c>
      <c r="AB20" s="20">
        <v>2.76</v>
      </c>
      <c r="AC20" s="22" t="s">
        <v>669</v>
      </c>
      <c r="AD20" s="22">
        <v>4.2300000000000004</v>
      </c>
      <c r="AE20" s="21">
        <v>0.71</v>
      </c>
      <c r="AF20" s="20">
        <v>11.02</v>
      </c>
      <c r="AG20" s="17" t="s">
        <v>670</v>
      </c>
      <c r="AH20" s="22">
        <v>3.64</v>
      </c>
      <c r="AI20" s="21">
        <v>5.2</v>
      </c>
      <c r="AJ20" s="21">
        <v>7.05</v>
      </c>
      <c r="AK20" s="17" t="s">
        <v>192</v>
      </c>
      <c r="AL20" s="17">
        <v>135.75</v>
      </c>
      <c r="AM20" s="20">
        <v>8.11</v>
      </c>
      <c r="AN20" s="20">
        <v>10.82</v>
      </c>
    </row>
    <row r="21" spans="1:40" x14ac:dyDescent="0.3">
      <c r="A21" s="19">
        <v>45544</v>
      </c>
      <c r="B21" s="17" t="s">
        <v>19</v>
      </c>
      <c r="C21" s="17" t="str">
        <f t="shared" si="0"/>
        <v>45544B</v>
      </c>
      <c r="D21" s="17">
        <v>7</v>
      </c>
      <c r="E21" s="17">
        <v>12.95</v>
      </c>
      <c r="F21" s="20">
        <v>84.99</v>
      </c>
      <c r="G21" s="17" t="s">
        <v>671</v>
      </c>
      <c r="H21" s="17">
        <v>16.53</v>
      </c>
      <c r="I21" s="20">
        <v>220.97</v>
      </c>
      <c r="J21" s="17" t="s">
        <v>70</v>
      </c>
      <c r="K21" s="17">
        <v>69.55</v>
      </c>
      <c r="L21" s="20">
        <v>39.520000000000003</v>
      </c>
      <c r="M21" s="17" t="s">
        <v>672</v>
      </c>
      <c r="N21" s="17">
        <v>8.64</v>
      </c>
      <c r="O21" s="21">
        <v>4.9800000000000004</v>
      </c>
      <c r="P21" s="20">
        <v>6.01</v>
      </c>
      <c r="Q21" s="17" t="s">
        <v>188</v>
      </c>
      <c r="R21" s="22">
        <v>44</v>
      </c>
      <c r="S21" s="20">
        <v>15.63</v>
      </c>
      <c r="T21" s="20">
        <v>13.46</v>
      </c>
      <c r="U21" s="17" t="s">
        <v>196</v>
      </c>
      <c r="V21" s="17">
        <v>26.75</v>
      </c>
      <c r="W21" s="21">
        <v>1.59</v>
      </c>
      <c r="X21" s="21">
        <v>2.06</v>
      </c>
      <c r="Y21" s="17" t="s">
        <v>673</v>
      </c>
      <c r="Z21" s="22">
        <v>57.41</v>
      </c>
      <c r="AA21" s="20">
        <v>2.1800000000000002</v>
      </c>
      <c r="AB21" s="20">
        <v>4.24</v>
      </c>
      <c r="AC21" s="17" t="s">
        <v>458</v>
      </c>
      <c r="AD21" s="22">
        <v>4.1900000000000004</v>
      </c>
      <c r="AE21" s="21">
        <v>3.45</v>
      </c>
      <c r="AF21" s="20">
        <v>9.9700000000000006</v>
      </c>
      <c r="AG21" s="17" t="s">
        <v>323</v>
      </c>
      <c r="AH21" s="22">
        <v>3.85</v>
      </c>
      <c r="AI21" s="20">
        <v>12.9</v>
      </c>
      <c r="AJ21" s="20">
        <v>13.23</v>
      </c>
      <c r="AK21" s="17" t="s">
        <v>674</v>
      </c>
      <c r="AL21" s="17">
        <v>157</v>
      </c>
      <c r="AM21" s="20">
        <v>16.059999999999999</v>
      </c>
      <c r="AN21" s="21">
        <v>3.13</v>
      </c>
    </row>
    <row r="22" spans="1:40" x14ac:dyDescent="0.3">
      <c r="A22" s="19">
        <v>45544</v>
      </c>
      <c r="B22" s="17" t="s">
        <v>21</v>
      </c>
      <c r="C22" s="17" t="str">
        <f t="shared" si="0"/>
        <v>45544A</v>
      </c>
      <c r="D22" s="17">
        <v>19.739999999999998</v>
      </c>
      <c r="E22" s="17">
        <v>20.05</v>
      </c>
      <c r="F22" s="21">
        <v>1.57</v>
      </c>
      <c r="G22" s="17" t="s">
        <v>94</v>
      </c>
      <c r="H22" s="17">
        <v>15.15</v>
      </c>
      <c r="I22" s="17"/>
      <c r="J22" s="17" t="s">
        <v>675</v>
      </c>
      <c r="K22" s="17">
        <v>63.41</v>
      </c>
      <c r="L22" s="20">
        <v>25.15</v>
      </c>
      <c r="M22" s="17" t="s">
        <v>187</v>
      </c>
      <c r="N22" s="17">
        <v>8.6</v>
      </c>
      <c r="O22" s="20">
        <v>8.0399999999999991</v>
      </c>
      <c r="P22" s="20">
        <v>5.52</v>
      </c>
      <c r="Q22" s="17" t="s">
        <v>489</v>
      </c>
      <c r="R22" s="17">
        <v>37.14</v>
      </c>
      <c r="S22" s="21">
        <v>2.95</v>
      </c>
      <c r="T22" s="21">
        <v>4.22</v>
      </c>
      <c r="U22" s="17" t="s">
        <v>676</v>
      </c>
      <c r="V22" s="22">
        <v>30.01</v>
      </c>
      <c r="W22" s="20">
        <v>16.899999999999999</v>
      </c>
      <c r="X22" s="20">
        <v>14.49</v>
      </c>
      <c r="Y22" s="17" t="s">
        <v>677</v>
      </c>
      <c r="Z22" s="23">
        <v>56.2</v>
      </c>
      <c r="AA22" s="21">
        <v>0.16</v>
      </c>
      <c r="AB22" s="20">
        <v>2.0499999999999998</v>
      </c>
      <c r="AC22" s="17" t="s">
        <v>206</v>
      </c>
      <c r="AD22" s="23">
        <v>3.98</v>
      </c>
      <c r="AE22" s="21">
        <v>6.41</v>
      </c>
      <c r="AF22" s="21">
        <v>4.46</v>
      </c>
      <c r="AG22" s="17" t="s">
        <v>678</v>
      </c>
      <c r="AH22" s="22">
        <v>3.59</v>
      </c>
      <c r="AI22" s="20">
        <v>9.7799999999999994</v>
      </c>
      <c r="AJ22" s="21">
        <v>5.58</v>
      </c>
      <c r="AK22" s="17" t="s">
        <v>549</v>
      </c>
      <c r="AL22" s="17">
        <v>131.71</v>
      </c>
      <c r="AM22" s="20">
        <v>8.57</v>
      </c>
      <c r="AN22" s="20">
        <v>13.47</v>
      </c>
    </row>
    <row r="23" spans="1:40" x14ac:dyDescent="0.3">
      <c r="A23" s="19">
        <v>45541</v>
      </c>
      <c r="B23" s="17" t="s">
        <v>19</v>
      </c>
      <c r="C23" s="17" t="str">
        <f t="shared" si="0"/>
        <v>45541B</v>
      </c>
      <c r="D23" s="17">
        <v>16.28</v>
      </c>
      <c r="E23" s="17">
        <v>16.7</v>
      </c>
      <c r="F23" s="21">
        <v>2.57</v>
      </c>
      <c r="G23" s="17" t="s">
        <v>679</v>
      </c>
      <c r="H23" s="17">
        <v>13.83</v>
      </c>
      <c r="I23" s="20">
        <v>69050</v>
      </c>
      <c r="J23" s="17" t="s">
        <v>680</v>
      </c>
      <c r="K23" s="17">
        <v>79.790000000000006</v>
      </c>
      <c r="L23" s="20">
        <v>13.31</v>
      </c>
      <c r="M23" s="17" t="s">
        <v>87</v>
      </c>
      <c r="N23" s="17">
        <v>8.17</v>
      </c>
      <c r="O23" s="21">
        <v>0.61</v>
      </c>
      <c r="P23" s="21">
        <v>0.24</v>
      </c>
      <c r="Q23" s="17" t="s">
        <v>681</v>
      </c>
      <c r="R23" s="17">
        <v>37.58</v>
      </c>
      <c r="S23" s="21">
        <v>3.78</v>
      </c>
      <c r="T23" s="21">
        <v>3.09</v>
      </c>
      <c r="U23" s="17" t="s">
        <v>682</v>
      </c>
      <c r="V23" s="17">
        <v>27.15</v>
      </c>
      <c r="W23" s="20">
        <v>6.26</v>
      </c>
      <c r="X23" s="20">
        <v>3.58</v>
      </c>
      <c r="Y23" s="17" t="s">
        <v>683</v>
      </c>
      <c r="Z23" s="17"/>
      <c r="AA23" s="17"/>
      <c r="AB23" s="17"/>
      <c r="AC23" s="17" t="s">
        <v>423</v>
      </c>
      <c r="AD23" s="17">
        <v>3.7</v>
      </c>
      <c r="AE23" s="21">
        <v>6.8</v>
      </c>
      <c r="AF23" s="21">
        <v>2.88</v>
      </c>
      <c r="AG23" s="17" t="s">
        <v>310</v>
      </c>
      <c r="AH23" s="17">
        <v>3.27</v>
      </c>
      <c r="AI23" s="21">
        <v>3.25</v>
      </c>
      <c r="AJ23" s="21">
        <v>3.82</v>
      </c>
      <c r="AK23" s="17" t="s">
        <v>684</v>
      </c>
      <c r="AL23" s="17">
        <v>146</v>
      </c>
      <c r="AM23" s="21">
        <v>1.45</v>
      </c>
      <c r="AN23" s="21">
        <v>4.09</v>
      </c>
    </row>
    <row r="24" spans="1:40" x14ac:dyDescent="0.3">
      <c r="A24" s="19">
        <v>45541</v>
      </c>
      <c r="B24" s="17" t="s">
        <v>21</v>
      </c>
      <c r="C24" s="17" t="str">
        <f t="shared" si="0"/>
        <v>45541A</v>
      </c>
      <c r="D24" s="17">
        <v>11.87</v>
      </c>
      <c r="E24" s="17">
        <v>12.17</v>
      </c>
      <c r="F24" s="21">
        <v>2.52</v>
      </c>
      <c r="G24" s="17" t="s">
        <v>94</v>
      </c>
      <c r="H24" s="17">
        <v>16.82</v>
      </c>
      <c r="I24" s="17"/>
      <c r="J24" s="17" t="s">
        <v>685</v>
      </c>
      <c r="K24" s="17">
        <v>80.91</v>
      </c>
      <c r="L24" s="20">
        <v>20.329999999999998</v>
      </c>
      <c r="M24" s="17" t="s">
        <v>87</v>
      </c>
      <c r="N24" s="17">
        <v>8.16</v>
      </c>
      <c r="O24" s="21">
        <v>0.49</v>
      </c>
      <c r="P24" s="21">
        <v>0.12</v>
      </c>
      <c r="Q24" s="17" t="s">
        <v>116</v>
      </c>
      <c r="R24" s="17">
        <v>37.86</v>
      </c>
      <c r="S24" s="21">
        <v>2.09</v>
      </c>
      <c r="T24" s="21">
        <v>2.37</v>
      </c>
      <c r="U24" s="17" t="s">
        <v>686</v>
      </c>
      <c r="V24" s="17">
        <v>25.79</v>
      </c>
      <c r="W24" s="21">
        <v>0.11</v>
      </c>
      <c r="X24" s="21">
        <v>1.6</v>
      </c>
      <c r="Y24" s="17" t="s">
        <v>651</v>
      </c>
      <c r="Z24" s="17">
        <v>56.56</v>
      </c>
      <c r="AA24" s="21">
        <v>0.64</v>
      </c>
      <c r="AB24" s="20">
        <v>2.7</v>
      </c>
      <c r="AC24" s="17" t="s">
        <v>126</v>
      </c>
      <c r="AD24" s="17">
        <v>3.89</v>
      </c>
      <c r="AE24" s="21">
        <v>1.01</v>
      </c>
      <c r="AF24" s="21">
        <v>2.09</v>
      </c>
      <c r="AG24" s="17" t="s">
        <v>136</v>
      </c>
      <c r="AH24" s="17">
        <v>3.42</v>
      </c>
      <c r="AI24" s="21">
        <v>1.48</v>
      </c>
      <c r="AJ24" s="21">
        <v>0.57999999999999996</v>
      </c>
      <c r="AK24" s="17" t="s">
        <v>687</v>
      </c>
      <c r="AL24" s="17">
        <v>142.57</v>
      </c>
      <c r="AM24" s="21">
        <v>1.43</v>
      </c>
      <c r="AN24" s="20">
        <v>6.34</v>
      </c>
    </row>
    <row r="25" spans="1:40" x14ac:dyDescent="0.3">
      <c r="A25" s="19">
        <v>45540</v>
      </c>
      <c r="B25" s="17" t="s">
        <v>19</v>
      </c>
      <c r="C25" s="17" t="str">
        <f t="shared" si="0"/>
        <v>45540B</v>
      </c>
      <c r="D25" s="17">
        <v>10.14</v>
      </c>
      <c r="E25" s="17">
        <v>11.37</v>
      </c>
      <c r="F25" s="20">
        <v>12.13</v>
      </c>
      <c r="G25" s="17" t="s">
        <v>688</v>
      </c>
      <c r="H25" s="17">
        <v>16.829999999999998</v>
      </c>
      <c r="I25" s="20">
        <v>314.52999999999997</v>
      </c>
      <c r="J25" s="17" t="s">
        <v>70</v>
      </c>
      <c r="K25" s="17">
        <v>85.83</v>
      </c>
      <c r="L25" s="20">
        <v>25.36</v>
      </c>
      <c r="M25" s="17" t="s">
        <v>259</v>
      </c>
      <c r="N25" s="17">
        <v>8.5</v>
      </c>
      <c r="O25" s="21">
        <v>3.65</v>
      </c>
      <c r="P25" s="21">
        <v>4.29</v>
      </c>
      <c r="Q25" s="17" t="s">
        <v>634</v>
      </c>
      <c r="R25" s="17">
        <v>38.33</v>
      </c>
      <c r="S25" s="21">
        <v>0.97</v>
      </c>
      <c r="T25" s="21">
        <v>1.1599999999999999</v>
      </c>
      <c r="U25" s="17" t="s">
        <v>689</v>
      </c>
      <c r="V25" s="17">
        <v>25.84</v>
      </c>
      <c r="W25" s="20">
        <v>3.72</v>
      </c>
      <c r="X25" s="21">
        <v>1.41</v>
      </c>
      <c r="Y25" s="17" t="s">
        <v>690</v>
      </c>
      <c r="Z25" s="17">
        <v>56.24</v>
      </c>
      <c r="AA25" s="20">
        <v>2.96</v>
      </c>
      <c r="AB25" s="20">
        <v>2.12</v>
      </c>
      <c r="AC25" s="17" t="s">
        <v>691</v>
      </c>
      <c r="AD25" s="17">
        <v>3.94</v>
      </c>
      <c r="AE25" s="21">
        <v>0.51</v>
      </c>
      <c r="AF25" s="21">
        <v>3.41</v>
      </c>
      <c r="AG25" s="17" t="s">
        <v>310</v>
      </c>
      <c r="AH25" s="17">
        <v>3.46</v>
      </c>
      <c r="AI25" s="21">
        <v>2.36</v>
      </c>
      <c r="AJ25" s="21">
        <v>1.76</v>
      </c>
      <c r="AK25" s="17" t="s">
        <v>692</v>
      </c>
      <c r="AL25" s="17">
        <v>145.66999999999999</v>
      </c>
      <c r="AM25" s="20">
        <v>4.6399999999999997</v>
      </c>
      <c r="AN25" s="21">
        <v>4.3</v>
      </c>
    </row>
    <row r="26" spans="1:40" x14ac:dyDescent="0.3">
      <c r="A26" s="19">
        <v>45540</v>
      </c>
      <c r="B26" s="17" t="s">
        <v>21</v>
      </c>
      <c r="C26" s="17" t="str">
        <f t="shared" si="0"/>
        <v>45540A</v>
      </c>
      <c r="D26" s="17">
        <v>15.97</v>
      </c>
      <c r="E26" s="17">
        <v>15.74</v>
      </c>
      <c r="F26" s="21">
        <v>1.44</v>
      </c>
      <c r="G26" s="17" t="s">
        <v>94</v>
      </c>
      <c r="H26" s="17">
        <v>17.899999999999999</v>
      </c>
      <c r="I26" s="17"/>
      <c r="J26" s="17" t="s">
        <v>693</v>
      </c>
      <c r="K26" s="17">
        <v>76.61</v>
      </c>
      <c r="L26" s="20">
        <v>31.61</v>
      </c>
      <c r="M26" s="17" t="s">
        <v>694</v>
      </c>
      <c r="N26" s="17">
        <v>8.33</v>
      </c>
      <c r="O26" s="20">
        <v>6.25</v>
      </c>
      <c r="P26" s="21">
        <v>2.2000000000000002</v>
      </c>
      <c r="Q26" s="17" t="s">
        <v>695</v>
      </c>
      <c r="R26" s="17">
        <v>36.75</v>
      </c>
      <c r="S26" s="21">
        <v>3.54</v>
      </c>
      <c r="T26" s="20">
        <v>5.23</v>
      </c>
      <c r="U26" s="17" t="s">
        <v>505</v>
      </c>
      <c r="V26" s="17">
        <v>27.35</v>
      </c>
      <c r="W26" s="20">
        <v>5.03</v>
      </c>
      <c r="X26" s="20">
        <v>4.34</v>
      </c>
      <c r="Y26" s="17" t="s">
        <v>696</v>
      </c>
      <c r="Z26" s="22">
        <v>54.1</v>
      </c>
      <c r="AA26" s="20">
        <v>1.99</v>
      </c>
      <c r="AB26" s="21">
        <v>1.76</v>
      </c>
      <c r="AC26" s="17" t="s">
        <v>135</v>
      </c>
      <c r="AD26" s="17">
        <v>4.05</v>
      </c>
      <c r="AE26" s="21">
        <v>4.6500000000000004</v>
      </c>
      <c r="AF26" s="21">
        <v>6.29</v>
      </c>
      <c r="AG26" s="17" t="s">
        <v>170</v>
      </c>
      <c r="AH26" s="22">
        <v>3.5</v>
      </c>
      <c r="AI26" s="21">
        <v>4.79</v>
      </c>
      <c r="AJ26" s="21">
        <v>2.94</v>
      </c>
      <c r="AK26" s="17" t="s">
        <v>697</v>
      </c>
      <c r="AL26" s="17">
        <v>140.25</v>
      </c>
      <c r="AM26" s="21">
        <v>1.21</v>
      </c>
      <c r="AN26" s="20">
        <v>7.86</v>
      </c>
    </row>
    <row r="27" spans="1:40" x14ac:dyDescent="0.3">
      <c r="A27" s="19">
        <v>45539</v>
      </c>
      <c r="B27" s="17" t="s">
        <v>19</v>
      </c>
      <c r="C27" s="17" t="str">
        <f t="shared" si="0"/>
        <v>45539B</v>
      </c>
      <c r="D27" s="17">
        <v>14.06</v>
      </c>
      <c r="E27" s="17">
        <v>14.5</v>
      </c>
      <c r="F27" s="21">
        <v>3.12</v>
      </c>
      <c r="G27" s="17" t="s">
        <v>698</v>
      </c>
      <c r="H27" s="17">
        <v>12.6</v>
      </c>
      <c r="I27" s="20">
        <v>2580.85</v>
      </c>
      <c r="J27" s="17" t="s">
        <v>70</v>
      </c>
      <c r="K27" s="17">
        <v>83.49</v>
      </c>
      <c r="L27" s="20">
        <v>27.4</v>
      </c>
      <c r="M27" s="17" t="s">
        <v>699</v>
      </c>
      <c r="N27" s="17">
        <v>8.44</v>
      </c>
      <c r="O27" s="20">
        <v>6.56</v>
      </c>
      <c r="P27" s="21">
        <v>3.55</v>
      </c>
      <c r="Q27" s="17" t="s">
        <v>700</v>
      </c>
      <c r="R27" s="17">
        <v>38.44</v>
      </c>
      <c r="S27" s="21">
        <v>0.28000000000000003</v>
      </c>
      <c r="T27" s="21">
        <v>0.87</v>
      </c>
      <c r="U27" s="17" t="s">
        <v>117</v>
      </c>
      <c r="V27" s="17">
        <v>27.14</v>
      </c>
      <c r="W27" s="20">
        <v>3.39</v>
      </c>
      <c r="X27" s="20">
        <v>3.54</v>
      </c>
      <c r="Y27" s="17" t="s">
        <v>696</v>
      </c>
      <c r="Z27" s="17">
        <v>55.06</v>
      </c>
      <c r="AA27" s="21">
        <v>0.25</v>
      </c>
      <c r="AB27" s="21">
        <v>0.01</v>
      </c>
      <c r="AC27" s="17" t="s">
        <v>135</v>
      </c>
      <c r="AD27" s="17">
        <v>4.05</v>
      </c>
      <c r="AE27" s="21">
        <v>4.6500000000000004</v>
      </c>
      <c r="AF27" s="21">
        <v>6.29</v>
      </c>
      <c r="AG27" s="17" t="s">
        <v>100</v>
      </c>
      <c r="AH27" s="22">
        <v>3.52</v>
      </c>
      <c r="AI27" s="21">
        <v>4.76</v>
      </c>
      <c r="AJ27" s="21">
        <v>3.52</v>
      </c>
      <c r="AK27" s="17" t="s">
        <v>701</v>
      </c>
      <c r="AL27" s="17">
        <v>146.22</v>
      </c>
      <c r="AM27" s="21">
        <v>1.3</v>
      </c>
      <c r="AN27" s="21">
        <v>3.94</v>
      </c>
    </row>
    <row r="28" spans="1:40" x14ac:dyDescent="0.3">
      <c r="A28" s="19">
        <v>45539</v>
      </c>
      <c r="B28" s="17" t="s">
        <v>21</v>
      </c>
      <c r="C28" s="17" t="str">
        <f t="shared" si="0"/>
        <v>45539A</v>
      </c>
      <c r="D28" s="17">
        <v>20.32</v>
      </c>
      <c r="E28" s="17">
        <v>19.989999999999998</v>
      </c>
      <c r="F28" s="21">
        <v>1.62</v>
      </c>
      <c r="G28" s="17" t="s">
        <v>94</v>
      </c>
      <c r="H28" s="17">
        <v>16.739999999999998</v>
      </c>
      <c r="I28" s="17"/>
      <c r="J28" s="17" t="s">
        <v>702</v>
      </c>
      <c r="K28" s="17">
        <v>65.17</v>
      </c>
      <c r="L28" s="20">
        <v>31.76</v>
      </c>
      <c r="M28" s="17" t="s">
        <v>703</v>
      </c>
      <c r="N28" s="17">
        <v>8.31</v>
      </c>
      <c r="O28" s="20">
        <v>6.53</v>
      </c>
      <c r="P28" s="21">
        <v>1.96</v>
      </c>
      <c r="Q28" s="17" t="s">
        <v>704</v>
      </c>
      <c r="R28" s="17">
        <v>38.33</v>
      </c>
      <c r="S28" s="21">
        <v>1.42</v>
      </c>
      <c r="T28" s="21">
        <v>1.1599999999999999</v>
      </c>
      <c r="U28" s="17" t="s">
        <v>629</v>
      </c>
      <c r="V28" s="17">
        <v>27.22</v>
      </c>
      <c r="W28" s="20">
        <v>3.73</v>
      </c>
      <c r="X28" s="20">
        <v>3.85</v>
      </c>
      <c r="Y28" s="17" t="s">
        <v>182</v>
      </c>
      <c r="Z28" s="17">
        <v>54.89</v>
      </c>
      <c r="AA28" s="21">
        <v>1.75</v>
      </c>
      <c r="AB28" s="21">
        <v>0.32</v>
      </c>
      <c r="AC28" s="17" t="s">
        <v>296</v>
      </c>
      <c r="AD28" s="17">
        <v>4.05</v>
      </c>
      <c r="AE28" s="21">
        <v>3.58</v>
      </c>
      <c r="AF28" s="21">
        <v>6.29</v>
      </c>
      <c r="AG28" s="17" t="s">
        <v>161</v>
      </c>
      <c r="AH28" s="22">
        <v>3.51</v>
      </c>
      <c r="AI28" s="21">
        <v>6.36</v>
      </c>
      <c r="AJ28" s="21">
        <v>3.23</v>
      </c>
      <c r="AK28" s="17" t="s">
        <v>705</v>
      </c>
      <c r="AL28" s="17">
        <v>147</v>
      </c>
      <c r="AM28" s="20">
        <v>5.24</v>
      </c>
      <c r="AN28" s="21">
        <v>3.43</v>
      </c>
    </row>
    <row r="29" spans="1:40" x14ac:dyDescent="0.3">
      <c r="A29" s="19">
        <v>45538</v>
      </c>
      <c r="B29" s="17" t="s">
        <v>19</v>
      </c>
      <c r="C29" s="17" t="str">
        <f t="shared" si="0"/>
        <v>45538B</v>
      </c>
      <c r="D29" s="17">
        <v>15.82</v>
      </c>
      <c r="E29" s="17">
        <v>16.79</v>
      </c>
      <c r="F29" s="21">
        <v>6.13</v>
      </c>
      <c r="G29" s="17" t="s">
        <v>706</v>
      </c>
      <c r="H29" s="17">
        <v>11.88</v>
      </c>
      <c r="I29" s="20">
        <v>970.27</v>
      </c>
      <c r="J29" s="17" t="s">
        <v>707</v>
      </c>
      <c r="K29" s="17">
        <v>80.849999999999994</v>
      </c>
      <c r="L29" s="20">
        <v>13.78</v>
      </c>
      <c r="M29" s="17" t="s">
        <v>579</v>
      </c>
      <c r="N29" s="17">
        <v>8.42</v>
      </c>
      <c r="O29" s="21">
        <v>4.33</v>
      </c>
      <c r="P29" s="21">
        <v>3.31</v>
      </c>
      <c r="Q29" s="17" t="s">
        <v>339</v>
      </c>
      <c r="R29" s="17">
        <v>38.119999999999997</v>
      </c>
      <c r="S29" s="21">
        <v>1.37</v>
      </c>
      <c r="T29" s="21">
        <v>1.7</v>
      </c>
      <c r="U29" s="17" t="s">
        <v>708</v>
      </c>
      <c r="V29" s="17">
        <v>27.28</v>
      </c>
      <c r="W29" s="20">
        <v>4.04</v>
      </c>
      <c r="X29" s="20">
        <v>4.08</v>
      </c>
      <c r="Y29" s="17" t="s">
        <v>182</v>
      </c>
      <c r="Z29" s="17">
        <v>55.99</v>
      </c>
      <c r="AA29" s="21">
        <v>0.21</v>
      </c>
      <c r="AB29" s="21">
        <v>1.67</v>
      </c>
      <c r="AC29" s="17" t="s">
        <v>709</v>
      </c>
      <c r="AD29" s="17">
        <v>3.97</v>
      </c>
      <c r="AE29" s="21">
        <v>2.0499999999999998</v>
      </c>
      <c r="AF29" s="21">
        <v>4.1900000000000004</v>
      </c>
      <c r="AG29" s="17" t="s">
        <v>136</v>
      </c>
      <c r="AH29" s="22">
        <v>3.49</v>
      </c>
      <c r="AI29" s="21">
        <v>3.56</v>
      </c>
      <c r="AJ29" s="21">
        <v>2.64</v>
      </c>
      <c r="AK29" s="17" t="s">
        <v>710</v>
      </c>
      <c r="AL29" s="17">
        <v>145.25</v>
      </c>
      <c r="AM29" s="21">
        <v>1.34</v>
      </c>
      <c r="AN29" s="20">
        <v>4.58</v>
      </c>
    </row>
    <row r="30" spans="1:40" x14ac:dyDescent="0.3">
      <c r="A30" s="19">
        <v>45538</v>
      </c>
      <c r="B30" s="17" t="s">
        <v>21</v>
      </c>
      <c r="C30" s="17" t="str">
        <f t="shared" si="0"/>
        <v>45538A</v>
      </c>
      <c r="D30" s="17">
        <v>21.51</v>
      </c>
      <c r="E30" s="17">
        <v>20.84</v>
      </c>
      <c r="F30" s="21">
        <v>3.11</v>
      </c>
      <c r="G30" s="17" t="s">
        <v>94</v>
      </c>
      <c r="H30" s="17">
        <v>17.829999999999998</v>
      </c>
      <c r="I30" s="17"/>
      <c r="J30" s="17" t="s">
        <v>711</v>
      </c>
      <c r="K30" s="17">
        <v>70.52</v>
      </c>
      <c r="L30" s="20">
        <v>17.73</v>
      </c>
      <c r="M30" s="17" t="s">
        <v>239</v>
      </c>
      <c r="N30" s="17">
        <v>8.11</v>
      </c>
      <c r="O30" s="21">
        <v>0.87</v>
      </c>
      <c r="P30" s="21">
        <v>0.49</v>
      </c>
      <c r="Q30" s="17" t="s">
        <v>240</v>
      </c>
      <c r="R30" s="17">
        <v>38.29</v>
      </c>
      <c r="S30" s="21">
        <v>1.03</v>
      </c>
      <c r="T30" s="21">
        <v>1.26</v>
      </c>
      <c r="U30" s="17" t="s">
        <v>712</v>
      </c>
      <c r="V30" s="17">
        <v>26.54</v>
      </c>
      <c r="W30" s="20">
        <v>2.82</v>
      </c>
      <c r="X30" s="21">
        <v>1.25</v>
      </c>
      <c r="Y30" s="17" t="s">
        <v>478</v>
      </c>
      <c r="Z30" s="17">
        <v>55.8</v>
      </c>
      <c r="AA30" s="21">
        <v>1.2</v>
      </c>
      <c r="AB30" s="21">
        <v>1.32</v>
      </c>
      <c r="AC30" s="17" t="s">
        <v>91</v>
      </c>
      <c r="AD30" s="23">
        <v>3.84</v>
      </c>
      <c r="AE30" s="21">
        <v>2.78</v>
      </c>
      <c r="AF30" s="21">
        <v>0.78</v>
      </c>
      <c r="AG30" s="17" t="s">
        <v>191</v>
      </c>
      <c r="AH30" s="17">
        <v>3.39</v>
      </c>
      <c r="AI30" s="21">
        <v>2.41</v>
      </c>
      <c r="AJ30" s="21">
        <v>0.28999999999999998</v>
      </c>
      <c r="AK30" s="17" t="s">
        <v>713</v>
      </c>
      <c r="AL30" s="17">
        <v>141.13999999999999</v>
      </c>
      <c r="AM30" s="21">
        <v>1.73</v>
      </c>
      <c r="AN30" s="20">
        <v>7.28</v>
      </c>
    </row>
    <row r="31" spans="1:40" x14ac:dyDescent="0.3">
      <c r="A31" s="19">
        <v>45533</v>
      </c>
      <c r="B31" s="17" t="s">
        <v>19</v>
      </c>
      <c r="C31" s="17" t="str">
        <f t="shared" si="0"/>
        <v>45533B</v>
      </c>
      <c r="D31" s="17">
        <v>14.65</v>
      </c>
      <c r="E31" s="17">
        <v>14.69</v>
      </c>
      <c r="F31" s="21">
        <v>0.27</v>
      </c>
      <c r="G31" s="17" t="s">
        <v>69</v>
      </c>
      <c r="H31" s="17">
        <v>11.76</v>
      </c>
      <c r="I31" s="20">
        <v>81.760000000000005</v>
      </c>
      <c r="J31" s="17" t="s">
        <v>70</v>
      </c>
      <c r="K31" s="17">
        <v>96.32</v>
      </c>
      <c r="L31" s="20">
        <v>16.239999999999998</v>
      </c>
      <c r="M31" s="17" t="s">
        <v>71</v>
      </c>
      <c r="N31" s="17">
        <v>8.16</v>
      </c>
      <c r="O31" s="21">
        <v>0.24</v>
      </c>
      <c r="P31" s="21">
        <v>0.12</v>
      </c>
      <c r="Q31" s="17" t="s">
        <v>72</v>
      </c>
      <c r="R31" s="17">
        <v>37.75</v>
      </c>
      <c r="S31" s="21">
        <v>0.18</v>
      </c>
      <c r="T31" s="21">
        <v>2.65</v>
      </c>
      <c r="U31" s="17" t="s">
        <v>73</v>
      </c>
      <c r="V31" s="17">
        <v>26.15</v>
      </c>
      <c r="W31" s="20">
        <v>2.78</v>
      </c>
      <c r="X31" s="21">
        <v>0.22</v>
      </c>
      <c r="Y31" s="22" t="s">
        <v>74</v>
      </c>
      <c r="Z31" s="17">
        <v>56.77</v>
      </c>
      <c r="AA31" s="20">
        <v>5.5</v>
      </c>
      <c r="AB31" s="20">
        <v>3.08</v>
      </c>
      <c r="AC31" s="17" t="s">
        <v>75</v>
      </c>
      <c r="AD31" s="17">
        <v>4.0199999999999996</v>
      </c>
      <c r="AE31" s="21">
        <v>5.78</v>
      </c>
      <c r="AF31" s="21">
        <v>5.51</v>
      </c>
      <c r="AG31" s="17" t="s">
        <v>76</v>
      </c>
      <c r="AH31" s="17">
        <v>3.28</v>
      </c>
      <c r="AI31" s="21">
        <v>2.08</v>
      </c>
      <c r="AJ31" s="21">
        <v>3.52</v>
      </c>
      <c r="AK31" s="17" t="s">
        <v>77</v>
      </c>
      <c r="AL31" s="17">
        <v>143</v>
      </c>
      <c r="AM31" s="21">
        <v>1.18</v>
      </c>
      <c r="AN31" s="20">
        <v>6.06</v>
      </c>
    </row>
    <row r="32" spans="1:40" x14ac:dyDescent="0.3">
      <c r="A32" s="19">
        <v>45533</v>
      </c>
      <c r="B32" s="17" t="s">
        <v>21</v>
      </c>
      <c r="C32" s="17" t="str">
        <f t="shared" si="0"/>
        <v>45533A</v>
      </c>
      <c r="D32" s="17">
        <v>9.4600000000000009</v>
      </c>
      <c r="E32" s="17">
        <v>10.19</v>
      </c>
      <c r="F32" s="21">
        <v>7.71</v>
      </c>
      <c r="G32" s="17" t="s">
        <v>78</v>
      </c>
      <c r="H32" s="17">
        <v>17.55</v>
      </c>
      <c r="I32" s="20">
        <v>150.71</v>
      </c>
      <c r="J32" s="17" t="s">
        <v>70</v>
      </c>
      <c r="K32" s="17">
        <v>94.72</v>
      </c>
      <c r="L32" s="20">
        <v>17.63</v>
      </c>
      <c r="M32" s="17" t="s">
        <v>79</v>
      </c>
      <c r="N32" s="23">
        <v>8.65</v>
      </c>
      <c r="O32" s="21">
        <v>1.64</v>
      </c>
      <c r="P32" s="20">
        <v>6.13</v>
      </c>
      <c r="Q32" s="17" t="s">
        <v>80</v>
      </c>
      <c r="R32" s="22">
        <v>36</v>
      </c>
      <c r="S32" s="20">
        <v>8.32</v>
      </c>
      <c r="T32" s="20">
        <v>7.16</v>
      </c>
      <c r="U32" s="17" t="s">
        <v>81</v>
      </c>
      <c r="V32" s="17">
        <v>26.67</v>
      </c>
      <c r="W32" s="20">
        <v>5.7</v>
      </c>
      <c r="X32" s="21">
        <v>1.75</v>
      </c>
      <c r="Y32" s="17" t="s">
        <v>82</v>
      </c>
      <c r="Z32" s="22">
        <v>53.19</v>
      </c>
      <c r="AA32" s="20">
        <v>6.1</v>
      </c>
      <c r="AB32" s="20">
        <v>3.41</v>
      </c>
      <c r="AC32" s="22" t="s">
        <v>83</v>
      </c>
      <c r="AD32" s="17">
        <v>4.0199999999999996</v>
      </c>
      <c r="AE32" s="21">
        <v>4.51</v>
      </c>
      <c r="AF32" s="21">
        <v>5.51</v>
      </c>
      <c r="AG32" s="22" t="s">
        <v>84</v>
      </c>
      <c r="AH32" s="17">
        <v>3.27</v>
      </c>
      <c r="AI32" s="21">
        <v>6.03</v>
      </c>
      <c r="AJ32" s="21">
        <v>3.82</v>
      </c>
      <c r="AK32" s="17" t="s">
        <v>85</v>
      </c>
      <c r="AL32" s="17">
        <v>143.66999999999999</v>
      </c>
      <c r="AM32" s="21">
        <v>2.17</v>
      </c>
      <c r="AN32" s="20">
        <v>5.62</v>
      </c>
    </row>
    <row r="33" spans="1:40" x14ac:dyDescent="0.3">
      <c r="A33" s="19">
        <v>45532</v>
      </c>
      <c r="B33" s="17" t="s">
        <v>19</v>
      </c>
      <c r="C33" s="17" t="str">
        <f t="shared" si="0"/>
        <v>45532B</v>
      </c>
      <c r="D33" s="17">
        <v>14.04</v>
      </c>
      <c r="E33" s="17">
        <v>14.23</v>
      </c>
      <c r="F33" s="21">
        <v>1.35</v>
      </c>
      <c r="G33" s="17" t="s">
        <v>86</v>
      </c>
      <c r="H33" s="17">
        <v>17.190000000000001</v>
      </c>
      <c r="I33" s="20">
        <v>4675</v>
      </c>
      <c r="J33" s="17" t="s">
        <v>70</v>
      </c>
      <c r="K33" s="17">
        <v>63.25</v>
      </c>
      <c r="L33" s="20">
        <v>45</v>
      </c>
      <c r="M33" s="17" t="s">
        <v>87</v>
      </c>
      <c r="N33" s="22">
        <v>9</v>
      </c>
      <c r="O33" s="20">
        <v>10.83</v>
      </c>
      <c r="P33" s="20">
        <v>10.42</v>
      </c>
      <c r="Q33" s="17" t="s">
        <v>88</v>
      </c>
      <c r="R33" s="17">
        <v>39</v>
      </c>
      <c r="S33" s="21">
        <v>0.69</v>
      </c>
      <c r="T33" s="21">
        <v>0.56000000000000005</v>
      </c>
      <c r="U33" s="17" t="s">
        <v>89</v>
      </c>
      <c r="V33" s="17">
        <v>25.85</v>
      </c>
      <c r="W33" s="21">
        <v>1.03</v>
      </c>
      <c r="X33" s="21">
        <v>1.37</v>
      </c>
      <c r="Y33" s="17" t="s">
        <v>90</v>
      </c>
      <c r="Z33" s="23">
        <v>56.84</v>
      </c>
      <c r="AA33" s="21">
        <v>1.22</v>
      </c>
      <c r="AB33" s="20">
        <v>3.21</v>
      </c>
      <c r="AC33" s="17" t="s">
        <v>91</v>
      </c>
      <c r="AD33" s="23">
        <v>4.0199999999999996</v>
      </c>
      <c r="AE33" s="21">
        <v>1.77</v>
      </c>
      <c r="AF33" s="21">
        <v>5.51</v>
      </c>
      <c r="AG33" s="17" t="s">
        <v>92</v>
      </c>
      <c r="AH33" s="22">
        <v>3.78</v>
      </c>
      <c r="AI33" s="20">
        <v>11.5</v>
      </c>
      <c r="AJ33" s="20">
        <v>11.17</v>
      </c>
      <c r="AK33" s="17" t="s">
        <v>93</v>
      </c>
      <c r="AL33" s="17">
        <v>152</v>
      </c>
      <c r="AM33" s="20">
        <v>6.45</v>
      </c>
      <c r="AN33" s="21">
        <v>0.15</v>
      </c>
    </row>
    <row r="34" spans="1:40" ht="18" x14ac:dyDescent="0.35">
      <c r="A34" s="19">
        <v>45532</v>
      </c>
      <c r="B34" s="17" t="s">
        <v>21</v>
      </c>
      <c r="C34" s="17" t="str">
        <f t="shared" si="0"/>
        <v>45532A</v>
      </c>
      <c r="D34" s="17">
        <v>20.399999999999999</v>
      </c>
      <c r="E34" s="17">
        <v>20.02</v>
      </c>
      <c r="F34" s="21">
        <v>1.86</v>
      </c>
      <c r="G34" s="17" t="s">
        <v>94</v>
      </c>
      <c r="H34" s="17">
        <v>16.86</v>
      </c>
      <c r="I34" s="17"/>
      <c r="J34" s="17" t="s">
        <v>70</v>
      </c>
      <c r="K34" s="17">
        <v>88.31</v>
      </c>
      <c r="L34" s="20">
        <v>23.2</v>
      </c>
      <c r="M34" s="17" t="s">
        <v>95</v>
      </c>
      <c r="N34" s="17">
        <v>8.33</v>
      </c>
      <c r="O34" s="21">
        <v>2.71</v>
      </c>
      <c r="P34" s="21">
        <v>2.2000000000000002</v>
      </c>
      <c r="Q34" s="17" t="s">
        <v>96</v>
      </c>
      <c r="R34" s="17">
        <v>38.25</v>
      </c>
      <c r="S34" s="21">
        <v>1.99</v>
      </c>
      <c r="T34" s="21">
        <v>1.36</v>
      </c>
      <c r="U34" s="17" t="s">
        <v>97</v>
      </c>
      <c r="V34" s="17">
        <v>25.85</v>
      </c>
      <c r="W34" s="20">
        <v>4.5199999999999996</v>
      </c>
      <c r="X34" s="21">
        <v>1.37</v>
      </c>
      <c r="Y34" s="17" t="s">
        <v>98</v>
      </c>
      <c r="Z34" s="17">
        <v>56.03</v>
      </c>
      <c r="AA34" s="20">
        <v>2.14</v>
      </c>
      <c r="AB34" s="21">
        <v>1.74</v>
      </c>
      <c r="AC34" s="17" t="s">
        <v>99</v>
      </c>
      <c r="AD34" s="23">
        <v>4.0199999999999996</v>
      </c>
      <c r="AE34" s="21">
        <v>1.71</v>
      </c>
      <c r="AF34" s="21">
        <v>5.51</v>
      </c>
      <c r="AG34" s="17" t="s">
        <v>100</v>
      </c>
      <c r="AH34" s="17">
        <v>3.44</v>
      </c>
      <c r="AI34" s="21">
        <v>2.38</v>
      </c>
      <c r="AJ34" s="21">
        <v>1.17</v>
      </c>
      <c r="AK34" s="17" t="s">
        <v>101</v>
      </c>
      <c r="AL34" s="17">
        <v>140.75</v>
      </c>
      <c r="AM34" s="21">
        <v>1.71</v>
      </c>
      <c r="AN34" s="20">
        <v>7.54</v>
      </c>
    </row>
    <row r="35" spans="1:40" ht="18" x14ac:dyDescent="0.35">
      <c r="A35" s="19">
        <v>45531</v>
      </c>
      <c r="B35" s="17" t="s">
        <v>19</v>
      </c>
      <c r="C35" s="17" t="str">
        <f t="shared" si="0"/>
        <v>45531B</v>
      </c>
      <c r="D35" s="17">
        <v>10.42</v>
      </c>
      <c r="E35" s="17">
        <v>13.37</v>
      </c>
      <c r="F35" s="20">
        <v>28.31</v>
      </c>
      <c r="G35" s="17" t="s">
        <v>102</v>
      </c>
      <c r="H35" s="17">
        <v>14.34</v>
      </c>
      <c r="I35" s="20">
        <v>807.59</v>
      </c>
      <c r="J35" s="17" t="s">
        <v>70</v>
      </c>
      <c r="K35" s="17">
        <v>93.9</v>
      </c>
      <c r="L35" s="20">
        <v>18.34</v>
      </c>
      <c r="M35" s="17" t="s">
        <v>103</v>
      </c>
      <c r="N35" s="17">
        <v>8.3699999999999992</v>
      </c>
      <c r="O35" s="21">
        <v>2.69</v>
      </c>
      <c r="P35" s="21">
        <v>2.69</v>
      </c>
      <c r="Q35" s="17" t="s">
        <v>104</v>
      </c>
      <c r="R35" s="17">
        <v>38.299999999999997</v>
      </c>
      <c r="S35" s="21">
        <v>1.82</v>
      </c>
      <c r="T35" s="21">
        <v>1.23</v>
      </c>
      <c r="U35" s="17" t="s">
        <v>105</v>
      </c>
      <c r="V35" s="17">
        <v>26.55</v>
      </c>
      <c r="W35" s="20">
        <v>3.67</v>
      </c>
      <c r="X35" s="21">
        <v>1.29</v>
      </c>
      <c r="Y35" s="17" t="s">
        <v>106</v>
      </c>
      <c r="Z35" s="22">
        <v>57.78</v>
      </c>
      <c r="AA35" s="21">
        <v>1.49</v>
      </c>
      <c r="AB35" s="20">
        <v>4.92</v>
      </c>
      <c r="AC35" s="17" t="s">
        <v>107</v>
      </c>
      <c r="AD35" s="22">
        <v>4.29</v>
      </c>
      <c r="AE35" s="21">
        <v>4.37</v>
      </c>
      <c r="AF35" s="20">
        <v>12.59</v>
      </c>
      <c r="AG35" s="17" t="s">
        <v>92</v>
      </c>
      <c r="AH35" s="17">
        <v>3.42</v>
      </c>
      <c r="AI35" s="21">
        <v>0.88</v>
      </c>
      <c r="AJ35" s="21">
        <v>0.57999999999999996</v>
      </c>
      <c r="AK35" s="17" t="s">
        <v>108</v>
      </c>
      <c r="AL35" s="17">
        <v>145.69999999999999</v>
      </c>
      <c r="AM35" s="21">
        <v>2.74</v>
      </c>
      <c r="AN35" s="21">
        <v>4.28</v>
      </c>
    </row>
    <row r="36" spans="1:40" ht="18" x14ac:dyDescent="0.35">
      <c r="A36" s="19">
        <v>45531</v>
      </c>
      <c r="B36" s="17" t="s">
        <v>21</v>
      </c>
      <c r="C36" s="17" t="str">
        <f t="shared" si="0"/>
        <v>45531A</v>
      </c>
      <c r="D36" s="17">
        <v>15.34</v>
      </c>
      <c r="E36" s="17">
        <v>16.5</v>
      </c>
      <c r="F36" s="21">
        <v>7.56</v>
      </c>
      <c r="G36" s="17" t="s">
        <v>94</v>
      </c>
      <c r="H36" s="17">
        <v>17.55</v>
      </c>
      <c r="I36" s="17"/>
      <c r="J36" s="17" t="s">
        <v>70</v>
      </c>
      <c r="K36" s="17">
        <v>84.36</v>
      </c>
      <c r="L36" s="20">
        <v>26.64</v>
      </c>
      <c r="M36" s="17" t="s">
        <v>109</v>
      </c>
      <c r="N36" s="17">
        <v>8.5</v>
      </c>
      <c r="O36" s="21">
        <v>3.53</v>
      </c>
      <c r="P36" s="21">
        <v>4.29</v>
      </c>
      <c r="Q36" s="17" t="s">
        <v>110</v>
      </c>
      <c r="R36" s="17">
        <v>37</v>
      </c>
      <c r="S36" s="20">
        <v>5.49</v>
      </c>
      <c r="T36" s="21">
        <v>4.58</v>
      </c>
      <c r="U36" s="17" t="s">
        <v>81</v>
      </c>
      <c r="V36" s="17">
        <v>27.22</v>
      </c>
      <c r="W36" s="20">
        <v>7.88</v>
      </c>
      <c r="X36" s="20">
        <v>3.85</v>
      </c>
      <c r="Y36" s="17" t="s">
        <v>111</v>
      </c>
      <c r="Z36" s="23">
        <v>57.09</v>
      </c>
      <c r="AA36" s="21">
        <v>1.1299999999999999</v>
      </c>
      <c r="AB36" s="20">
        <v>3.66</v>
      </c>
      <c r="AC36" s="17" t="s">
        <v>112</v>
      </c>
      <c r="AD36" s="24">
        <v>4.29</v>
      </c>
      <c r="AE36" s="21">
        <v>2.87</v>
      </c>
      <c r="AF36" s="20">
        <v>12.59</v>
      </c>
      <c r="AG36" s="17" t="s">
        <v>113</v>
      </c>
      <c r="AH36" s="17">
        <v>3.27</v>
      </c>
      <c r="AI36" s="21">
        <v>5.21</v>
      </c>
      <c r="AJ36" s="21">
        <v>3.82</v>
      </c>
      <c r="AK36" s="17" t="s">
        <v>114</v>
      </c>
      <c r="AL36" s="17">
        <v>132.33000000000001</v>
      </c>
      <c r="AM36" s="20">
        <v>8.42</v>
      </c>
      <c r="AN36" s="20">
        <v>13.07</v>
      </c>
    </row>
    <row r="37" spans="1:40" x14ac:dyDescent="0.3">
      <c r="A37" s="19">
        <v>45530</v>
      </c>
      <c r="B37" s="17" t="s">
        <v>19</v>
      </c>
      <c r="C37" s="17" t="str">
        <f t="shared" si="0"/>
        <v>45530B</v>
      </c>
      <c r="D37" s="17">
        <v>8.6</v>
      </c>
      <c r="E37" s="17">
        <v>9.3800000000000008</v>
      </c>
      <c r="F37" s="21">
        <v>9.06</v>
      </c>
      <c r="G37" s="17" t="s">
        <v>78</v>
      </c>
      <c r="H37" s="17">
        <v>10.3</v>
      </c>
      <c r="I37" s="20">
        <v>47.14</v>
      </c>
      <c r="J37" s="17" t="s">
        <v>70</v>
      </c>
      <c r="K37" s="17">
        <v>84.66</v>
      </c>
      <c r="L37" s="20">
        <v>26.38</v>
      </c>
      <c r="M37" s="17" t="s">
        <v>115</v>
      </c>
      <c r="N37" s="17">
        <v>8.5299999999999994</v>
      </c>
      <c r="O37" s="21">
        <v>0.94</v>
      </c>
      <c r="P37" s="21">
        <v>4.66</v>
      </c>
      <c r="Q37" s="17" t="s">
        <v>116</v>
      </c>
      <c r="R37" s="17">
        <v>38.86</v>
      </c>
      <c r="S37" s="21">
        <v>0.49</v>
      </c>
      <c r="T37" s="21">
        <v>0.2</v>
      </c>
      <c r="U37" s="17" t="s">
        <v>117</v>
      </c>
      <c r="V37" s="17">
        <v>25.72</v>
      </c>
      <c r="W37" s="21">
        <v>2.0099999999999998</v>
      </c>
      <c r="X37" s="21">
        <v>1.86</v>
      </c>
      <c r="Y37" s="17" t="s">
        <v>118</v>
      </c>
      <c r="Z37" s="17">
        <v>56.46</v>
      </c>
      <c r="AA37" s="21">
        <v>0.98</v>
      </c>
      <c r="AB37" s="20">
        <v>2.52</v>
      </c>
      <c r="AC37" s="17" t="s">
        <v>119</v>
      </c>
      <c r="AD37" s="22">
        <v>4.29</v>
      </c>
      <c r="AE37" s="21">
        <v>5.66</v>
      </c>
      <c r="AF37" s="20">
        <v>12.59</v>
      </c>
      <c r="AG37" s="17" t="s">
        <v>120</v>
      </c>
      <c r="AH37" s="22">
        <v>3.59</v>
      </c>
      <c r="AI37" s="21">
        <v>3.45</v>
      </c>
      <c r="AJ37" s="21">
        <v>5.58</v>
      </c>
      <c r="AK37" s="17" t="s">
        <v>121</v>
      </c>
      <c r="AL37" s="17">
        <v>146.86000000000001</v>
      </c>
      <c r="AM37" s="20">
        <v>6.08</v>
      </c>
      <c r="AN37" s="21">
        <v>3.52</v>
      </c>
    </row>
    <row r="38" spans="1:40" x14ac:dyDescent="0.3">
      <c r="A38" s="19">
        <v>45530</v>
      </c>
      <c r="B38" s="17" t="s">
        <v>21</v>
      </c>
      <c r="C38" s="17" t="str">
        <f t="shared" si="0"/>
        <v>45530A</v>
      </c>
      <c r="D38" s="17">
        <v>18.989999999999998</v>
      </c>
      <c r="E38" s="17">
        <v>17.43</v>
      </c>
      <c r="F38" s="21">
        <v>8.2100000000000009</v>
      </c>
      <c r="G38" s="17" t="s">
        <v>94</v>
      </c>
      <c r="H38" s="17">
        <v>17.84</v>
      </c>
      <c r="I38" s="17"/>
      <c r="J38" s="17" t="s">
        <v>122</v>
      </c>
      <c r="K38" s="17">
        <v>73.680000000000007</v>
      </c>
      <c r="L38" s="20">
        <v>24.15</v>
      </c>
      <c r="M38" s="17" t="s">
        <v>103</v>
      </c>
      <c r="N38" s="22">
        <v>9.1</v>
      </c>
      <c r="O38" s="20">
        <v>11.65</v>
      </c>
      <c r="P38" s="20">
        <v>11.65</v>
      </c>
      <c r="Q38" s="17" t="s">
        <v>123</v>
      </c>
      <c r="R38" s="17">
        <v>40</v>
      </c>
      <c r="S38" s="21">
        <v>2.27</v>
      </c>
      <c r="T38" s="21">
        <v>3.14</v>
      </c>
      <c r="U38" s="17" t="s">
        <v>124</v>
      </c>
      <c r="V38" s="22">
        <v>28.8</v>
      </c>
      <c r="W38" s="20">
        <v>13.25</v>
      </c>
      <c r="X38" s="20">
        <v>9.8800000000000008</v>
      </c>
      <c r="Y38" s="17" t="s">
        <v>125</v>
      </c>
      <c r="Z38" s="23">
        <v>56.12</v>
      </c>
      <c r="AA38" s="21">
        <v>0.8</v>
      </c>
      <c r="AB38" s="20">
        <v>1.9</v>
      </c>
      <c r="AC38" s="17" t="s">
        <v>126</v>
      </c>
      <c r="AD38" s="23">
        <v>3.75</v>
      </c>
      <c r="AE38" s="21">
        <v>4.58</v>
      </c>
      <c r="AF38" s="21">
        <v>1.57</v>
      </c>
      <c r="AG38" s="17" t="s">
        <v>127</v>
      </c>
      <c r="AH38" s="22">
        <v>3.7</v>
      </c>
      <c r="AI38" s="21">
        <v>7.87</v>
      </c>
      <c r="AJ38" s="20">
        <v>8.82</v>
      </c>
      <c r="AK38" s="17" t="s">
        <v>128</v>
      </c>
      <c r="AL38" s="17">
        <v>132</v>
      </c>
      <c r="AM38" s="20">
        <v>9.35</v>
      </c>
      <c r="AN38" s="20">
        <v>13.28</v>
      </c>
    </row>
    <row r="39" spans="1:40" x14ac:dyDescent="0.3">
      <c r="A39" s="19">
        <v>45526</v>
      </c>
      <c r="B39" s="17" t="s">
        <v>19</v>
      </c>
      <c r="C39" s="17" t="str">
        <f t="shared" si="0"/>
        <v>45526B</v>
      </c>
      <c r="D39" s="17">
        <v>17.32</v>
      </c>
      <c r="E39" s="17">
        <v>17.5</v>
      </c>
      <c r="F39" s="21">
        <v>1.03</v>
      </c>
      <c r="G39" s="17" t="s">
        <v>129</v>
      </c>
      <c r="H39" s="17">
        <v>0</v>
      </c>
      <c r="I39" s="20">
        <v>100</v>
      </c>
      <c r="J39" s="17" t="s">
        <v>130</v>
      </c>
      <c r="K39" s="17">
        <v>81.06</v>
      </c>
      <c r="L39" s="20">
        <v>11.69</v>
      </c>
      <c r="M39" s="17" t="s">
        <v>131</v>
      </c>
      <c r="N39" s="17">
        <v>8.44</v>
      </c>
      <c r="O39" s="20">
        <v>5.63</v>
      </c>
      <c r="P39" s="21">
        <v>3.55</v>
      </c>
      <c r="Q39" s="17" t="s">
        <v>132</v>
      </c>
      <c r="R39" s="17">
        <v>38.67</v>
      </c>
      <c r="S39" s="21">
        <v>0.56000000000000005</v>
      </c>
      <c r="T39" s="21">
        <v>0.28000000000000003</v>
      </c>
      <c r="U39" s="17" t="s">
        <v>133</v>
      </c>
      <c r="V39" s="17">
        <v>25.61</v>
      </c>
      <c r="W39" s="21">
        <v>1.8</v>
      </c>
      <c r="X39" s="21">
        <v>2.2799999999999998</v>
      </c>
      <c r="Y39" s="17" t="s">
        <v>134</v>
      </c>
      <c r="Z39" s="17">
        <v>55.56</v>
      </c>
      <c r="AA39" s="21">
        <v>0.25</v>
      </c>
      <c r="AB39" s="21">
        <v>0.88</v>
      </c>
      <c r="AC39" s="17" t="s">
        <v>135</v>
      </c>
      <c r="AD39" s="17">
        <v>3.84</v>
      </c>
      <c r="AE39" s="21">
        <v>0.77</v>
      </c>
      <c r="AF39" s="21">
        <v>0.78</v>
      </c>
      <c r="AG39" s="17" t="s">
        <v>136</v>
      </c>
      <c r="AH39" s="22">
        <v>3.59</v>
      </c>
      <c r="AI39" s="21">
        <v>6.52</v>
      </c>
      <c r="AJ39" s="21">
        <v>5.58</v>
      </c>
      <c r="AK39" s="17" t="s">
        <v>137</v>
      </c>
      <c r="AL39" s="17">
        <v>147.33000000000001</v>
      </c>
      <c r="AM39" s="21">
        <v>1.83</v>
      </c>
      <c r="AN39" s="21">
        <v>3.21</v>
      </c>
    </row>
    <row r="40" spans="1:40" x14ac:dyDescent="0.3">
      <c r="A40" s="19">
        <v>45526</v>
      </c>
      <c r="B40" s="17" t="s">
        <v>21</v>
      </c>
      <c r="C40" s="17" t="str">
        <f t="shared" si="0"/>
        <v>45526A</v>
      </c>
      <c r="D40" s="17">
        <v>17.88</v>
      </c>
      <c r="E40" s="17">
        <v>20.72</v>
      </c>
      <c r="F40" s="20">
        <v>15.88</v>
      </c>
      <c r="G40" s="17" t="s">
        <v>138</v>
      </c>
      <c r="H40" s="17">
        <v>0</v>
      </c>
      <c r="I40" s="20">
        <v>100</v>
      </c>
      <c r="J40" s="17" t="s">
        <v>139</v>
      </c>
      <c r="K40" s="17">
        <v>76.09</v>
      </c>
      <c r="L40" s="21">
        <v>4.8499999999999996</v>
      </c>
      <c r="M40" s="17" t="s">
        <v>140</v>
      </c>
      <c r="N40" s="17">
        <v>7.85</v>
      </c>
      <c r="O40" s="21">
        <v>0.38</v>
      </c>
      <c r="P40" s="21">
        <v>3.68</v>
      </c>
      <c r="Q40" s="17" t="s">
        <v>141</v>
      </c>
      <c r="R40" s="17">
        <v>38.5</v>
      </c>
      <c r="S40" s="21">
        <v>0.56999999999999995</v>
      </c>
      <c r="T40" s="21">
        <v>0.72</v>
      </c>
      <c r="U40" s="17" t="s">
        <v>142</v>
      </c>
      <c r="V40" s="17">
        <v>26.45</v>
      </c>
      <c r="W40" s="21">
        <v>0.37</v>
      </c>
      <c r="X40" s="21">
        <v>0.91</v>
      </c>
      <c r="Y40" s="17" t="s">
        <v>143</v>
      </c>
      <c r="Z40" s="23">
        <v>55.24</v>
      </c>
      <c r="AA40" s="21">
        <v>0.14000000000000001</v>
      </c>
      <c r="AB40" s="21">
        <v>0.3</v>
      </c>
      <c r="AC40" s="17" t="s">
        <v>144</v>
      </c>
      <c r="AD40" s="23">
        <v>3.84</v>
      </c>
      <c r="AE40" s="21">
        <v>1.31</v>
      </c>
      <c r="AF40" s="21">
        <v>0.78</v>
      </c>
      <c r="AG40" s="17" t="s">
        <v>145</v>
      </c>
      <c r="AH40" s="17">
        <v>3.38</v>
      </c>
      <c r="AI40" s="21">
        <v>1.5</v>
      </c>
      <c r="AJ40" s="21">
        <v>0.57999999999999996</v>
      </c>
      <c r="AK40" s="17" t="s">
        <v>146</v>
      </c>
      <c r="AL40" s="17">
        <v>146</v>
      </c>
      <c r="AM40" s="21">
        <v>1.5</v>
      </c>
      <c r="AN40" s="21">
        <v>4.09</v>
      </c>
    </row>
    <row r="41" spans="1:40" x14ac:dyDescent="0.3">
      <c r="A41" s="19">
        <v>45525</v>
      </c>
      <c r="B41" s="17" t="s">
        <v>19</v>
      </c>
      <c r="C41" s="17" t="str">
        <f t="shared" si="0"/>
        <v>45525B</v>
      </c>
      <c r="D41" s="17">
        <v>14.13</v>
      </c>
      <c r="E41" s="17">
        <v>16.170000000000002</v>
      </c>
      <c r="F41" s="20">
        <v>14.43</v>
      </c>
      <c r="G41" s="17" t="s">
        <v>147</v>
      </c>
      <c r="H41" s="17">
        <v>0</v>
      </c>
      <c r="I41" s="20">
        <v>100</v>
      </c>
      <c r="J41" s="17" t="s">
        <v>148</v>
      </c>
      <c r="K41" s="17">
        <v>66.400000000000006</v>
      </c>
      <c r="L41" s="20">
        <v>33.380000000000003</v>
      </c>
      <c r="M41" s="17" t="s">
        <v>149</v>
      </c>
      <c r="N41" s="17">
        <v>8.23</v>
      </c>
      <c r="O41" s="21">
        <v>1.1000000000000001</v>
      </c>
      <c r="P41" s="21">
        <v>0.98</v>
      </c>
      <c r="Q41" s="17" t="s">
        <v>150</v>
      </c>
      <c r="R41" s="17">
        <v>38.799999999999997</v>
      </c>
      <c r="S41" s="21">
        <v>0.56000000000000005</v>
      </c>
      <c r="T41" s="21">
        <v>0.05</v>
      </c>
      <c r="U41" s="17" t="s">
        <v>151</v>
      </c>
      <c r="V41" s="17">
        <v>26.5</v>
      </c>
      <c r="W41" s="21">
        <v>1.37</v>
      </c>
      <c r="X41" s="21">
        <v>1.1000000000000001</v>
      </c>
      <c r="Y41" s="17" t="s">
        <v>152</v>
      </c>
      <c r="Z41" s="17">
        <v>55.08</v>
      </c>
      <c r="AA41" s="21">
        <v>1.2</v>
      </c>
      <c r="AB41" s="21">
        <v>0.01</v>
      </c>
      <c r="AC41" s="17" t="s">
        <v>135</v>
      </c>
      <c r="AD41" s="17">
        <v>3.65</v>
      </c>
      <c r="AE41" s="21">
        <v>5.68</v>
      </c>
      <c r="AF41" s="21">
        <v>4.1900000000000004</v>
      </c>
      <c r="AG41" s="17" t="s">
        <v>100</v>
      </c>
      <c r="AH41" s="17">
        <v>3.46</v>
      </c>
      <c r="AI41" s="21">
        <v>2.97</v>
      </c>
      <c r="AJ41" s="21">
        <v>1.76</v>
      </c>
      <c r="AK41" s="17" t="s">
        <v>153</v>
      </c>
      <c r="AL41" s="17">
        <v>146</v>
      </c>
      <c r="AM41" s="21">
        <v>0.84</v>
      </c>
      <c r="AN41" s="21">
        <v>4.09</v>
      </c>
    </row>
    <row r="42" spans="1:40" x14ac:dyDescent="0.3">
      <c r="A42" s="19">
        <v>45525</v>
      </c>
      <c r="B42" s="17" t="s">
        <v>21</v>
      </c>
      <c r="C42" s="17" t="str">
        <f t="shared" si="0"/>
        <v>45525A</v>
      </c>
      <c r="D42" s="17">
        <v>22.68</v>
      </c>
      <c r="E42" s="17">
        <v>23.05</v>
      </c>
      <c r="F42" s="21">
        <v>1.63</v>
      </c>
      <c r="G42" s="17" t="s">
        <v>154</v>
      </c>
      <c r="H42" s="17">
        <v>0</v>
      </c>
      <c r="I42" s="20">
        <v>100</v>
      </c>
      <c r="J42" s="17" t="s">
        <v>155</v>
      </c>
      <c r="K42" s="17">
        <v>71.06</v>
      </c>
      <c r="L42" s="20">
        <v>16.18</v>
      </c>
      <c r="M42" s="17" t="s">
        <v>156</v>
      </c>
      <c r="N42" s="17">
        <v>7.9</v>
      </c>
      <c r="O42" s="21">
        <v>2.2200000000000002</v>
      </c>
      <c r="P42" s="21">
        <v>3.06</v>
      </c>
      <c r="Q42" s="17" t="s">
        <v>157</v>
      </c>
      <c r="R42" s="17">
        <v>37.25</v>
      </c>
      <c r="S42" s="21">
        <v>4.1900000000000004</v>
      </c>
      <c r="T42" s="21">
        <v>3.94</v>
      </c>
      <c r="U42" s="17" t="s">
        <v>158</v>
      </c>
      <c r="V42" s="17">
        <v>26.15</v>
      </c>
      <c r="W42" s="20">
        <v>3.11</v>
      </c>
      <c r="X42" s="21">
        <v>0.22</v>
      </c>
      <c r="Y42" s="17" t="s">
        <v>159</v>
      </c>
      <c r="Z42" s="23">
        <v>55.79</v>
      </c>
      <c r="AA42" s="21">
        <v>0.42</v>
      </c>
      <c r="AB42" s="21">
        <v>1.3</v>
      </c>
      <c r="AC42" s="17" t="s">
        <v>160</v>
      </c>
      <c r="AD42" s="17">
        <v>3.65</v>
      </c>
      <c r="AE42" s="21">
        <v>2.66</v>
      </c>
      <c r="AF42" s="21">
        <v>4.1900000000000004</v>
      </c>
      <c r="AG42" s="17" t="s">
        <v>161</v>
      </c>
      <c r="AH42" s="17">
        <v>3.3</v>
      </c>
      <c r="AI42" s="21">
        <v>0</v>
      </c>
      <c r="AJ42" s="21">
        <v>2.94</v>
      </c>
      <c r="AK42" s="17" t="s">
        <v>162</v>
      </c>
      <c r="AL42" s="17">
        <v>141.25</v>
      </c>
      <c r="AM42" s="20">
        <v>4.9800000000000004</v>
      </c>
      <c r="AN42" s="20">
        <v>7.21</v>
      </c>
    </row>
    <row r="43" spans="1:40" x14ac:dyDescent="0.3">
      <c r="A43" s="19">
        <v>45524</v>
      </c>
      <c r="B43" s="17" t="s">
        <v>19</v>
      </c>
      <c r="C43" s="17" t="str">
        <f t="shared" si="0"/>
        <v>45524B</v>
      </c>
      <c r="D43" s="17">
        <v>13.94</v>
      </c>
      <c r="E43" s="17">
        <v>13.91</v>
      </c>
      <c r="F43" s="21">
        <v>0.21</v>
      </c>
      <c r="G43" s="17" t="s">
        <v>163</v>
      </c>
      <c r="H43" s="17">
        <v>0</v>
      </c>
      <c r="I43" s="20">
        <v>100</v>
      </c>
      <c r="J43" s="17" t="s">
        <v>164</v>
      </c>
      <c r="K43" s="17">
        <v>85.28</v>
      </c>
      <c r="L43" s="20">
        <v>25.5</v>
      </c>
      <c r="M43" s="17" t="s">
        <v>165</v>
      </c>
      <c r="N43" s="17">
        <v>8.1</v>
      </c>
      <c r="O43" s="21">
        <v>3.18</v>
      </c>
      <c r="P43" s="21">
        <v>0.61</v>
      </c>
      <c r="Q43" s="17" t="s">
        <v>166</v>
      </c>
      <c r="R43" s="17">
        <v>37.89</v>
      </c>
      <c r="S43" s="21">
        <v>1.43</v>
      </c>
      <c r="T43" s="21">
        <v>2.29</v>
      </c>
      <c r="U43" s="17" t="s">
        <v>167</v>
      </c>
      <c r="V43" s="17">
        <v>26.37</v>
      </c>
      <c r="W43" s="21">
        <v>0.71</v>
      </c>
      <c r="X43" s="21">
        <v>0.61</v>
      </c>
      <c r="Y43" s="17" t="s">
        <v>168</v>
      </c>
      <c r="Z43" s="17">
        <v>56.44</v>
      </c>
      <c r="AA43" s="20">
        <v>2.84</v>
      </c>
      <c r="AB43" s="20">
        <v>2.48</v>
      </c>
      <c r="AC43" s="17" t="s">
        <v>169</v>
      </c>
      <c r="AD43" s="17">
        <v>3.65</v>
      </c>
      <c r="AE43" s="21">
        <v>4.1900000000000004</v>
      </c>
      <c r="AF43" s="21">
        <v>4.1900000000000004</v>
      </c>
      <c r="AG43" s="17" t="s">
        <v>170</v>
      </c>
      <c r="AH43" s="17">
        <v>3.25</v>
      </c>
      <c r="AI43" s="21">
        <v>2.69</v>
      </c>
      <c r="AJ43" s="21">
        <v>4.41</v>
      </c>
      <c r="AK43" s="17" t="s">
        <v>171</v>
      </c>
      <c r="AL43" s="17">
        <v>149</v>
      </c>
      <c r="AM43" s="21">
        <v>3.23</v>
      </c>
      <c r="AN43" s="21">
        <v>2.12</v>
      </c>
    </row>
    <row r="44" spans="1:40" x14ac:dyDescent="0.3">
      <c r="A44" s="19">
        <v>45524</v>
      </c>
      <c r="B44" s="17" t="s">
        <v>21</v>
      </c>
      <c r="C44" s="17" t="str">
        <f t="shared" si="0"/>
        <v>45524A</v>
      </c>
      <c r="D44" s="17">
        <v>13.72</v>
      </c>
      <c r="E44" s="17">
        <v>13.73</v>
      </c>
      <c r="F44" s="21">
        <v>7.0000000000000007E-2</v>
      </c>
      <c r="G44" s="17" t="s">
        <v>172</v>
      </c>
      <c r="H44" s="17">
        <v>0</v>
      </c>
      <c r="I44" s="20">
        <v>100</v>
      </c>
      <c r="J44" s="17" t="s">
        <v>173</v>
      </c>
      <c r="K44" s="17">
        <v>86.18</v>
      </c>
      <c r="L44" s="20">
        <v>24.75</v>
      </c>
      <c r="M44" s="17" t="s">
        <v>174</v>
      </c>
      <c r="N44" s="17">
        <v>8.15</v>
      </c>
      <c r="O44" s="21">
        <v>1.49</v>
      </c>
      <c r="P44" s="21">
        <v>0</v>
      </c>
      <c r="Q44" s="17" t="s">
        <v>141</v>
      </c>
      <c r="R44" s="17">
        <v>38.25</v>
      </c>
      <c r="S44" s="21">
        <v>7.0000000000000007E-2</v>
      </c>
      <c r="T44" s="21">
        <v>1.36</v>
      </c>
      <c r="U44" s="17" t="s">
        <v>175</v>
      </c>
      <c r="V44" s="17">
        <v>26.4</v>
      </c>
      <c r="W44" s="21">
        <v>1.81</v>
      </c>
      <c r="X44" s="21">
        <v>0.72</v>
      </c>
      <c r="Y44" s="17" t="s">
        <v>176</v>
      </c>
      <c r="Z44" s="17">
        <v>54.44</v>
      </c>
      <c r="AA44" s="21">
        <v>1.26</v>
      </c>
      <c r="AB44" s="21">
        <v>1.1399999999999999</v>
      </c>
      <c r="AC44" s="17" t="s">
        <v>177</v>
      </c>
      <c r="AD44" s="17">
        <v>4.0599999999999996</v>
      </c>
      <c r="AE44" s="21">
        <v>5.45</v>
      </c>
      <c r="AF44" s="21">
        <v>6.56</v>
      </c>
      <c r="AG44" s="17" t="s">
        <v>76</v>
      </c>
      <c r="AH44" s="17">
        <v>3.34</v>
      </c>
      <c r="AI44" s="21">
        <v>0.28999999999999998</v>
      </c>
      <c r="AJ44" s="21">
        <v>1.76</v>
      </c>
      <c r="AK44" s="17" t="s">
        <v>178</v>
      </c>
      <c r="AL44" s="17">
        <v>140</v>
      </c>
      <c r="AM44" s="21">
        <v>4.07</v>
      </c>
      <c r="AN44" s="20">
        <v>8.0299999999999994</v>
      </c>
    </row>
    <row r="45" spans="1:40" ht="18" x14ac:dyDescent="0.35">
      <c r="A45" s="19">
        <v>45523</v>
      </c>
      <c r="B45" s="17" t="s">
        <v>19</v>
      </c>
      <c r="C45" s="17" t="str">
        <f t="shared" si="0"/>
        <v>45523B</v>
      </c>
      <c r="D45" s="17">
        <v>10.5</v>
      </c>
      <c r="E45" s="17">
        <v>10.97</v>
      </c>
      <c r="F45" s="21">
        <v>4.47</v>
      </c>
      <c r="G45" s="17" t="s">
        <v>179</v>
      </c>
      <c r="H45" s="17">
        <v>0</v>
      </c>
      <c r="I45" s="20">
        <v>100</v>
      </c>
      <c r="J45" s="17" t="s">
        <v>70</v>
      </c>
      <c r="K45" s="17">
        <v>73.540000000000006</v>
      </c>
      <c r="L45" s="20">
        <v>36.049999999999997</v>
      </c>
      <c r="M45" s="17" t="s">
        <v>71</v>
      </c>
      <c r="N45" s="17">
        <v>8.57</v>
      </c>
      <c r="O45" s="21">
        <v>4.76</v>
      </c>
      <c r="P45" s="21">
        <v>5.15</v>
      </c>
      <c r="Q45" s="17" t="s">
        <v>180</v>
      </c>
      <c r="R45" s="17">
        <v>38.71</v>
      </c>
      <c r="S45" s="21">
        <v>0.62</v>
      </c>
      <c r="T45" s="21">
        <v>0.18</v>
      </c>
      <c r="U45" s="17" t="s">
        <v>181</v>
      </c>
      <c r="V45" s="17">
        <v>26.92</v>
      </c>
      <c r="W45" s="20">
        <v>3.49</v>
      </c>
      <c r="X45" s="20">
        <v>2.7</v>
      </c>
      <c r="Y45" s="17" t="s">
        <v>182</v>
      </c>
      <c r="Z45" s="17">
        <v>54.98</v>
      </c>
      <c r="AA45" s="21">
        <v>1.59</v>
      </c>
      <c r="AB45" s="21">
        <v>0.16</v>
      </c>
      <c r="AC45" s="17" t="s">
        <v>714</v>
      </c>
      <c r="AD45" s="23">
        <v>4.04</v>
      </c>
      <c r="AE45" s="21">
        <v>2.02</v>
      </c>
      <c r="AF45" s="21">
        <v>6.03</v>
      </c>
      <c r="AG45" s="17" t="s">
        <v>184</v>
      </c>
      <c r="AH45" s="17">
        <v>3.44</v>
      </c>
      <c r="AI45" s="21">
        <v>1.17</v>
      </c>
      <c r="AJ45" s="21">
        <v>1.17</v>
      </c>
      <c r="AK45" s="17" t="s">
        <v>185</v>
      </c>
      <c r="AL45" s="17">
        <v>149.29</v>
      </c>
      <c r="AM45" s="20">
        <v>4.92</v>
      </c>
      <c r="AN45" s="21">
        <v>1.93</v>
      </c>
    </row>
    <row r="46" spans="1:40" x14ac:dyDescent="0.3">
      <c r="A46" s="19">
        <v>45523</v>
      </c>
      <c r="B46" s="17" t="s">
        <v>21</v>
      </c>
      <c r="C46" s="17" t="str">
        <f t="shared" si="0"/>
        <v>45523A</v>
      </c>
      <c r="D46" s="17">
        <v>14.66</v>
      </c>
      <c r="E46" s="17">
        <v>15.1</v>
      </c>
      <c r="F46" s="21">
        <v>3</v>
      </c>
      <c r="G46" s="17" t="s">
        <v>94</v>
      </c>
      <c r="H46" s="17">
        <v>0</v>
      </c>
      <c r="I46" s="17"/>
      <c r="J46" s="17" t="s">
        <v>186</v>
      </c>
      <c r="K46" s="17">
        <v>76.989999999999995</v>
      </c>
      <c r="L46" s="21">
        <v>8.15</v>
      </c>
      <c r="M46" s="17" t="s">
        <v>187</v>
      </c>
      <c r="N46" s="17">
        <v>8.44</v>
      </c>
      <c r="O46" s="20">
        <v>6.03</v>
      </c>
      <c r="P46" s="21">
        <v>3.55</v>
      </c>
      <c r="Q46" s="17" t="s">
        <v>188</v>
      </c>
      <c r="R46" s="17">
        <v>37.619999999999997</v>
      </c>
      <c r="S46" s="21">
        <v>1.1299999999999999</v>
      </c>
      <c r="T46" s="21">
        <v>2.99</v>
      </c>
      <c r="U46" s="17" t="s">
        <v>189</v>
      </c>
      <c r="V46" s="17">
        <v>28.04</v>
      </c>
      <c r="W46" s="20">
        <v>5.05</v>
      </c>
      <c r="X46" s="20">
        <v>6.98</v>
      </c>
      <c r="Y46" s="17" t="s">
        <v>190</v>
      </c>
      <c r="Z46" s="23">
        <v>55.77</v>
      </c>
      <c r="AA46" s="21">
        <v>1.1200000000000001</v>
      </c>
      <c r="AB46" s="21">
        <v>1.27</v>
      </c>
      <c r="AC46" s="17" t="s">
        <v>75</v>
      </c>
      <c r="AD46" s="17">
        <v>3.96</v>
      </c>
      <c r="AE46" s="21">
        <v>4.21</v>
      </c>
      <c r="AF46" s="21">
        <v>3.93</v>
      </c>
      <c r="AG46" s="17" t="s">
        <v>191</v>
      </c>
      <c r="AH46" s="22">
        <v>3.55</v>
      </c>
      <c r="AI46" s="21">
        <v>7.25</v>
      </c>
      <c r="AJ46" s="21">
        <v>4.41</v>
      </c>
      <c r="AK46" s="17" t="s">
        <v>192</v>
      </c>
      <c r="AL46" s="17">
        <v>143.38</v>
      </c>
      <c r="AM46" s="21">
        <v>2.95</v>
      </c>
      <c r="AN46" s="20">
        <v>5.81</v>
      </c>
    </row>
    <row r="47" spans="1:40" x14ac:dyDescent="0.3">
      <c r="A47" s="19">
        <v>45520</v>
      </c>
      <c r="B47" s="17" t="s">
        <v>19</v>
      </c>
      <c r="C47" s="17" t="str">
        <f t="shared" si="0"/>
        <v>45520B</v>
      </c>
      <c r="D47" s="17">
        <v>15.72</v>
      </c>
      <c r="E47" s="17">
        <v>16.93</v>
      </c>
      <c r="F47" s="21">
        <v>7.69</v>
      </c>
      <c r="G47" s="17" t="s">
        <v>193</v>
      </c>
      <c r="H47" s="17">
        <v>0</v>
      </c>
      <c r="I47" s="20">
        <v>100</v>
      </c>
      <c r="J47" s="17" t="s">
        <v>194</v>
      </c>
      <c r="K47" s="17">
        <v>78.37</v>
      </c>
      <c r="L47" s="21">
        <v>5.4</v>
      </c>
      <c r="M47" s="17" t="s">
        <v>95</v>
      </c>
      <c r="N47" s="17">
        <v>8.39</v>
      </c>
      <c r="O47" s="21">
        <v>3.45</v>
      </c>
      <c r="P47" s="21">
        <v>2.94</v>
      </c>
      <c r="Q47" s="17" t="s">
        <v>195</v>
      </c>
      <c r="R47" s="17">
        <v>38.619999999999997</v>
      </c>
      <c r="S47" s="21">
        <v>0.84</v>
      </c>
      <c r="T47" s="21">
        <v>0.41</v>
      </c>
      <c r="U47" s="17" t="s">
        <v>196</v>
      </c>
      <c r="V47" s="17">
        <v>27.06</v>
      </c>
      <c r="W47" s="20">
        <v>2.77</v>
      </c>
      <c r="X47" s="20">
        <v>3.24</v>
      </c>
      <c r="Y47" s="17" t="s">
        <v>197</v>
      </c>
      <c r="Z47" s="17">
        <v>55</v>
      </c>
      <c r="AA47" s="21">
        <v>0.39</v>
      </c>
      <c r="AB47" s="21">
        <v>0.12</v>
      </c>
      <c r="AC47" s="17" t="s">
        <v>198</v>
      </c>
      <c r="AD47" s="17">
        <v>3.79</v>
      </c>
      <c r="AE47" s="21">
        <v>0.79</v>
      </c>
      <c r="AF47" s="21">
        <v>0.52</v>
      </c>
      <c r="AG47" s="17" t="s">
        <v>100</v>
      </c>
      <c r="AH47" s="17">
        <v>3.38</v>
      </c>
      <c r="AI47" s="21">
        <v>0.59</v>
      </c>
      <c r="AJ47" s="21">
        <v>0.57999999999999996</v>
      </c>
      <c r="AK47" s="17" t="s">
        <v>199</v>
      </c>
      <c r="AL47" s="17">
        <v>148.5</v>
      </c>
      <c r="AM47" s="21">
        <v>0.02</v>
      </c>
      <c r="AN47" s="21">
        <v>2.4500000000000002</v>
      </c>
    </row>
    <row r="48" spans="1:40" x14ac:dyDescent="0.3">
      <c r="A48" s="19">
        <v>45520</v>
      </c>
      <c r="B48" s="17" t="s">
        <v>21</v>
      </c>
      <c r="C48" s="17" t="str">
        <f t="shared" si="0"/>
        <v>45520A</v>
      </c>
      <c r="D48" s="17">
        <v>22.77</v>
      </c>
      <c r="E48" s="17">
        <v>20.83</v>
      </c>
      <c r="F48" s="21">
        <v>8.51</v>
      </c>
      <c r="G48" s="17" t="s">
        <v>200</v>
      </c>
      <c r="H48" s="17">
        <v>0</v>
      </c>
      <c r="I48" s="20">
        <v>100</v>
      </c>
      <c r="J48" s="17" t="s">
        <v>201</v>
      </c>
      <c r="K48" s="17">
        <v>80.37</v>
      </c>
      <c r="L48" s="21">
        <v>1.55</v>
      </c>
      <c r="M48" s="17" t="s">
        <v>202</v>
      </c>
      <c r="N48" s="17">
        <v>7.99</v>
      </c>
      <c r="O48" s="21">
        <v>0.86</v>
      </c>
      <c r="P48" s="21">
        <v>1.96</v>
      </c>
      <c r="Q48" s="17" t="s">
        <v>203</v>
      </c>
      <c r="R48" s="17">
        <v>37.799999999999997</v>
      </c>
      <c r="S48" s="21">
        <v>3.62</v>
      </c>
      <c r="T48" s="21">
        <v>2.52</v>
      </c>
      <c r="U48" s="17" t="s">
        <v>204</v>
      </c>
      <c r="V48" s="17">
        <v>26.04</v>
      </c>
      <c r="W48" s="20">
        <v>3.12</v>
      </c>
      <c r="X48" s="21">
        <v>0.64</v>
      </c>
      <c r="Y48" s="17" t="s">
        <v>205</v>
      </c>
      <c r="Z48" s="17">
        <v>55</v>
      </c>
      <c r="AA48" s="21">
        <v>0.97</v>
      </c>
      <c r="AB48" s="21">
        <v>0.12</v>
      </c>
      <c r="AC48" s="17" t="s">
        <v>206</v>
      </c>
      <c r="AD48" s="17">
        <v>3.61</v>
      </c>
      <c r="AE48" s="21">
        <v>3.47</v>
      </c>
      <c r="AF48" s="21">
        <v>5.24</v>
      </c>
      <c r="AG48" s="17" t="s">
        <v>76</v>
      </c>
      <c r="AH48" s="17">
        <v>3.35</v>
      </c>
      <c r="AI48" s="21">
        <v>0</v>
      </c>
      <c r="AJ48" s="21">
        <v>1.47</v>
      </c>
      <c r="AK48" s="17" t="s">
        <v>207</v>
      </c>
      <c r="AL48" s="17">
        <v>142.80000000000001</v>
      </c>
      <c r="AM48" s="21">
        <v>4.34</v>
      </c>
      <c r="AN48" s="20">
        <v>6.19</v>
      </c>
    </row>
    <row r="49" spans="1:40" x14ac:dyDescent="0.3">
      <c r="A49" s="19">
        <v>45519</v>
      </c>
      <c r="B49" s="17" t="s">
        <v>19</v>
      </c>
      <c r="C49" s="17" t="str">
        <f t="shared" si="0"/>
        <v>45519B</v>
      </c>
      <c r="D49" s="17">
        <v>16.97</v>
      </c>
      <c r="E49" s="17">
        <v>15.81</v>
      </c>
      <c r="F49" s="21">
        <v>6.83</v>
      </c>
      <c r="G49" s="17" t="s">
        <v>715</v>
      </c>
      <c r="H49" s="17">
        <v>0</v>
      </c>
      <c r="I49" s="20">
        <v>100</v>
      </c>
      <c r="J49" s="17" t="s">
        <v>716</v>
      </c>
      <c r="K49" s="17">
        <v>96.66</v>
      </c>
      <c r="L49" s="20">
        <v>12.65</v>
      </c>
      <c r="M49" s="17" t="s">
        <v>165</v>
      </c>
      <c r="N49" s="17">
        <v>8.14</v>
      </c>
      <c r="O49" s="21">
        <v>3.69</v>
      </c>
      <c r="P49" s="21">
        <v>0.12</v>
      </c>
      <c r="Q49" s="17" t="s">
        <v>717</v>
      </c>
      <c r="R49" s="17">
        <v>39.67</v>
      </c>
      <c r="S49" s="20">
        <v>5.16</v>
      </c>
      <c r="T49" s="21">
        <v>2.29</v>
      </c>
      <c r="U49" s="17" t="s">
        <v>494</v>
      </c>
      <c r="V49" s="17">
        <v>25.4</v>
      </c>
      <c r="W49" s="20">
        <v>5.32</v>
      </c>
      <c r="X49" s="20">
        <v>3.09</v>
      </c>
      <c r="Y49" s="17" t="s">
        <v>718</v>
      </c>
      <c r="Z49" s="17">
        <v>55.74</v>
      </c>
      <c r="AA49" s="21">
        <v>0.68</v>
      </c>
      <c r="AB49" s="21">
        <v>1.21</v>
      </c>
      <c r="AC49" s="17" t="s">
        <v>235</v>
      </c>
      <c r="AD49" s="17">
        <v>3.58</v>
      </c>
      <c r="AE49" s="21">
        <v>1.64</v>
      </c>
      <c r="AF49" s="21">
        <v>6.03</v>
      </c>
      <c r="AG49" s="17" t="s">
        <v>614</v>
      </c>
      <c r="AH49" s="17">
        <v>3.36</v>
      </c>
      <c r="AI49" s="21">
        <v>3.38</v>
      </c>
      <c r="AJ49" s="21">
        <v>1.17</v>
      </c>
      <c r="AK49" s="17" t="s">
        <v>719</v>
      </c>
      <c r="AL49" s="17">
        <v>149.66999999999999</v>
      </c>
      <c r="AM49" s="20">
        <v>6.14</v>
      </c>
      <c r="AN49" s="21">
        <v>1.68</v>
      </c>
    </row>
    <row r="50" spans="1:40" x14ac:dyDescent="0.3">
      <c r="A50" s="19">
        <v>45519</v>
      </c>
      <c r="B50" s="17" t="s">
        <v>21</v>
      </c>
      <c r="C50" s="17" t="str">
        <f t="shared" si="0"/>
        <v>45519A</v>
      </c>
      <c r="D50" s="17">
        <v>14.26</v>
      </c>
      <c r="E50" s="17">
        <v>15.33</v>
      </c>
      <c r="F50" s="21">
        <v>7.5</v>
      </c>
      <c r="G50" s="17" t="s">
        <v>94</v>
      </c>
      <c r="H50" s="17">
        <v>0</v>
      </c>
      <c r="I50" s="17"/>
      <c r="J50" s="17" t="s">
        <v>720</v>
      </c>
      <c r="K50" s="17">
        <v>78.14</v>
      </c>
      <c r="L50" s="21">
        <v>2.12</v>
      </c>
      <c r="M50" s="17" t="s">
        <v>579</v>
      </c>
      <c r="N50" s="17">
        <v>7.92</v>
      </c>
      <c r="O50" s="21">
        <v>1.85</v>
      </c>
      <c r="P50" s="21">
        <v>2.82</v>
      </c>
      <c r="Q50" s="17" t="s">
        <v>357</v>
      </c>
      <c r="R50" s="17">
        <v>38.17</v>
      </c>
      <c r="S50" s="21">
        <v>0.44</v>
      </c>
      <c r="T50" s="21">
        <v>1.57</v>
      </c>
      <c r="U50" s="17" t="s">
        <v>515</v>
      </c>
      <c r="V50" s="17">
        <v>27.42</v>
      </c>
      <c r="W50" s="20">
        <v>3.12</v>
      </c>
      <c r="X50" s="20">
        <v>4.6100000000000003</v>
      </c>
      <c r="Y50" s="17" t="s">
        <v>721</v>
      </c>
      <c r="Z50" s="23">
        <v>55.72</v>
      </c>
      <c r="AA50" s="21">
        <v>0.3</v>
      </c>
      <c r="AB50" s="21">
        <v>1.18</v>
      </c>
      <c r="AC50" s="17" t="s">
        <v>722</v>
      </c>
      <c r="AD50" s="17">
        <v>3.58</v>
      </c>
      <c r="AE50" s="21">
        <v>6.52</v>
      </c>
      <c r="AF50" s="21">
        <v>6.03</v>
      </c>
      <c r="AG50" s="17" t="s">
        <v>136</v>
      </c>
      <c r="AH50" s="17">
        <v>3.21</v>
      </c>
      <c r="AI50" s="21">
        <v>4.74</v>
      </c>
      <c r="AJ50" s="21">
        <v>5.58</v>
      </c>
      <c r="AK50" s="17" t="s">
        <v>723</v>
      </c>
      <c r="AL50" s="17">
        <v>142.5</v>
      </c>
      <c r="AM50" s="21">
        <v>0.93</v>
      </c>
      <c r="AN50" s="20">
        <v>6.39</v>
      </c>
    </row>
    <row r="51" spans="1:40" x14ac:dyDescent="0.3">
      <c r="A51" s="17" t="s">
        <v>208</v>
      </c>
      <c r="B51" s="17"/>
      <c r="C51" s="17" t="str">
        <f t="shared" si="0"/>
        <v>RMSE</v>
      </c>
      <c r="D51" s="17">
        <v>1.36</v>
      </c>
      <c r="E51" s="17"/>
      <c r="F51" s="17"/>
      <c r="G51" s="17">
        <v>11.71</v>
      </c>
      <c r="H51" s="17"/>
      <c r="I51" s="17"/>
      <c r="J51" s="17">
        <v>24.07</v>
      </c>
      <c r="K51" s="17"/>
      <c r="L51" s="17"/>
      <c r="M51" s="17">
        <v>0.38</v>
      </c>
      <c r="N51" s="17"/>
      <c r="O51" s="17"/>
      <c r="P51" s="17"/>
      <c r="Q51" s="17">
        <v>1.4</v>
      </c>
      <c r="R51" s="17"/>
      <c r="S51" s="17"/>
      <c r="T51" s="17"/>
      <c r="U51" s="17">
        <v>1.41</v>
      </c>
      <c r="V51" s="17"/>
      <c r="W51" s="17"/>
      <c r="X51" s="17"/>
      <c r="Y51" s="17">
        <v>1.1000000000000001</v>
      </c>
      <c r="Z51" s="17"/>
      <c r="AA51" s="17"/>
      <c r="AB51" s="17"/>
      <c r="AC51" s="17">
        <v>0.17</v>
      </c>
      <c r="AD51" s="17"/>
      <c r="AE51" s="17"/>
      <c r="AF51" s="17"/>
      <c r="AG51" s="17">
        <v>0.18</v>
      </c>
      <c r="AH51" s="17"/>
      <c r="AI51" s="17"/>
      <c r="AJ51" s="17"/>
      <c r="AK51" s="17">
        <v>6.84</v>
      </c>
      <c r="AL51" s="17"/>
      <c r="AM51" s="17"/>
      <c r="AN51" s="17"/>
    </row>
    <row r="52" spans="1:40" x14ac:dyDescent="0.3">
      <c r="A52" s="17" t="s">
        <v>724</v>
      </c>
      <c r="B52" s="17"/>
      <c r="C52" s="17" t="str">
        <f t="shared" si="0"/>
        <v>Std.Dev</v>
      </c>
      <c r="D52" s="17">
        <v>4.82</v>
      </c>
      <c r="E52" s="17">
        <v>4.57</v>
      </c>
      <c r="F52" s="17"/>
      <c r="G52" s="17">
        <v>2.25</v>
      </c>
      <c r="H52" s="17">
        <v>6.94</v>
      </c>
      <c r="I52" s="17"/>
      <c r="J52" s="17">
        <v>14.27</v>
      </c>
      <c r="K52" s="17">
        <v>10.71</v>
      </c>
      <c r="L52" s="17"/>
      <c r="M52" s="17">
        <v>0.17</v>
      </c>
      <c r="N52" s="17">
        <v>0.31</v>
      </c>
      <c r="O52" s="17"/>
      <c r="P52" s="17"/>
      <c r="Q52" s="17">
        <v>0.48</v>
      </c>
      <c r="R52" s="17">
        <v>1.18</v>
      </c>
      <c r="S52" s="17"/>
      <c r="T52" s="17"/>
      <c r="U52" s="17">
        <v>0.64</v>
      </c>
      <c r="V52" s="17">
        <v>0.89</v>
      </c>
      <c r="W52" s="17"/>
      <c r="X52" s="17"/>
      <c r="Y52" s="17">
        <v>0.73</v>
      </c>
      <c r="Z52" s="17">
        <v>0.99</v>
      </c>
      <c r="AA52" s="17"/>
      <c r="AB52" s="17"/>
      <c r="AC52" s="17">
        <v>0.16</v>
      </c>
      <c r="AD52" s="17">
        <v>0.22</v>
      </c>
      <c r="AE52" s="17"/>
      <c r="AF52" s="17"/>
      <c r="AG52" s="17">
        <v>0.06</v>
      </c>
      <c r="AH52" s="17">
        <v>0.16</v>
      </c>
      <c r="AI52" s="17"/>
      <c r="AJ52" s="17"/>
      <c r="AK52" s="17">
        <v>3.09</v>
      </c>
      <c r="AL52" s="17">
        <v>5.33</v>
      </c>
      <c r="AM52" s="17"/>
      <c r="AN52" s="17"/>
    </row>
  </sheetData>
  <mergeCells count="12">
    <mergeCell ref="A2:A3"/>
    <mergeCell ref="B2:B3"/>
    <mergeCell ref="D2:F2"/>
    <mergeCell ref="G2:I2"/>
    <mergeCell ref="J2:L2"/>
    <mergeCell ref="AG2:AJ2"/>
    <mergeCell ref="AK2:AN2"/>
    <mergeCell ref="M2:P2"/>
    <mergeCell ref="Q2:T2"/>
    <mergeCell ref="U2:X2"/>
    <mergeCell ref="Y2:AB2"/>
    <mergeCell ref="AC2:A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Sheet3</vt:lpstr>
      <vt:lpstr>Sheet4</vt:lpstr>
      <vt:lpstr>fff</vt:lpstr>
      <vt:lpstr>ggg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rahul v</cp:lastModifiedBy>
  <dcterms:created xsi:type="dcterms:W3CDTF">2024-09-21T14:28:53Z</dcterms:created>
  <dcterms:modified xsi:type="dcterms:W3CDTF">2024-09-21T15:41:04Z</dcterms:modified>
</cp:coreProperties>
</file>