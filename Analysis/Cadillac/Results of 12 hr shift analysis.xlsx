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 Area\workspace\sadmix code\Sand mix Final\Analysis\Cadillac\"/>
    </mc:Choice>
  </mc:AlternateContent>
  <xr:revisionPtr revIDLastSave="0" documentId="13_ncr:1_{1A4E054C-4A51-4EA6-BDAA-577C30F3D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4" sheetId="4" r:id="rId2"/>
    <sheet name="Sheet3" sheetId="3" r:id="rId3"/>
    <sheet name="Sheet2" sheetId="2" r:id="rId4"/>
  </sheets>
  <externalReferences>
    <externalReference r:id="rId5"/>
  </externalReferences>
  <definedNames>
    <definedName name="_xlnm._FilterDatabase" localSheetId="0" hidden="1">Sheet1!$A$6:$AT$338</definedName>
    <definedName name="fff">[1]Sheet3!$A$1:$C$48</definedName>
    <definedName name="ggg">[1]Sheet2!$C$7:$AN$69</definedName>
    <definedName name="hhh">Sheet2!$C$7:$AN$67</definedName>
    <definedName name="iii">Sheet3!$A$1:$C$48</definedName>
    <definedName name="jjjj">Sheet2!$C$7:$AN$67</definedName>
    <definedName name="kkk">Sheet2!$C$7:$AN$74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4" i="1" l="1"/>
  <c r="AA254" i="1"/>
  <c r="AB254" i="1"/>
  <c r="AC254" i="1"/>
  <c r="Z255" i="1"/>
  <c r="AA255" i="1"/>
  <c r="AB255" i="1"/>
  <c r="AC255" i="1"/>
  <c r="Z256" i="1"/>
  <c r="AA256" i="1"/>
  <c r="AB256" i="1"/>
  <c r="AC256" i="1"/>
  <c r="Z257" i="1"/>
  <c r="AA257" i="1"/>
  <c r="AB257" i="1"/>
  <c r="AC257" i="1"/>
  <c r="Z258" i="1"/>
  <c r="AA258" i="1"/>
  <c r="AB258" i="1"/>
  <c r="AC258" i="1"/>
  <c r="Z259" i="1"/>
  <c r="AA259" i="1"/>
  <c r="AB259" i="1"/>
  <c r="AC259" i="1"/>
  <c r="Z260" i="1"/>
  <c r="AA260" i="1"/>
  <c r="AB260" i="1"/>
  <c r="AC260" i="1"/>
  <c r="Z261" i="1"/>
  <c r="AA261" i="1"/>
  <c r="AB261" i="1"/>
  <c r="AC261" i="1"/>
  <c r="Z262" i="1"/>
  <c r="AA262" i="1"/>
  <c r="AB262" i="1"/>
  <c r="AC262" i="1"/>
  <c r="Z263" i="1"/>
  <c r="AA263" i="1"/>
  <c r="AB263" i="1"/>
  <c r="AC263" i="1"/>
  <c r="Z264" i="1"/>
  <c r="AA264" i="1"/>
  <c r="AB264" i="1"/>
  <c r="AC264" i="1"/>
  <c r="Z265" i="1"/>
  <c r="AA265" i="1"/>
  <c r="AB265" i="1"/>
  <c r="AC265" i="1"/>
  <c r="Z266" i="1"/>
  <c r="AA266" i="1"/>
  <c r="AB266" i="1"/>
  <c r="AC266" i="1"/>
  <c r="Z267" i="1"/>
  <c r="AA267" i="1"/>
  <c r="AB267" i="1"/>
  <c r="AC267" i="1"/>
  <c r="Z268" i="1"/>
  <c r="AA268" i="1"/>
  <c r="AB268" i="1"/>
  <c r="AC268" i="1"/>
  <c r="Z269" i="1"/>
  <c r="AA269" i="1"/>
  <c r="AB269" i="1"/>
  <c r="AC269" i="1"/>
  <c r="Z270" i="1"/>
  <c r="AA270" i="1"/>
  <c r="AB270" i="1"/>
  <c r="AC270" i="1"/>
  <c r="Z271" i="1"/>
  <c r="AA271" i="1"/>
  <c r="AB271" i="1"/>
  <c r="AC271" i="1"/>
  <c r="Z272" i="1"/>
  <c r="AA272" i="1"/>
  <c r="AB272" i="1"/>
  <c r="AC272" i="1"/>
  <c r="Z273" i="1"/>
  <c r="AA273" i="1"/>
  <c r="AB273" i="1"/>
  <c r="AC273" i="1"/>
  <c r="Z274" i="1"/>
  <c r="AA274" i="1"/>
  <c r="AB274" i="1"/>
  <c r="AC274" i="1"/>
  <c r="Z275" i="1"/>
  <c r="AA275" i="1"/>
  <c r="AB275" i="1"/>
  <c r="AC275" i="1"/>
  <c r="Z276" i="1"/>
  <c r="AA276" i="1"/>
  <c r="AB276" i="1"/>
  <c r="AC276" i="1"/>
  <c r="Z277" i="1"/>
  <c r="AA277" i="1"/>
  <c r="AB277" i="1"/>
  <c r="AC277" i="1"/>
  <c r="Z278" i="1"/>
  <c r="AA278" i="1"/>
  <c r="AB278" i="1"/>
  <c r="AC278" i="1"/>
  <c r="Z279" i="1"/>
  <c r="AA279" i="1"/>
  <c r="AB279" i="1"/>
  <c r="AC279" i="1"/>
  <c r="Z280" i="1"/>
  <c r="AA280" i="1"/>
  <c r="AB280" i="1"/>
  <c r="AC280" i="1"/>
  <c r="Z281" i="1"/>
  <c r="AA281" i="1"/>
  <c r="AB281" i="1"/>
  <c r="AC281" i="1"/>
  <c r="Z282" i="1"/>
  <c r="AA282" i="1"/>
  <c r="AB282" i="1"/>
  <c r="AC282" i="1"/>
  <c r="Z283" i="1"/>
  <c r="AA283" i="1"/>
  <c r="AB283" i="1"/>
  <c r="AC283" i="1"/>
  <c r="Z284" i="1"/>
  <c r="AA284" i="1"/>
  <c r="AB284" i="1"/>
  <c r="AC284" i="1"/>
  <c r="Z285" i="1"/>
  <c r="AA285" i="1"/>
  <c r="AB285" i="1"/>
  <c r="AC285" i="1"/>
  <c r="Z286" i="1"/>
  <c r="AA286" i="1"/>
  <c r="AB286" i="1"/>
  <c r="AC286" i="1"/>
  <c r="Z287" i="1"/>
  <c r="AA287" i="1"/>
  <c r="AB287" i="1"/>
  <c r="AC287" i="1"/>
  <c r="Z288" i="1"/>
  <c r="AA288" i="1"/>
  <c r="AB288" i="1"/>
  <c r="AC288" i="1"/>
  <c r="Z289" i="1"/>
  <c r="AA289" i="1"/>
  <c r="AB289" i="1"/>
  <c r="AC289" i="1"/>
  <c r="Z290" i="1"/>
  <c r="AA290" i="1"/>
  <c r="AB290" i="1"/>
  <c r="AC290" i="1"/>
  <c r="Z291" i="1"/>
  <c r="AA291" i="1"/>
  <c r="AB291" i="1"/>
  <c r="AC291" i="1"/>
  <c r="Z292" i="1"/>
  <c r="AA292" i="1"/>
  <c r="AB292" i="1"/>
  <c r="AC292" i="1"/>
  <c r="Z293" i="1"/>
  <c r="AA293" i="1"/>
  <c r="AB293" i="1"/>
  <c r="AC293" i="1"/>
  <c r="Z294" i="1"/>
  <c r="AA294" i="1"/>
  <c r="AB294" i="1"/>
  <c r="AC294" i="1"/>
  <c r="Z295" i="1"/>
  <c r="AA295" i="1"/>
  <c r="AB295" i="1"/>
  <c r="AC295" i="1"/>
  <c r="Z296" i="1"/>
  <c r="AA296" i="1"/>
  <c r="AB296" i="1"/>
  <c r="AC296" i="1"/>
  <c r="Z297" i="1"/>
  <c r="AA297" i="1"/>
  <c r="AB297" i="1"/>
  <c r="AC297" i="1"/>
  <c r="Z298" i="1"/>
  <c r="AA298" i="1"/>
  <c r="AB298" i="1"/>
  <c r="AC298" i="1"/>
  <c r="Z299" i="1"/>
  <c r="AA299" i="1"/>
  <c r="AB299" i="1"/>
  <c r="AC299" i="1"/>
  <c r="Z300" i="1"/>
  <c r="AA300" i="1"/>
  <c r="AB300" i="1"/>
  <c r="AC300" i="1"/>
  <c r="Z301" i="1"/>
  <c r="AA301" i="1"/>
  <c r="AB301" i="1"/>
  <c r="AC301" i="1"/>
  <c r="Z302" i="1"/>
  <c r="AA302" i="1"/>
  <c r="AB302" i="1"/>
  <c r="AC302" i="1"/>
  <c r="Z303" i="1"/>
  <c r="AA303" i="1"/>
  <c r="AB303" i="1"/>
  <c r="AC303" i="1"/>
  <c r="Z304" i="1"/>
  <c r="AA304" i="1"/>
  <c r="AB304" i="1"/>
  <c r="AC304" i="1"/>
  <c r="Z305" i="1"/>
  <c r="AA305" i="1"/>
  <c r="AB305" i="1"/>
  <c r="AC305" i="1"/>
  <c r="Z306" i="1"/>
  <c r="AA306" i="1"/>
  <c r="AB306" i="1"/>
  <c r="AC306" i="1"/>
  <c r="Z307" i="1"/>
  <c r="AA307" i="1"/>
  <c r="AB307" i="1"/>
  <c r="AC307" i="1"/>
  <c r="Z308" i="1"/>
  <c r="AA308" i="1"/>
  <c r="AB308" i="1"/>
  <c r="AC308" i="1"/>
  <c r="Z309" i="1"/>
  <c r="AA309" i="1"/>
  <c r="AB309" i="1"/>
  <c r="AC309" i="1"/>
  <c r="Z310" i="1"/>
  <c r="AA310" i="1"/>
  <c r="AB310" i="1"/>
  <c r="AC310" i="1"/>
  <c r="Z311" i="1"/>
  <c r="AA311" i="1"/>
  <c r="AB311" i="1"/>
  <c r="AC311" i="1"/>
  <c r="Z312" i="1"/>
  <c r="AA312" i="1"/>
  <c r="AB312" i="1"/>
  <c r="AC312" i="1"/>
  <c r="Z313" i="1"/>
  <c r="AA313" i="1"/>
  <c r="AB313" i="1"/>
  <c r="AC313" i="1"/>
  <c r="Z314" i="1"/>
  <c r="AA314" i="1"/>
  <c r="AB314" i="1"/>
  <c r="AC314" i="1"/>
  <c r="Z315" i="1"/>
  <c r="AA315" i="1"/>
  <c r="AB315" i="1"/>
  <c r="AC315" i="1"/>
  <c r="Z316" i="1"/>
  <c r="AA316" i="1"/>
  <c r="AB316" i="1"/>
  <c r="AC316" i="1"/>
  <c r="Z317" i="1"/>
  <c r="AA317" i="1"/>
  <c r="AB317" i="1"/>
  <c r="AC317" i="1"/>
  <c r="Z318" i="1"/>
  <c r="AA318" i="1"/>
  <c r="AB318" i="1"/>
  <c r="AC318" i="1"/>
  <c r="Z319" i="1"/>
  <c r="AA319" i="1"/>
  <c r="AB319" i="1"/>
  <c r="AC319" i="1"/>
  <c r="Z320" i="1"/>
  <c r="AA320" i="1"/>
  <c r="AB320" i="1"/>
  <c r="AC320" i="1"/>
  <c r="Z321" i="1"/>
  <c r="AA321" i="1"/>
  <c r="AB321" i="1"/>
  <c r="AC321" i="1"/>
  <c r="Z322" i="1"/>
  <c r="AA322" i="1"/>
  <c r="AB322" i="1"/>
  <c r="AC322" i="1"/>
  <c r="Z323" i="1"/>
  <c r="AA323" i="1"/>
  <c r="AB323" i="1"/>
  <c r="AC323" i="1"/>
  <c r="Z324" i="1"/>
  <c r="AA324" i="1"/>
  <c r="AB324" i="1"/>
  <c r="AC324" i="1"/>
  <c r="Z325" i="1"/>
  <c r="AA325" i="1"/>
  <c r="AB325" i="1"/>
  <c r="AC325" i="1"/>
  <c r="Z326" i="1"/>
  <c r="AA326" i="1"/>
  <c r="AB326" i="1"/>
  <c r="AC326" i="1"/>
  <c r="Z327" i="1"/>
  <c r="AA327" i="1"/>
  <c r="AB327" i="1"/>
  <c r="AC327" i="1"/>
  <c r="Z328" i="1"/>
  <c r="AA328" i="1"/>
  <c r="AB328" i="1"/>
  <c r="AC328" i="1"/>
  <c r="Z329" i="1"/>
  <c r="AA329" i="1"/>
  <c r="AB329" i="1"/>
  <c r="AC329" i="1"/>
  <c r="Z330" i="1"/>
  <c r="AA330" i="1"/>
  <c r="AB330" i="1"/>
  <c r="AC330" i="1"/>
  <c r="Z331" i="1"/>
  <c r="AA331" i="1"/>
  <c r="AB331" i="1"/>
  <c r="AC331" i="1"/>
  <c r="Z332" i="1"/>
  <c r="AA332" i="1"/>
  <c r="AB332" i="1"/>
  <c r="AC332" i="1"/>
  <c r="Z333" i="1"/>
  <c r="AA333" i="1"/>
  <c r="AB333" i="1"/>
  <c r="AC333" i="1"/>
  <c r="Z334" i="1"/>
  <c r="AA334" i="1"/>
  <c r="AB334" i="1"/>
  <c r="AC334" i="1"/>
  <c r="Z335" i="1"/>
  <c r="AA335" i="1"/>
  <c r="AB335" i="1"/>
  <c r="AC335" i="1"/>
  <c r="Z336" i="1"/>
  <c r="AA336" i="1"/>
  <c r="AB336" i="1"/>
  <c r="AC336" i="1"/>
  <c r="Z337" i="1"/>
  <c r="AA337" i="1"/>
  <c r="AB337" i="1"/>
  <c r="AC337" i="1"/>
  <c r="Z338" i="1"/>
  <c r="AA338" i="1"/>
  <c r="AB338" i="1"/>
  <c r="AC338" i="1"/>
  <c r="AC253" i="1"/>
  <c r="AB253" i="1"/>
  <c r="AA253" i="1"/>
  <c r="Z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253" i="1"/>
  <c r="C68" i="2"/>
  <c r="C69" i="2"/>
  <c r="C70" i="2"/>
  <c r="C71" i="2"/>
  <c r="C72" i="2"/>
  <c r="C73" i="2"/>
  <c r="C74" i="2"/>
  <c r="X254" i="1"/>
  <c r="Y254" i="1"/>
  <c r="X255" i="1"/>
  <c r="Y255" i="1"/>
  <c r="X256" i="1"/>
  <c r="Y256" i="1"/>
  <c r="X257" i="1"/>
  <c r="Y257" i="1"/>
  <c r="X258" i="1"/>
  <c r="Y258" i="1"/>
  <c r="X259" i="1"/>
  <c r="Y259" i="1"/>
  <c r="X260" i="1"/>
  <c r="Y260" i="1"/>
  <c r="X261" i="1"/>
  <c r="Y261" i="1"/>
  <c r="X262" i="1"/>
  <c r="Y262" i="1"/>
  <c r="X263" i="1"/>
  <c r="Y263" i="1"/>
  <c r="X264" i="1"/>
  <c r="Y264" i="1"/>
  <c r="X265" i="1"/>
  <c r="Y265" i="1"/>
  <c r="X266" i="1"/>
  <c r="Y266" i="1"/>
  <c r="X267" i="1"/>
  <c r="Y267" i="1"/>
  <c r="X268" i="1"/>
  <c r="Y268" i="1"/>
  <c r="X269" i="1"/>
  <c r="Y269" i="1"/>
  <c r="X270" i="1"/>
  <c r="Y270" i="1"/>
  <c r="X271" i="1"/>
  <c r="Y271" i="1"/>
  <c r="X272" i="1"/>
  <c r="Y272" i="1"/>
  <c r="X273" i="1"/>
  <c r="Y273" i="1"/>
  <c r="X274" i="1"/>
  <c r="Y274" i="1"/>
  <c r="X275" i="1"/>
  <c r="Y275" i="1"/>
  <c r="X276" i="1"/>
  <c r="Y276" i="1"/>
  <c r="X277" i="1"/>
  <c r="Y277" i="1"/>
  <c r="X278" i="1"/>
  <c r="Y278" i="1"/>
  <c r="X279" i="1"/>
  <c r="Y279" i="1"/>
  <c r="X280" i="1"/>
  <c r="Y280" i="1"/>
  <c r="X281" i="1"/>
  <c r="Y281" i="1"/>
  <c r="X282" i="1"/>
  <c r="Y282" i="1"/>
  <c r="X283" i="1"/>
  <c r="Y283" i="1"/>
  <c r="X284" i="1"/>
  <c r="Y284" i="1"/>
  <c r="X285" i="1"/>
  <c r="Y285" i="1"/>
  <c r="X286" i="1"/>
  <c r="Y286" i="1"/>
  <c r="X287" i="1"/>
  <c r="Y287" i="1"/>
  <c r="X288" i="1"/>
  <c r="Y288" i="1"/>
  <c r="X289" i="1"/>
  <c r="Y289" i="1"/>
  <c r="X290" i="1"/>
  <c r="Y290" i="1"/>
  <c r="X291" i="1"/>
  <c r="Y291" i="1"/>
  <c r="X292" i="1"/>
  <c r="Y292" i="1"/>
  <c r="X293" i="1"/>
  <c r="Y293" i="1"/>
  <c r="X294" i="1"/>
  <c r="Y294" i="1"/>
  <c r="X295" i="1"/>
  <c r="Y295" i="1"/>
  <c r="X296" i="1"/>
  <c r="Y296" i="1"/>
  <c r="X297" i="1"/>
  <c r="Y297" i="1"/>
  <c r="X298" i="1"/>
  <c r="Y298" i="1"/>
  <c r="X299" i="1"/>
  <c r="Y299" i="1"/>
  <c r="X300" i="1"/>
  <c r="Y300" i="1"/>
  <c r="X301" i="1"/>
  <c r="Y301" i="1"/>
  <c r="X302" i="1"/>
  <c r="Y302" i="1"/>
  <c r="X303" i="1"/>
  <c r="Y303" i="1"/>
  <c r="X304" i="1"/>
  <c r="Y304" i="1"/>
  <c r="X305" i="1"/>
  <c r="Y305" i="1"/>
  <c r="X306" i="1"/>
  <c r="Y306" i="1"/>
  <c r="X307" i="1"/>
  <c r="Y307" i="1"/>
  <c r="X308" i="1"/>
  <c r="Y308" i="1"/>
  <c r="X309" i="1"/>
  <c r="Y309" i="1"/>
  <c r="X310" i="1"/>
  <c r="Y310" i="1"/>
  <c r="X311" i="1"/>
  <c r="Y311" i="1"/>
  <c r="X312" i="1"/>
  <c r="Y312" i="1"/>
  <c r="X313" i="1"/>
  <c r="Y313" i="1"/>
  <c r="X314" i="1"/>
  <c r="Y314" i="1"/>
  <c r="X315" i="1"/>
  <c r="Y315" i="1"/>
  <c r="X316" i="1"/>
  <c r="Y316" i="1"/>
  <c r="X317" i="1"/>
  <c r="Y317" i="1"/>
  <c r="X318" i="1"/>
  <c r="Y318" i="1"/>
  <c r="X319" i="1"/>
  <c r="Y319" i="1"/>
  <c r="X320" i="1"/>
  <c r="Y320" i="1"/>
  <c r="X321" i="1"/>
  <c r="Y321" i="1"/>
  <c r="X322" i="1"/>
  <c r="Y322" i="1"/>
  <c r="X323" i="1"/>
  <c r="Y323" i="1"/>
  <c r="X324" i="1"/>
  <c r="Y324" i="1"/>
  <c r="X325" i="1"/>
  <c r="Y325" i="1"/>
  <c r="X326" i="1"/>
  <c r="Y326" i="1"/>
  <c r="X327" i="1"/>
  <c r="Y327" i="1"/>
  <c r="X328" i="1"/>
  <c r="Y328" i="1"/>
  <c r="X329" i="1"/>
  <c r="Y329" i="1"/>
  <c r="X330" i="1"/>
  <c r="Y330" i="1"/>
  <c r="X331" i="1"/>
  <c r="Y331" i="1"/>
  <c r="X332" i="1"/>
  <c r="Y332" i="1"/>
  <c r="X333" i="1"/>
  <c r="Y333" i="1"/>
  <c r="X334" i="1"/>
  <c r="Y334" i="1"/>
  <c r="X335" i="1"/>
  <c r="Y335" i="1"/>
  <c r="X336" i="1"/>
  <c r="Y336" i="1"/>
  <c r="X337" i="1"/>
  <c r="Y337" i="1"/>
  <c r="X338" i="1"/>
  <c r="Y338" i="1"/>
  <c r="Y253" i="1"/>
  <c r="X253" i="1"/>
  <c r="J3" i="1" l="1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AG337" i="1"/>
  <c r="AH337" i="1"/>
  <c r="AI337" i="1"/>
  <c r="AJ337" i="1"/>
  <c r="AK337" i="1"/>
  <c r="AL337" i="1"/>
  <c r="AM337" i="1"/>
  <c r="AN337" i="1"/>
  <c r="AO337" i="1"/>
  <c r="AT337" i="1"/>
  <c r="AG338" i="1"/>
  <c r="AH338" i="1"/>
  <c r="AI338" i="1"/>
  <c r="AJ338" i="1"/>
  <c r="AK338" i="1"/>
  <c r="AL338" i="1"/>
  <c r="AM338" i="1"/>
  <c r="AN338" i="1"/>
  <c r="AO338" i="1"/>
  <c r="AT338" i="1"/>
  <c r="AG339" i="1"/>
  <c r="AH339" i="1"/>
  <c r="AI339" i="1"/>
  <c r="AJ339" i="1"/>
  <c r="AK339" i="1"/>
  <c r="AL339" i="1"/>
  <c r="AM339" i="1"/>
  <c r="AN339" i="1"/>
  <c r="AO339" i="1"/>
  <c r="AT339" i="1"/>
  <c r="AG340" i="1"/>
  <c r="AH340" i="1"/>
  <c r="AI340" i="1"/>
  <c r="AJ340" i="1"/>
  <c r="AK340" i="1"/>
  <c r="AL340" i="1"/>
  <c r="AM340" i="1"/>
  <c r="AN340" i="1"/>
  <c r="AO340" i="1"/>
  <c r="AT340" i="1"/>
  <c r="AG341" i="1"/>
  <c r="AH341" i="1"/>
  <c r="AI341" i="1"/>
  <c r="AJ341" i="1"/>
  <c r="AK341" i="1"/>
  <c r="AL341" i="1"/>
  <c r="AM341" i="1"/>
  <c r="AN341" i="1"/>
  <c r="AO341" i="1"/>
  <c r="AT341" i="1"/>
  <c r="AG68" i="1"/>
  <c r="AH68" i="1"/>
  <c r="AI68" i="1"/>
  <c r="AJ68" i="1"/>
  <c r="AK68" i="1"/>
  <c r="AL68" i="1"/>
  <c r="AM68" i="1"/>
  <c r="AN68" i="1"/>
  <c r="AO68" i="1"/>
  <c r="AT68" i="1"/>
  <c r="U68" i="1" s="1"/>
  <c r="AG69" i="1"/>
  <c r="AH69" i="1"/>
  <c r="AI69" i="1"/>
  <c r="AJ69" i="1"/>
  <c r="AK69" i="1"/>
  <c r="AL69" i="1"/>
  <c r="AM69" i="1"/>
  <c r="AN69" i="1"/>
  <c r="AO69" i="1"/>
  <c r="AT69" i="1"/>
  <c r="AG70" i="1"/>
  <c r="AH70" i="1"/>
  <c r="AI70" i="1"/>
  <c r="AJ70" i="1"/>
  <c r="AK70" i="1"/>
  <c r="AL70" i="1"/>
  <c r="AM70" i="1"/>
  <c r="AN70" i="1"/>
  <c r="AO70" i="1"/>
  <c r="AT70" i="1"/>
  <c r="AG71" i="1"/>
  <c r="AH71" i="1"/>
  <c r="AI71" i="1"/>
  <c r="AJ71" i="1"/>
  <c r="AK71" i="1"/>
  <c r="AL71" i="1"/>
  <c r="AM71" i="1"/>
  <c r="AN71" i="1"/>
  <c r="AO71" i="1"/>
  <c r="AT71" i="1"/>
  <c r="Y71" i="1" s="1"/>
  <c r="AG72" i="1"/>
  <c r="AH72" i="1"/>
  <c r="AI72" i="1"/>
  <c r="AJ72" i="1"/>
  <c r="AK72" i="1"/>
  <c r="AL72" i="1"/>
  <c r="AM72" i="1"/>
  <c r="AN72" i="1"/>
  <c r="AO72" i="1"/>
  <c r="AT72" i="1"/>
  <c r="AA72" i="1" s="1"/>
  <c r="AG73" i="1"/>
  <c r="AH73" i="1"/>
  <c r="AI73" i="1"/>
  <c r="AJ73" i="1"/>
  <c r="AK73" i="1"/>
  <c r="AL73" i="1"/>
  <c r="AM73" i="1"/>
  <c r="AN73" i="1"/>
  <c r="AO73" i="1"/>
  <c r="AT73" i="1"/>
  <c r="AG74" i="1"/>
  <c r="AH74" i="1"/>
  <c r="AI74" i="1"/>
  <c r="AJ74" i="1"/>
  <c r="AK74" i="1"/>
  <c r="AL74" i="1"/>
  <c r="AM74" i="1"/>
  <c r="AN74" i="1"/>
  <c r="AO74" i="1"/>
  <c r="AT74" i="1"/>
  <c r="X74" i="1" s="1"/>
  <c r="AG75" i="1"/>
  <c r="AH75" i="1"/>
  <c r="AI75" i="1"/>
  <c r="AJ75" i="1"/>
  <c r="AK75" i="1"/>
  <c r="AL75" i="1"/>
  <c r="AM75" i="1"/>
  <c r="AN75" i="1"/>
  <c r="AO75" i="1"/>
  <c r="AT75" i="1"/>
  <c r="U75" i="1" s="1"/>
  <c r="AG76" i="1"/>
  <c r="AH76" i="1"/>
  <c r="AI76" i="1"/>
  <c r="AJ76" i="1"/>
  <c r="AK76" i="1"/>
  <c r="AL76" i="1"/>
  <c r="AM76" i="1"/>
  <c r="AN76" i="1"/>
  <c r="AO76" i="1"/>
  <c r="AT76" i="1"/>
  <c r="AG77" i="1"/>
  <c r="AH77" i="1"/>
  <c r="AI77" i="1"/>
  <c r="AJ77" i="1"/>
  <c r="AK77" i="1"/>
  <c r="AL77" i="1"/>
  <c r="AM77" i="1"/>
  <c r="AN77" i="1"/>
  <c r="AO77" i="1"/>
  <c r="AT77" i="1"/>
  <c r="X77" i="1" s="1"/>
  <c r="AG78" i="1"/>
  <c r="AH78" i="1"/>
  <c r="AI78" i="1"/>
  <c r="AJ78" i="1"/>
  <c r="AK78" i="1"/>
  <c r="AL78" i="1"/>
  <c r="AM78" i="1"/>
  <c r="AN78" i="1"/>
  <c r="AO78" i="1"/>
  <c r="AT78" i="1"/>
  <c r="AG79" i="1"/>
  <c r="AH79" i="1"/>
  <c r="AI79" i="1"/>
  <c r="AJ79" i="1"/>
  <c r="AK79" i="1"/>
  <c r="AL79" i="1"/>
  <c r="AM79" i="1"/>
  <c r="AN79" i="1"/>
  <c r="AO79" i="1"/>
  <c r="AT79" i="1"/>
  <c r="Y79" i="1" s="1"/>
  <c r="AG80" i="1"/>
  <c r="AH80" i="1"/>
  <c r="AI80" i="1"/>
  <c r="AJ80" i="1"/>
  <c r="AK80" i="1"/>
  <c r="AL80" i="1"/>
  <c r="AM80" i="1"/>
  <c r="AN80" i="1"/>
  <c r="AO80" i="1"/>
  <c r="AT80" i="1"/>
  <c r="Y80" i="1" s="1"/>
  <c r="AG81" i="1"/>
  <c r="AH81" i="1"/>
  <c r="AI81" i="1"/>
  <c r="AJ81" i="1"/>
  <c r="AK81" i="1"/>
  <c r="AL81" i="1"/>
  <c r="AM81" i="1"/>
  <c r="AN81" i="1"/>
  <c r="AO81" i="1"/>
  <c r="AT81" i="1"/>
  <c r="AG82" i="1"/>
  <c r="AH82" i="1"/>
  <c r="AI82" i="1"/>
  <c r="AJ82" i="1"/>
  <c r="AK82" i="1"/>
  <c r="AL82" i="1"/>
  <c r="AM82" i="1"/>
  <c r="AN82" i="1"/>
  <c r="AO82" i="1"/>
  <c r="AT82" i="1"/>
  <c r="U82" i="1" s="1"/>
  <c r="AG83" i="1"/>
  <c r="AH83" i="1"/>
  <c r="AI83" i="1"/>
  <c r="AJ83" i="1"/>
  <c r="AK83" i="1"/>
  <c r="AL83" i="1"/>
  <c r="AM83" i="1"/>
  <c r="AN83" i="1"/>
  <c r="AO83" i="1"/>
  <c r="AT83" i="1"/>
  <c r="AG84" i="1"/>
  <c r="AH84" i="1"/>
  <c r="AI84" i="1"/>
  <c r="AJ84" i="1"/>
  <c r="AK84" i="1"/>
  <c r="AL84" i="1"/>
  <c r="AM84" i="1"/>
  <c r="AN84" i="1"/>
  <c r="AO84" i="1"/>
  <c r="AT84" i="1"/>
  <c r="AC84" i="1" s="1"/>
  <c r="AG85" i="1"/>
  <c r="AH85" i="1"/>
  <c r="AI85" i="1"/>
  <c r="AJ85" i="1"/>
  <c r="AK85" i="1"/>
  <c r="AL85" i="1"/>
  <c r="AM85" i="1"/>
  <c r="AN85" i="1"/>
  <c r="AO85" i="1"/>
  <c r="AT85" i="1"/>
  <c r="AG86" i="1"/>
  <c r="AH86" i="1"/>
  <c r="AI86" i="1"/>
  <c r="AJ86" i="1"/>
  <c r="AK86" i="1"/>
  <c r="AL86" i="1"/>
  <c r="AM86" i="1"/>
  <c r="AN86" i="1"/>
  <c r="AO86" i="1"/>
  <c r="AT86" i="1"/>
  <c r="U86" i="1" s="1"/>
  <c r="AG87" i="1"/>
  <c r="AH87" i="1"/>
  <c r="AI87" i="1"/>
  <c r="AJ87" i="1"/>
  <c r="AK87" i="1"/>
  <c r="AL87" i="1"/>
  <c r="AM87" i="1"/>
  <c r="AN87" i="1"/>
  <c r="AO87" i="1"/>
  <c r="AT87" i="1"/>
  <c r="Z87" i="1" s="1"/>
  <c r="AG88" i="1"/>
  <c r="AH88" i="1"/>
  <c r="AI88" i="1"/>
  <c r="AJ88" i="1"/>
  <c r="AK88" i="1"/>
  <c r="AL88" i="1"/>
  <c r="AM88" i="1"/>
  <c r="AN88" i="1"/>
  <c r="AO88" i="1"/>
  <c r="AT88" i="1"/>
  <c r="Y88" i="1" s="1"/>
  <c r="AG89" i="1"/>
  <c r="AH89" i="1"/>
  <c r="AI89" i="1"/>
  <c r="AJ89" i="1"/>
  <c r="AK89" i="1"/>
  <c r="AL89" i="1"/>
  <c r="AM89" i="1"/>
  <c r="AN89" i="1"/>
  <c r="AO89" i="1"/>
  <c r="AT89" i="1"/>
  <c r="X89" i="1" s="1"/>
  <c r="AG90" i="1"/>
  <c r="AH90" i="1"/>
  <c r="AI90" i="1"/>
  <c r="AJ90" i="1"/>
  <c r="AK90" i="1"/>
  <c r="AL90" i="1"/>
  <c r="AM90" i="1"/>
  <c r="AN90" i="1"/>
  <c r="AO90" i="1"/>
  <c r="AT90" i="1"/>
  <c r="AG91" i="1"/>
  <c r="AH91" i="1"/>
  <c r="AI91" i="1"/>
  <c r="AJ91" i="1"/>
  <c r="AK91" i="1"/>
  <c r="AL91" i="1"/>
  <c r="AM91" i="1"/>
  <c r="AN91" i="1"/>
  <c r="AO91" i="1"/>
  <c r="AT91" i="1"/>
  <c r="Y91" i="1" s="1"/>
  <c r="AG92" i="1"/>
  <c r="AH92" i="1"/>
  <c r="AI92" i="1"/>
  <c r="AJ92" i="1"/>
  <c r="AK92" i="1"/>
  <c r="AL92" i="1"/>
  <c r="AM92" i="1"/>
  <c r="AN92" i="1"/>
  <c r="AO92" i="1"/>
  <c r="AT92" i="1"/>
  <c r="AC92" i="1" s="1"/>
  <c r="AG93" i="1"/>
  <c r="AH93" i="1"/>
  <c r="AI93" i="1"/>
  <c r="AJ93" i="1"/>
  <c r="AK93" i="1"/>
  <c r="AL93" i="1"/>
  <c r="AM93" i="1"/>
  <c r="AN93" i="1"/>
  <c r="AO93" i="1"/>
  <c r="AT93" i="1"/>
  <c r="Y93" i="1" s="1"/>
  <c r="AG94" i="1"/>
  <c r="AH94" i="1"/>
  <c r="AI94" i="1"/>
  <c r="AJ94" i="1"/>
  <c r="AK94" i="1"/>
  <c r="AL94" i="1"/>
  <c r="AM94" i="1"/>
  <c r="AN94" i="1"/>
  <c r="AO94" i="1"/>
  <c r="AT94" i="1"/>
  <c r="AG95" i="1"/>
  <c r="AH95" i="1"/>
  <c r="AI95" i="1"/>
  <c r="AJ95" i="1"/>
  <c r="AK95" i="1"/>
  <c r="AL95" i="1"/>
  <c r="AM95" i="1"/>
  <c r="AN95" i="1"/>
  <c r="AO95" i="1"/>
  <c r="AT95" i="1"/>
  <c r="AA95" i="1" s="1"/>
  <c r="AG96" i="1"/>
  <c r="AH96" i="1"/>
  <c r="AI96" i="1"/>
  <c r="AJ96" i="1"/>
  <c r="AK96" i="1"/>
  <c r="AL96" i="1"/>
  <c r="AM96" i="1"/>
  <c r="AN96" i="1"/>
  <c r="AO96" i="1"/>
  <c r="AT96" i="1"/>
  <c r="AG97" i="1"/>
  <c r="AH97" i="1"/>
  <c r="AI97" i="1"/>
  <c r="AJ97" i="1"/>
  <c r="AK97" i="1"/>
  <c r="AL97" i="1"/>
  <c r="AM97" i="1"/>
  <c r="AN97" i="1"/>
  <c r="AO97" i="1"/>
  <c r="AT97" i="1"/>
  <c r="Y97" i="1" s="1"/>
  <c r="AG98" i="1"/>
  <c r="AH98" i="1"/>
  <c r="AI98" i="1"/>
  <c r="AJ98" i="1"/>
  <c r="AK98" i="1"/>
  <c r="AL98" i="1"/>
  <c r="AM98" i="1"/>
  <c r="AN98" i="1"/>
  <c r="AO98" i="1"/>
  <c r="AT98" i="1"/>
  <c r="U98" i="1" s="1"/>
  <c r="AG99" i="1"/>
  <c r="AH99" i="1"/>
  <c r="AI99" i="1"/>
  <c r="AJ99" i="1"/>
  <c r="AK99" i="1"/>
  <c r="AL99" i="1"/>
  <c r="AM99" i="1"/>
  <c r="AN99" i="1"/>
  <c r="AO99" i="1"/>
  <c r="AT99" i="1"/>
  <c r="X99" i="1" s="1"/>
  <c r="AG100" i="1"/>
  <c r="AH100" i="1"/>
  <c r="AI100" i="1"/>
  <c r="AJ100" i="1"/>
  <c r="AK100" i="1"/>
  <c r="AL100" i="1"/>
  <c r="AM100" i="1"/>
  <c r="AN100" i="1"/>
  <c r="AO100" i="1"/>
  <c r="AT100" i="1"/>
  <c r="Z100" i="1" s="1"/>
  <c r="AG101" i="1"/>
  <c r="AH101" i="1"/>
  <c r="AI101" i="1"/>
  <c r="AJ101" i="1"/>
  <c r="AK101" i="1"/>
  <c r="AL101" i="1"/>
  <c r="AM101" i="1"/>
  <c r="AN101" i="1"/>
  <c r="AO101" i="1"/>
  <c r="AT101" i="1"/>
  <c r="AG102" i="1"/>
  <c r="AH102" i="1"/>
  <c r="AI102" i="1"/>
  <c r="AJ102" i="1"/>
  <c r="AK102" i="1"/>
  <c r="AL102" i="1"/>
  <c r="AM102" i="1"/>
  <c r="AN102" i="1"/>
  <c r="AO102" i="1"/>
  <c r="AT102" i="1"/>
  <c r="X102" i="1" s="1"/>
  <c r="AG103" i="1"/>
  <c r="AH103" i="1"/>
  <c r="AI103" i="1"/>
  <c r="AJ103" i="1"/>
  <c r="AK103" i="1"/>
  <c r="AL103" i="1"/>
  <c r="AM103" i="1"/>
  <c r="AN103" i="1"/>
  <c r="AO103" i="1"/>
  <c r="AT103" i="1"/>
  <c r="AG104" i="1"/>
  <c r="AH104" i="1"/>
  <c r="AI104" i="1"/>
  <c r="AJ104" i="1"/>
  <c r="AK104" i="1"/>
  <c r="AL104" i="1"/>
  <c r="AM104" i="1"/>
  <c r="AN104" i="1"/>
  <c r="AO104" i="1"/>
  <c r="AT104" i="1"/>
  <c r="Y104" i="1" s="1"/>
  <c r="AG105" i="1"/>
  <c r="AH105" i="1"/>
  <c r="AI105" i="1"/>
  <c r="AJ105" i="1"/>
  <c r="AK105" i="1"/>
  <c r="AL105" i="1"/>
  <c r="AM105" i="1"/>
  <c r="AN105" i="1"/>
  <c r="AO105" i="1"/>
  <c r="AT105" i="1"/>
  <c r="AG106" i="1"/>
  <c r="AH106" i="1"/>
  <c r="AI106" i="1"/>
  <c r="AJ106" i="1"/>
  <c r="AK106" i="1"/>
  <c r="AL106" i="1"/>
  <c r="AM106" i="1"/>
  <c r="AN106" i="1"/>
  <c r="AO106" i="1"/>
  <c r="AT106" i="1"/>
  <c r="U106" i="1" s="1"/>
  <c r="AG107" i="1"/>
  <c r="AH107" i="1"/>
  <c r="AI107" i="1"/>
  <c r="AJ107" i="1"/>
  <c r="AK107" i="1"/>
  <c r="AL107" i="1"/>
  <c r="AM107" i="1"/>
  <c r="AN107" i="1"/>
  <c r="AO107" i="1"/>
  <c r="AT107" i="1"/>
  <c r="AC107" i="1" s="1"/>
  <c r="AG108" i="1"/>
  <c r="AH108" i="1"/>
  <c r="AI108" i="1"/>
  <c r="AJ108" i="1"/>
  <c r="AK108" i="1"/>
  <c r="AL108" i="1"/>
  <c r="AM108" i="1"/>
  <c r="AN108" i="1"/>
  <c r="AO108" i="1"/>
  <c r="AT108" i="1"/>
  <c r="AB108" i="1" s="1"/>
  <c r="AG109" i="1"/>
  <c r="AH109" i="1"/>
  <c r="AI109" i="1"/>
  <c r="AJ109" i="1"/>
  <c r="AK109" i="1"/>
  <c r="AL109" i="1"/>
  <c r="AM109" i="1"/>
  <c r="AN109" i="1"/>
  <c r="AO109" i="1"/>
  <c r="AT109" i="1"/>
  <c r="AG110" i="1"/>
  <c r="AH110" i="1"/>
  <c r="AI110" i="1"/>
  <c r="AJ110" i="1"/>
  <c r="AK110" i="1"/>
  <c r="AL110" i="1"/>
  <c r="AM110" i="1"/>
  <c r="AN110" i="1"/>
  <c r="AO110" i="1"/>
  <c r="AT110" i="1"/>
  <c r="Y110" i="1" s="1"/>
  <c r="AG111" i="1"/>
  <c r="AH111" i="1"/>
  <c r="AI111" i="1"/>
  <c r="AJ111" i="1"/>
  <c r="AK111" i="1"/>
  <c r="AL111" i="1"/>
  <c r="AM111" i="1"/>
  <c r="AN111" i="1"/>
  <c r="AO111" i="1"/>
  <c r="AT111" i="1"/>
  <c r="AC111" i="1" s="1"/>
  <c r="AG112" i="1"/>
  <c r="AH112" i="1"/>
  <c r="AI112" i="1"/>
  <c r="AJ112" i="1"/>
  <c r="AK112" i="1"/>
  <c r="AL112" i="1"/>
  <c r="AM112" i="1"/>
  <c r="AN112" i="1"/>
  <c r="AO112" i="1"/>
  <c r="AT112" i="1"/>
  <c r="AA112" i="1" s="1"/>
  <c r="AG113" i="1"/>
  <c r="AH113" i="1"/>
  <c r="AI113" i="1"/>
  <c r="AJ113" i="1"/>
  <c r="AK113" i="1"/>
  <c r="AL113" i="1"/>
  <c r="AM113" i="1"/>
  <c r="AN113" i="1"/>
  <c r="AO113" i="1"/>
  <c r="AT113" i="1"/>
  <c r="AA113" i="1" s="1"/>
  <c r="AG114" i="1"/>
  <c r="AH114" i="1"/>
  <c r="AI114" i="1"/>
  <c r="AJ114" i="1"/>
  <c r="AK114" i="1"/>
  <c r="AL114" i="1"/>
  <c r="AM114" i="1"/>
  <c r="AN114" i="1"/>
  <c r="AO114" i="1"/>
  <c r="AT114" i="1"/>
  <c r="AC114" i="1" s="1"/>
  <c r="AG115" i="1"/>
  <c r="AH115" i="1"/>
  <c r="AI115" i="1"/>
  <c r="AJ115" i="1"/>
  <c r="AK115" i="1"/>
  <c r="AL115" i="1"/>
  <c r="AM115" i="1"/>
  <c r="AN115" i="1"/>
  <c r="AO115" i="1"/>
  <c r="AT115" i="1"/>
  <c r="Z115" i="1" s="1"/>
  <c r="AG116" i="1"/>
  <c r="AH116" i="1"/>
  <c r="AI116" i="1"/>
  <c r="AJ116" i="1"/>
  <c r="AK116" i="1"/>
  <c r="AL116" i="1"/>
  <c r="AM116" i="1"/>
  <c r="AN116" i="1"/>
  <c r="AO116" i="1"/>
  <c r="AT116" i="1"/>
  <c r="AG117" i="1"/>
  <c r="AH117" i="1"/>
  <c r="AI117" i="1"/>
  <c r="AJ117" i="1"/>
  <c r="AK117" i="1"/>
  <c r="AL117" i="1"/>
  <c r="AM117" i="1"/>
  <c r="AN117" i="1"/>
  <c r="AO117" i="1"/>
  <c r="AT117" i="1"/>
  <c r="AG118" i="1"/>
  <c r="AH118" i="1"/>
  <c r="AI118" i="1"/>
  <c r="AJ118" i="1"/>
  <c r="AK118" i="1"/>
  <c r="AL118" i="1"/>
  <c r="AM118" i="1"/>
  <c r="AN118" i="1"/>
  <c r="AO118" i="1"/>
  <c r="AT118" i="1"/>
  <c r="Y118" i="1" s="1"/>
  <c r="AG119" i="1"/>
  <c r="AH119" i="1"/>
  <c r="AI119" i="1"/>
  <c r="AJ119" i="1"/>
  <c r="AK119" i="1"/>
  <c r="AL119" i="1"/>
  <c r="AM119" i="1"/>
  <c r="AN119" i="1"/>
  <c r="AO119" i="1"/>
  <c r="AT119" i="1"/>
  <c r="Z119" i="1" s="1"/>
  <c r="AG120" i="1"/>
  <c r="AH120" i="1"/>
  <c r="AI120" i="1"/>
  <c r="AJ120" i="1"/>
  <c r="AK120" i="1"/>
  <c r="AL120" i="1"/>
  <c r="AM120" i="1"/>
  <c r="AN120" i="1"/>
  <c r="AO120" i="1"/>
  <c r="AT120" i="1"/>
  <c r="AC120" i="1" s="1"/>
  <c r="AG121" i="1"/>
  <c r="AH121" i="1"/>
  <c r="AI121" i="1"/>
  <c r="AJ121" i="1"/>
  <c r="AK121" i="1"/>
  <c r="AL121" i="1"/>
  <c r="AM121" i="1"/>
  <c r="AN121" i="1"/>
  <c r="AO121" i="1"/>
  <c r="AT121" i="1"/>
  <c r="U121" i="1" s="1"/>
  <c r="AG122" i="1"/>
  <c r="AH122" i="1"/>
  <c r="AI122" i="1"/>
  <c r="AJ122" i="1"/>
  <c r="AK122" i="1"/>
  <c r="AL122" i="1"/>
  <c r="AM122" i="1"/>
  <c r="AN122" i="1"/>
  <c r="AO122" i="1"/>
  <c r="AT122" i="1"/>
  <c r="AC122" i="1" s="1"/>
  <c r="AG123" i="1"/>
  <c r="AH123" i="1"/>
  <c r="AI123" i="1"/>
  <c r="AJ123" i="1"/>
  <c r="AK123" i="1"/>
  <c r="AL123" i="1"/>
  <c r="AM123" i="1"/>
  <c r="AN123" i="1"/>
  <c r="AO123" i="1"/>
  <c r="AT123" i="1"/>
  <c r="AG124" i="1"/>
  <c r="AH124" i="1"/>
  <c r="AI124" i="1"/>
  <c r="AJ124" i="1"/>
  <c r="AK124" i="1"/>
  <c r="AL124" i="1"/>
  <c r="AM124" i="1"/>
  <c r="AN124" i="1"/>
  <c r="AO124" i="1"/>
  <c r="AT124" i="1"/>
  <c r="Y124" i="1" s="1"/>
  <c r="AG125" i="1"/>
  <c r="AH125" i="1"/>
  <c r="AI125" i="1"/>
  <c r="AJ125" i="1"/>
  <c r="AK125" i="1"/>
  <c r="AL125" i="1"/>
  <c r="AM125" i="1"/>
  <c r="AN125" i="1"/>
  <c r="AO125" i="1"/>
  <c r="AT125" i="1"/>
  <c r="U125" i="1" s="1"/>
  <c r="AG126" i="1"/>
  <c r="AH126" i="1"/>
  <c r="AI126" i="1"/>
  <c r="AJ126" i="1"/>
  <c r="AK126" i="1"/>
  <c r="AL126" i="1"/>
  <c r="AM126" i="1"/>
  <c r="AN126" i="1"/>
  <c r="AO126" i="1"/>
  <c r="AT126" i="1"/>
  <c r="X126" i="1" s="1"/>
  <c r="AG127" i="1"/>
  <c r="AH127" i="1"/>
  <c r="AI127" i="1"/>
  <c r="AJ127" i="1"/>
  <c r="AK127" i="1"/>
  <c r="AL127" i="1"/>
  <c r="AM127" i="1"/>
  <c r="AN127" i="1"/>
  <c r="AO127" i="1"/>
  <c r="AT127" i="1"/>
  <c r="AG128" i="1"/>
  <c r="AH128" i="1"/>
  <c r="AI128" i="1"/>
  <c r="AJ128" i="1"/>
  <c r="AK128" i="1"/>
  <c r="AL128" i="1"/>
  <c r="AM128" i="1"/>
  <c r="AN128" i="1"/>
  <c r="AO128" i="1"/>
  <c r="AT128" i="1"/>
  <c r="AB128" i="1" s="1"/>
  <c r="AG129" i="1"/>
  <c r="AH129" i="1"/>
  <c r="AI129" i="1"/>
  <c r="AJ129" i="1"/>
  <c r="AK129" i="1"/>
  <c r="AL129" i="1"/>
  <c r="AM129" i="1"/>
  <c r="AN129" i="1"/>
  <c r="AO129" i="1"/>
  <c r="AT129" i="1"/>
  <c r="Y129" i="1" s="1"/>
  <c r="AG130" i="1"/>
  <c r="AH130" i="1"/>
  <c r="AI130" i="1"/>
  <c r="AJ130" i="1"/>
  <c r="AK130" i="1"/>
  <c r="AL130" i="1"/>
  <c r="AM130" i="1"/>
  <c r="AN130" i="1"/>
  <c r="AO130" i="1"/>
  <c r="AT130" i="1"/>
  <c r="Y130" i="1" s="1"/>
  <c r="AG131" i="1"/>
  <c r="AH131" i="1"/>
  <c r="AI131" i="1"/>
  <c r="AJ131" i="1"/>
  <c r="AK131" i="1"/>
  <c r="AL131" i="1"/>
  <c r="AM131" i="1"/>
  <c r="AN131" i="1"/>
  <c r="AO131" i="1"/>
  <c r="AT131" i="1"/>
  <c r="Z131" i="1" s="1"/>
  <c r="AG132" i="1"/>
  <c r="AH132" i="1"/>
  <c r="AI132" i="1"/>
  <c r="AJ132" i="1"/>
  <c r="AK132" i="1"/>
  <c r="AL132" i="1"/>
  <c r="AM132" i="1"/>
  <c r="AN132" i="1"/>
  <c r="AO132" i="1"/>
  <c r="AT132" i="1"/>
  <c r="U132" i="1" s="1"/>
  <c r="AG133" i="1"/>
  <c r="AH133" i="1"/>
  <c r="AI133" i="1"/>
  <c r="AJ133" i="1"/>
  <c r="AK133" i="1"/>
  <c r="AL133" i="1"/>
  <c r="AM133" i="1"/>
  <c r="AN133" i="1"/>
  <c r="AO133" i="1"/>
  <c r="AT133" i="1"/>
  <c r="AG134" i="1"/>
  <c r="AH134" i="1"/>
  <c r="AI134" i="1"/>
  <c r="AJ134" i="1"/>
  <c r="AK134" i="1"/>
  <c r="AL134" i="1"/>
  <c r="AM134" i="1"/>
  <c r="AN134" i="1"/>
  <c r="AO134" i="1"/>
  <c r="AT134" i="1"/>
  <c r="Y134" i="1" s="1"/>
  <c r="AG135" i="1"/>
  <c r="AH135" i="1"/>
  <c r="AI135" i="1"/>
  <c r="AJ135" i="1"/>
  <c r="AK135" i="1"/>
  <c r="AL135" i="1"/>
  <c r="AM135" i="1"/>
  <c r="AN135" i="1"/>
  <c r="AO135" i="1"/>
  <c r="AT135" i="1"/>
  <c r="X135" i="1" s="1"/>
  <c r="AG136" i="1"/>
  <c r="AH136" i="1"/>
  <c r="AI136" i="1"/>
  <c r="AJ136" i="1"/>
  <c r="AK136" i="1"/>
  <c r="AL136" i="1"/>
  <c r="AM136" i="1"/>
  <c r="AN136" i="1"/>
  <c r="AO136" i="1"/>
  <c r="AT136" i="1"/>
  <c r="AA136" i="1" s="1"/>
  <c r="AG137" i="1"/>
  <c r="AH137" i="1"/>
  <c r="AI137" i="1"/>
  <c r="AJ137" i="1"/>
  <c r="AK137" i="1"/>
  <c r="AL137" i="1"/>
  <c r="AM137" i="1"/>
  <c r="AN137" i="1"/>
  <c r="AO137" i="1"/>
  <c r="AT137" i="1"/>
  <c r="AG138" i="1"/>
  <c r="AH138" i="1"/>
  <c r="AI138" i="1"/>
  <c r="AJ138" i="1"/>
  <c r="AK138" i="1"/>
  <c r="AL138" i="1"/>
  <c r="AM138" i="1"/>
  <c r="AN138" i="1"/>
  <c r="AO138" i="1"/>
  <c r="AT138" i="1"/>
  <c r="AA138" i="1" s="1"/>
  <c r="AG139" i="1"/>
  <c r="AH139" i="1"/>
  <c r="AI139" i="1"/>
  <c r="AJ139" i="1"/>
  <c r="AK139" i="1"/>
  <c r="AL139" i="1"/>
  <c r="AM139" i="1"/>
  <c r="AN139" i="1"/>
  <c r="AO139" i="1"/>
  <c r="AT139" i="1"/>
  <c r="Y139" i="1" s="1"/>
  <c r="AG140" i="1"/>
  <c r="AH140" i="1"/>
  <c r="AI140" i="1"/>
  <c r="AJ140" i="1"/>
  <c r="AK140" i="1"/>
  <c r="AL140" i="1"/>
  <c r="AM140" i="1"/>
  <c r="AN140" i="1"/>
  <c r="AO140" i="1"/>
  <c r="AT140" i="1"/>
  <c r="AB140" i="1" s="1"/>
  <c r="AG141" i="1"/>
  <c r="AH141" i="1"/>
  <c r="AI141" i="1"/>
  <c r="AJ141" i="1"/>
  <c r="AK141" i="1"/>
  <c r="AL141" i="1"/>
  <c r="AM141" i="1"/>
  <c r="AN141" i="1"/>
  <c r="AO141" i="1"/>
  <c r="AT141" i="1"/>
  <c r="U141" i="1" s="1"/>
  <c r="AG142" i="1"/>
  <c r="AH142" i="1"/>
  <c r="AI142" i="1"/>
  <c r="AJ142" i="1"/>
  <c r="AK142" i="1"/>
  <c r="AL142" i="1"/>
  <c r="AM142" i="1"/>
  <c r="AN142" i="1"/>
  <c r="AO142" i="1"/>
  <c r="AT142" i="1"/>
  <c r="X142" i="1" s="1"/>
  <c r="AG143" i="1"/>
  <c r="AH143" i="1"/>
  <c r="AI143" i="1"/>
  <c r="AJ143" i="1"/>
  <c r="AK143" i="1"/>
  <c r="AL143" i="1"/>
  <c r="AM143" i="1"/>
  <c r="AN143" i="1"/>
  <c r="AO143" i="1"/>
  <c r="AT143" i="1"/>
  <c r="AA143" i="1" s="1"/>
  <c r="AG144" i="1"/>
  <c r="AH144" i="1"/>
  <c r="AI144" i="1"/>
  <c r="AJ144" i="1"/>
  <c r="AK144" i="1"/>
  <c r="AL144" i="1"/>
  <c r="AM144" i="1"/>
  <c r="AN144" i="1"/>
  <c r="AO144" i="1"/>
  <c r="AT144" i="1"/>
  <c r="AB144" i="1" s="1"/>
  <c r="AG145" i="1"/>
  <c r="AH145" i="1"/>
  <c r="AI145" i="1"/>
  <c r="AJ145" i="1"/>
  <c r="AK145" i="1"/>
  <c r="AL145" i="1"/>
  <c r="AM145" i="1"/>
  <c r="AN145" i="1"/>
  <c r="AO145" i="1"/>
  <c r="AT145" i="1"/>
  <c r="AC145" i="1" s="1"/>
  <c r="AG146" i="1"/>
  <c r="AH146" i="1"/>
  <c r="AI146" i="1"/>
  <c r="AJ146" i="1"/>
  <c r="AK146" i="1"/>
  <c r="AL146" i="1"/>
  <c r="AM146" i="1"/>
  <c r="AN146" i="1"/>
  <c r="AO146" i="1"/>
  <c r="AT146" i="1"/>
  <c r="AG147" i="1"/>
  <c r="AH147" i="1"/>
  <c r="AI147" i="1"/>
  <c r="AJ147" i="1"/>
  <c r="AK147" i="1"/>
  <c r="AL147" i="1"/>
  <c r="AM147" i="1"/>
  <c r="AN147" i="1"/>
  <c r="AO147" i="1"/>
  <c r="AT147" i="1"/>
  <c r="Y147" i="1" s="1"/>
  <c r="AG148" i="1"/>
  <c r="AH148" i="1"/>
  <c r="AI148" i="1"/>
  <c r="AJ148" i="1"/>
  <c r="AK148" i="1"/>
  <c r="AL148" i="1"/>
  <c r="AM148" i="1"/>
  <c r="AN148" i="1"/>
  <c r="AO148" i="1"/>
  <c r="AT148" i="1"/>
  <c r="AG149" i="1"/>
  <c r="AH149" i="1"/>
  <c r="AI149" i="1"/>
  <c r="AJ149" i="1"/>
  <c r="AK149" i="1"/>
  <c r="AL149" i="1"/>
  <c r="AM149" i="1"/>
  <c r="AN149" i="1"/>
  <c r="AO149" i="1"/>
  <c r="AT149" i="1"/>
  <c r="Y149" i="1" s="1"/>
  <c r="AG150" i="1"/>
  <c r="AH150" i="1"/>
  <c r="AI150" i="1"/>
  <c r="AJ150" i="1"/>
  <c r="AK150" i="1"/>
  <c r="AL150" i="1"/>
  <c r="AM150" i="1"/>
  <c r="AN150" i="1"/>
  <c r="AO150" i="1"/>
  <c r="AT150" i="1"/>
  <c r="AB150" i="1" s="1"/>
  <c r="AG151" i="1"/>
  <c r="AH151" i="1"/>
  <c r="AI151" i="1"/>
  <c r="AJ151" i="1"/>
  <c r="AK151" i="1"/>
  <c r="AL151" i="1"/>
  <c r="AM151" i="1"/>
  <c r="AN151" i="1"/>
  <c r="AO151" i="1"/>
  <c r="AT151" i="1"/>
  <c r="X151" i="1" s="1"/>
  <c r="AG152" i="1"/>
  <c r="AH152" i="1"/>
  <c r="AI152" i="1"/>
  <c r="AJ152" i="1"/>
  <c r="AK152" i="1"/>
  <c r="AL152" i="1"/>
  <c r="AM152" i="1"/>
  <c r="AN152" i="1"/>
  <c r="AO152" i="1"/>
  <c r="AT152" i="1"/>
  <c r="AG153" i="1"/>
  <c r="AH153" i="1"/>
  <c r="AI153" i="1"/>
  <c r="AJ153" i="1"/>
  <c r="AK153" i="1"/>
  <c r="AL153" i="1"/>
  <c r="AM153" i="1"/>
  <c r="AN153" i="1"/>
  <c r="AO153" i="1"/>
  <c r="AT153" i="1"/>
  <c r="AB153" i="1" s="1"/>
  <c r="AG154" i="1"/>
  <c r="AH154" i="1"/>
  <c r="AI154" i="1"/>
  <c r="AJ154" i="1"/>
  <c r="AK154" i="1"/>
  <c r="AL154" i="1"/>
  <c r="AM154" i="1"/>
  <c r="AN154" i="1"/>
  <c r="AO154" i="1"/>
  <c r="AT154" i="1"/>
  <c r="Y154" i="1" s="1"/>
  <c r="AG155" i="1"/>
  <c r="AH155" i="1"/>
  <c r="AI155" i="1"/>
  <c r="AJ155" i="1"/>
  <c r="AK155" i="1"/>
  <c r="AL155" i="1"/>
  <c r="AM155" i="1"/>
  <c r="AN155" i="1"/>
  <c r="AO155" i="1"/>
  <c r="AT155" i="1"/>
  <c r="X155" i="1" s="1"/>
  <c r="AG156" i="1"/>
  <c r="AH156" i="1"/>
  <c r="AI156" i="1"/>
  <c r="AJ156" i="1"/>
  <c r="AK156" i="1"/>
  <c r="AL156" i="1"/>
  <c r="AM156" i="1"/>
  <c r="AN156" i="1"/>
  <c r="AO156" i="1"/>
  <c r="AT156" i="1"/>
  <c r="X156" i="1" s="1"/>
  <c r="AG157" i="1"/>
  <c r="AH157" i="1"/>
  <c r="AI157" i="1"/>
  <c r="AJ157" i="1"/>
  <c r="AK157" i="1"/>
  <c r="AL157" i="1"/>
  <c r="AM157" i="1"/>
  <c r="AN157" i="1"/>
  <c r="AO157" i="1"/>
  <c r="AT157" i="1"/>
  <c r="AC157" i="1" s="1"/>
  <c r="AG158" i="1"/>
  <c r="AH158" i="1"/>
  <c r="AI158" i="1"/>
  <c r="AJ158" i="1"/>
  <c r="AK158" i="1"/>
  <c r="AL158" i="1"/>
  <c r="AM158" i="1"/>
  <c r="AN158" i="1"/>
  <c r="AO158" i="1"/>
  <c r="AT158" i="1"/>
  <c r="Y158" i="1" s="1"/>
  <c r="AG159" i="1"/>
  <c r="AH159" i="1"/>
  <c r="AI159" i="1"/>
  <c r="AJ159" i="1"/>
  <c r="AK159" i="1"/>
  <c r="AL159" i="1"/>
  <c r="AM159" i="1"/>
  <c r="AN159" i="1"/>
  <c r="AO159" i="1"/>
  <c r="AT159" i="1"/>
  <c r="X159" i="1" s="1"/>
  <c r="AG160" i="1"/>
  <c r="AH160" i="1"/>
  <c r="AI160" i="1"/>
  <c r="AJ160" i="1"/>
  <c r="AK160" i="1"/>
  <c r="AL160" i="1"/>
  <c r="AM160" i="1"/>
  <c r="AN160" i="1"/>
  <c r="AO160" i="1"/>
  <c r="AT160" i="1"/>
  <c r="AG161" i="1"/>
  <c r="AH161" i="1"/>
  <c r="AI161" i="1"/>
  <c r="AJ161" i="1"/>
  <c r="AK161" i="1"/>
  <c r="AL161" i="1"/>
  <c r="AM161" i="1"/>
  <c r="AN161" i="1"/>
  <c r="AO161" i="1"/>
  <c r="AT161" i="1"/>
  <c r="AA161" i="1" s="1"/>
  <c r="AG162" i="1"/>
  <c r="AH162" i="1"/>
  <c r="AI162" i="1"/>
  <c r="AJ162" i="1"/>
  <c r="AK162" i="1"/>
  <c r="AL162" i="1"/>
  <c r="AM162" i="1"/>
  <c r="AN162" i="1"/>
  <c r="AO162" i="1"/>
  <c r="AT162" i="1"/>
  <c r="Y162" i="1" s="1"/>
  <c r="AG163" i="1"/>
  <c r="AH163" i="1"/>
  <c r="AI163" i="1"/>
  <c r="AJ163" i="1"/>
  <c r="AK163" i="1"/>
  <c r="AL163" i="1"/>
  <c r="AM163" i="1"/>
  <c r="AN163" i="1"/>
  <c r="AO163" i="1"/>
  <c r="AT163" i="1"/>
  <c r="AB163" i="1" s="1"/>
  <c r="AG164" i="1"/>
  <c r="AH164" i="1"/>
  <c r="AI164" i="1"/>
  <c r="AJ164" i="1"/>
  <c r="AK164" i="1"/>
  <c r="AL164" i="1"/>
  <c r="AM164" i="1"/>
  <c r="AN164" i="1"/>
  <c r="AO164" i="1"/>
  <c r="AT164" i="1"/>
  <c r="AC164" i="1" s="1"/>
  <c r="AG165" i="1"/>
  <c r="AH165" i="1"/>
  <c r="AI165" i="1"/>
  <c r="AJ165" i="1"/>
  <c r="AK165" i="1"/>
  <c r="AL165" i="1"/>
  <c r="AM165" i="1"/>
  <c r="AN165" i="1"/>
  <c r="AO165" i="1"/>
  <c r="AT165" i="1"/>
  <c r="Z165" i="1" s="1"/>
  <c r="AG166" i="1"/>
  <c r="AH166" i="1"/>
  <c r="AI166" i="1"/>
  <c r="AJ166" i="1"/>
  <c r="AK166" i="1"/>
  <c r="AL166" i="1"/>
  <c r="AM166" i="1"/>
  <c r="AN166" i="1"/>
  <c r="AO166" i="1"/>
  <c r="AT166" i="1"/>
  <c r="AA166" i="1" s="1"/>
  <c r="AG167" i="1"/>
  <c r="AH167" i="1"/>
  <c r="AI167" i="1"/>
  <c r="AJ167" i="1"/>
  <c r="AK167" i="1"/>
  <c r="AL167" i="1"/>
  <c r="AM167" i="1"/>
  <c r="AN167" i="1"/>
  <c r="AO167" i="1"/>
  <c r="AT167" i="1"/>
  <c r="AG168" i="1"/>
  <c r="AH168" i="1"/>
  <c r="AI168" i="1"/>
  <c r="AJ168" i="1"/>
  <c r="AK168" i="1"/>
  <c r="AL168" i="1"/>
  <c r="AM168" i="1"/>
  <c r="AN168" i="1"/>
  <c r="AO168" i="1"/>
  <c r="AT168" i="1"/>
  <c r="AC168" i="1" s="1"/>
  <c r="AG169" i="1"/>
  <c r="AH169" i="1"/>
  <c r="AI169" i="1"/>
  <c r="AJ169" i="1"/>
  <c r="AK169" i="1"/>
  <c r="AL169" i="1"/>
  <c r="AM169" i="1"/>
  <c r="AN169" i="1"/>
  <c r="AO169" i="1"/>
  <c r="AT169" i="1"/>
  <c r="Z169" i="1" s="1"/>
  <c r="AG170" i="1"/>
  <c r="AH170" i="1"/>
  <c r="AI170" i="1"/>
  <c r="AJ170" i="1"/>
  <c r="AK170" i="1"/>
  <c r="AL170" i="1"/>
  <c r="AM170" i="1"/>
  <c r="AN170" i="1"/>
  <c r="AO170" i="1"/>
  <c r="AT170" i="1"/>
  <c r="Y170" i="1" s="1"/>
  <c r="AG171" i="1"/>
  <c r="AH171" i="1"/>
  <c r="AI171" i="1"/>
  <c r="AJ171" i="1"/>
  <c r="AK171" i="1"/>
  <c r="AL171" i="1"/>
  <c r="AM171" i="1"/>
  <c r="AN171" i="1"/>
  <c r="AO171" i="1"/>
  <c r="AT171" i="1"/>
  <c r="Y171" i="1" s="1"/>
  <c r="AG172" i="1"/>
  <c r="AH172" i="1"/>
  <c r="AI172" i="1"/>
  <c r="AJ172" i="1"/>
  <c r="AK172" i="1"/>
  <c r="AL172" i="1"/>
  <c r="AM172" i="1"/>
  <c r="AN172" i="1"/>
  <c r="AO172" i="1"/>
  <c r="AT172" i="1"/>
  <c r="AC172" i="1" s="1"/>
  <c r="AG173" i="1"/>
  <c r="AH173" i="1"/>
  <c r="AI173" i="1"/>
  <c r="AJ173" i="1"/>
  <c r="AK173" i="1"/>
  <c r="AL173" i="1"/>
  <c r="AM173" i="1"/>
  <c r="AN173" i="1"/>
  <c r="AO173" i="1"/>
  <c r="AT173" i="1"/>
  <c r="AG174" i="1"/>
  <c r="AH174" i="1"/>
  <c r="AI174" i="1"/>
  <c r="AJ174" i="1"/>
  <c r="AK174" i="1"/>
  <c r="AL174" i="1"/>
  <c r="AM174" i="1"/>
  <c r="AN174" i="1"/>
  <c r="AO174" i="1"/>
  <c r="AT174" i="1"/>
  <c r="AB174" i="1" s="1"/>
  <c r="AG175" i="1"/>
  <c r="AH175" i="1"/>
  <c r="AI175" i="1"/>
  <c r="AJ175" i="1"/>
  <c r="AK175" i="1"/>
  <c r="AL175" i="1"/>
  <c r="AM175" i="1"/>
  <c r="AN175" i="1"/>
  <c r="AO175" i="1"/>
  <c r="AT175" i="1"/>
  <c r="Z175" i="1" s="1"/>
  <c r="AG176" i="1"/>
  <c r="AH176" i="1"/>
  <c r="AI176" i="1"/>
  <c r="AJ176" i="1"/>
  <c r="AK176" i="1"/>
  <c r="AL176" i="1"/>
  <c r="AM176" i="1"/>
  <c r="AN176" i="1"/>
  <c r="AO176" i="1"/>
  <c r="AT176" i="1"/>
  <c r="U176" i="1" s="1"/>
  <c r="AG177" i="1"/>
  <c r="AH177" i="1"/>
  <c r="AI177" i="1"/>
  <c r="AJ177" i="1"/>
  <c r="AK177" i="1"/>
  <c r="AL177" i="1"/>
  <c r="AM177" i="1"/>
  <c r="AN177" i="1"/>
  <c r="AO177" i="1"/>
  <c r="AT177" i="1"/>
  <c r="X177" i="1" s="1"/>
  <c r="AG178" i="1"/>
  <c r="AH178" i="1"/>
  <c r="AI178" i="1"/>
  <c r="AJ178" i="1"/>
  <c r="AK178" i="1"/>
  <c r="AL178" i="1"/>
  <c r="AM178" i="1"/>
  <c r="AN178" i="1"/>
  <c r="AO178" i="1"/>
  <c r="AT178" i="1"/>
  <c r="AB178" i="1" s="1"/>
  <c r="AG179" i="1"/>
  <c r="AH179" i="1"/>
  <c r="AI179" i="1"/>
  <c r="AJ179" i="1"/>
  <c r="AK179" i="1"/>
  <c r="AL179" i="1"/>
  <c r="AM179" i="1"/>
  <c r="AN179" i="1"/>
  <c r="AO179" i="1"/>
  <c r="AT179" i="1"/>
  <c r="Z179" i="1" s="1"/>
  <c r="AG180" i="1"/>
  <c r="AH180" i="1"/>
  <c r="AI180" i="1"/>
  <c r="AJ180" i="1"/>
  <c r="AK180" i="1"/>
  <c r="AL180" i="1"/>
  <c r="AM180" i="1"/>
  <c r="AN180" i="1"/>
  <c r="AO180" i="1"/>
  <c r="AT180" i="1"/>
  <c r="AG181" i="1"/>
  <c r="AH181" i="1"/>
  <c r="AI181" i="1"/>
  <c r="AJ181" i="1"/>
  <c r="AK181" i="1"/>
  <c r="AL181" i="1"/>
  <c r="AM181" i="1"/>
  <c r="AN181" i="1"/>
  <c r="AO181" i="1"/>
  <c r="AT181" i="1"/>
  <c r="Y181" i="1" s="1"/>
  <c r="AG182" i="1"/>
  <c r="AH182" i="1"/>
  <c r="AI182" i="1"/>
  <c r="AJ182" i="1"/>
  <c r="AK182" i="1"/>
  <c r="AL182" i="1"/>
  <c r="AM182" i="1"/>
  <c r="AN182" i="1"/>
  <c r="AO182" i="1"/>
  <c r="AT182" i="1"/>
  <c r="Y182" i="1" s="1"/>
  <c r="AG183" i="1"/>
  <c r="AH183" i="1"/>
  <c r="AI183" i="1"/>
  <c r="AJ183" i="1"/>
  <c r="AK183" i="1"/>
  <c r="AL183" i="1"/>
  <c r="AM183" i="1"/>
  <c r="AN183" i="1"/>
  <c r="AO183" i="1"/>
  <c r="AT183" i="1"/>
  <c r="Y183" i="1" s="1"/>
  <c r="AG184" i="1"/>
  <c r="AH184" i="1"/>
  <c r="AI184" i="1"/>
  <c r="AJ184" i="1"/>
  <c r="AK184" i="1"/>
  <c r="AL184" i="1"/>
  <c r="AM184" i="1"/>
  <c r="AN184" i="1"/>
  <c r="AO184" i="1"/>
  <c r="AT184" i="1"/>
  <c r="X184" i="1" s="1"/>
  <c r="AG185" i="1"/>
  <c r="AH185" i="1"/>
  <c r="AI185" i="1"/>
  <c r="AJ185" i="1"/>
  <c r="AK185" i="1"/>
  <c r="AL185" i="1"/>
  <c r="AM185" i="1"/>
  <c r="AN185" i="1"/>
  <c r="AO185" i="1"/>
  <c r="AT185" i="1"/>
  <c r="X185" i="1" s="1"/>
  <c r="AG186" i="1"/>
  <c r="AH186" i="1"/>
  <c r="AI186" i="1"/>
  <c r="AJ186" i="1"/>
  <c r="AK186" i="1"/>
  <c r="AL186" i="1"/>
  <c r="AM186" i="1"/>
  <c r="AN186" i="1"/>
  <c r="AO186" i="1"/>
  <c r="AT186" i="1"/>
  <c r="X186" i="1" s="1"/>
  <c r="AG187" i="1"/>
  <c r="AH187" i="1"/>
  <c r="AI187" i="1"/>
  <c r="AJ187" i="1"/>
  <c r="AK187" i="1"/>
  <c r="AL187" i="1"/>
  <c r="AM187" i="1"/>
  <c r="AN187" i="1"/>
  <c r="AO187" i="1"/>
  <c r="AT187" i="1"/>
  <c r="U187" i="1" s="1"/>
  <c r="AG188" i="1"/>
  <c r="AH188" i="1"/>
  <c r="AI188" i="1"/>
  <c r="AJ188" i="1"/>
  <c r="AK188" i="1"/>
  <c r="AL188" i="1"/>
  <c r="AM188" i="1"/>
  <c r="AN188" i="1"/>
  <c r="AO188" i="1"/>
  <c r="AT188" i="1"/>
  <c r="Y188" i="1" s="1"/>
  <c r="AG189" i="1"/>
  <c r="AH189" i="1"/>
  <c r="AI189" i="1"/>
  <c r="AJ189" i="1"/>
  <c r="AK189" i="1"/>
  <c r="AL189" i="1"/>
  <c r="AM189" i="1"/>
  <c r="AN189" i="1"/>
  <c r="AO189" i="1"/>
  <c r="AT189" i="1"/>
  <c r="X189" i="1" s="1"/>
  <c r="AG190" i="1"/>
  <c r="AH190" i="1"/>
  <c r="AI190" i="1"/>
  <c r="AJ190" i="1"/>
  <c r="AK190" i="1"/>
  <c r="AL190" i="1"/>
  <c r="AM190" i="1"/>
  <c r="AN190" i="1"/>
  <c r="AO190" i="1"/>
  <c r="AT190" i="1"/>
  <c r="U190" i="1" s="1"/>
  <c r="AG191" i="1"/>
  <c r="AH191" i="1"/>
  <c r="AI191" i="1"/>
  <c r="AJ191" i="1"/>
  <c r="AK191" i="1"/>
  <c r="AL191" i="1"/>
  <c r="AM191" i="1"/>
  <c r="AN191" i="1"/>
  <c r="AO191" i="1"/>
  <c r="AT191" i="1"/>
  <c r="X191" i="1" s="1"/>
  <c r="AG192" i="1"/>
  <c r="AH192" i="1"/>
  <c r="AI192" i="1"/>
  <c r="AJ192" i="1"/>
  <c r="AK192" i="1"/>
  <c r="AL192" i="1"/>
  <c r="AM192" i="1"/>
  <c r="AN192" i="1"/>
  <c r="AO192" i="1"/>
  <c r="AT192" i="1"/>
  <c r="X192" i="1" s="1"/>
  <c r="AG193" i="1"/>
  <c r="AH193" i="1"/>
  <c r="AI193" i="1"/>
  <c r="AJ193" i="1"/>
  <c r="AK193" i="1"/>
  <c r="AL193" i="1"/>
  <c r="AM193" i="1"/>
  <c r="AN193" i="1"/>
  <c r="AO193" i="1"/>
  <c r="AT193" i="1"/>
  <c r="Y193" i="1" s="1"/>
  <c r="AG194" i="1"/>
  <c r="AH194" i="1"/>
  <c r="AI194" i="1"/>
  <c r="AJ194" i="1"/>
  <c r="AK194" i="1"/>
  <c r="AL194" i="1"/>
  <c r="AM194" i="1"/>
  <c r="AN194" i="1"/>
  <c r="AO194" i="1"/>
  <c r="AT194" i="1"/>
  <c r="AB194" i="1" s="1"/>
  <c r="AG195" i="1"/>
  <c r="AH195" i="1"/>
  <c r="AI195" i="1"/>
  <c r="AJ195" i="1"/>
  <c r="AK195" i="1"/>
  <c r="AL195" i="1"/>
  <c r="AM195" i="1"/>
  <c r="AN195" i="1"/>
  <c r="AO195" i="1"/>
  <c r="AT195" i="1"/>
  <c r="X195" i="1" s="1"/>
  <c r="AG196" i="1"/>
  <c r="AH196" i="1"/>
  <c r="AI196" i="1"/>
  <c r="AJ196" i="1"/>
  <c r="AK196" i="1"/>
  <c r="AL196" i="1"/>
  <c r="AM196" i="1"/>
  <c r="AN196" i="1"/>
  <c r="AO196" i="1"/>
  <c r="AT196" i="1"/>
  <c r="X196" i="1" s="1"/>
  <c r="AG197" i="1"/>
  <c r="AH197" i="1"/>
  <c r="AI197" i="1"/>
  <c r="AJ197" i="1"/>
  <c r="AK197" i="1"/>
  <c r="AL197" i="1"/>
  <c r="AM197" i="1"/>
  <c r="AN197" i="1"/>
  <c r="AO197" i="1"/>
  <c r="AT197" i="1"/>
  <c r="U197" i="1" s="1"/>
  <c r="AG198" i="1"/>
  <c r="AH198" i="1"/>
  <c r="AI198" i="1"/>
  <c r="AJ198" i="1"/>
  <c r="AK198" i="1"/>
  <c r="AL198" i="1"/>
  <c r="AM198" i="1"/>
  <c r="AN198" i="1"/>
  <c r="AO198" i="1"/>
  <c r="AT198" i="1"/>
  <c r="AB198" i="1" s="1"/>
  <c r="AG199" i="1"/>
  <c r="AH199" i="1"/>
  <c r="AI199" i="1"/>
  <c r="AJ199" i="1"/>
  <c r="AK199" i="1"/>
  <c r="AL199" i="1"/>
  <c r="AM199" i="1"/>
  <c r="AN199" i="1"/>
  <c r="AO199" i="1"/>
  <c r="AT199" i="1"/>
  <c r="X199" i="1" s="1"/>
  <c r="AG200" i="1"/>
  <c r="AH200" i="1"/>
  <c r="AI200" i="1"/>
  <c r="AJ200" i="1"/>
  <c r="AK200" i="1"/>
  <c r="AL200" i="1"/>
  <c r="AM200" i="1"/>
  <c r="AN200" i="1"/>
  <c r="AO200" i="1"/>
  <c r="AT200" i="1"/>
  <c r="AG201" i="1"/>
  <c r="AH201" i="1"/>
  <c r="AI201" i="1"/>
  <c r="AJ201" i="1"/>
  <c r="AK201" i="1"/>
  <c r="AL201" i="1"/>
  <c r="AM201" i="1"/>
  <c r="AN201" i="1"/>
  <c r="AO201" i="1"/>
  <c r="AT201" i="1"/>
  <c r="U201" i="1" s="1"/>
  <c r="AG202" i="1"/>
  <c r="AH202" i="1"/>
  <c r="AI202" i="1"/>
  <c r="AJ202" i="1"/>
  <c r="AK202" i="1"/>
  <c r="AL202" i="1"/>
  <c r="AM202" i="1"/>
  <c r="AN202" i="1"/>
  <c r="AO202" i="1"/>
  <c r="AT202" i="1"/>
  <c r="AB202" i="1" s="1"/>
  <c r="AG203" i="1"/>
  <c r="AH203" i="1"/>
  <c r="AI203" i="1"/>
  <c r="AJ203" i="1"/>
  <c r="AK203" i="1"/>
  <c r="AL203" i="1"/>
  <c r="AM203" i="1"/>
  <c r="AN203" i="1"/>
  <c r="AO203" i="1"/>
  <c r="AT203" i="1"/>
  <c r="Y203" i="1" s="1"/>
  <c r="AG204" i="1"/>
  <c r="AH204" i="1"/>
  <c r="AI204" i="1"/>
  <c r="AJ204" i="1"/>
  <c r="AK204" i="1"/>
  <c r="AL204" i="1"/>
  <c r="AM204" i="1"/>
  <c r="AN204" i="1"/>
  <c r="AO204" i="1"/>
  <c r="AT204" i="1"/>
  <c r="Y204" i="1" s="1"/>
  <c r="AG205" i="1"/>
  <c r="AH205" i="1"/>
  <c r="AI205" i="1"/>
  <c r="AJ205" i="1"/>
  <c r="AK205" i="1"/>
  <c r="AL205" i="1"/>
  <c r="AM205" i="1"/>
  <c r="AN205" i="1"/>
  <c r="AO205" i="1"/>
  <c r="AT205" i="1"/>
  <c r="X205" i="1" s="1"/>
  <c r="AG206" i="1"/>
  <c r="AH206" i="1"/>
  <c r="AI206" i="1"/>
  <c r="AJ206" i="1"/>
  <c r="AK206" i="1"/>
  <c r="AL206" i="1"/>
  <c r="AM206" i="1"/>
  <c r="AN206" i="1"/>
  <c r="AO206" i="1"/>
  <c r="AT206" i="1"/>
  <c r="X206" i="1" s="1"/>
  <c r="AG207" i="1"/>
  <c r="AH207" i="1"/>
  <c r="AI207" i="1"/>
  <c r="AJ207" i="1"/>
  <c r="AK207" i="1"/>
  <c r="AL207" i="1"/>
  <c r="AM207" i="1"/>
  <c r="AN207" i="1"/>
  <c r="AO207" i="1"/>
  <c r="AT207" i="1"/>
  <c r="Z207" i="1" s="1"/>
  <c r="AG208" i="1"/>
  <c r="AH208" i="1"/>
  <c r="AI208" i="1"/>
  <c r="AJ208" i="1"/>
  <c r="AK208" i="1"/>
  <c r="AL208" i="1"/>
  <c r="AM208" i="1"/>
  <c r="AN208" i="1"/>
  <c r="AO208" i="1"/>
  <c r="AT208" i="1"/>
  <c r="AA208" i="1" s="1"/>
  <c r="AG209" i="1"/>
  <c r="AH209" i="1"/>
  <c r="AI209" i="1"/>
  <c r="AJ209" i="1"/>
  <c r="AK209" i="1"/>
  <c r="AL209" i="1"/>
  <c r="AM209" i="1"/>
  <c r="AN209" i="1"/>
  <c r="AO209" i="1"/>
  <c r="AT209" i="1"/>
  <c r="AG210" i="1"/>
  <c r="AH210" i="1"/>
  <c r="AI210" i="1"/>
  <c r="AJ210" i="1"/>
  <c r="AK210" i="1"/>
  <c r="AL210" i="1"/>
  <c r="AM210" i="1"/>
  <c r="AN210" i="1"/>
  <c r="AO210" i="1"/>
  <c r="AT210" i="1"/>
  <c r="Y210" i="1" s="1"/>
  <c r="AG211" i="1"/>
  <c r="AH211" i="1"/>
  <c r="AI211" i="1"/>
  <c r="AJ211" i="1"/>
  <c r="AK211" i="1"/>
  <c r="AL211" i="1"/>
  <c r="AM211" i="1"/>
  <c r="AN211" i="1"/>
  <c r="AO211" i="1"/>
  <c r="AT211" i="1"/>
  <c r="AG212" i="1"/>
  <c r="AH212" i="1"/>
  <c r="AI212" i="1"/>
  <c r="AJ212" i="1"/>
  <c r="AK212" i="1"/>
  <c r="AL212" i="1"/>
  <c r="AM212" i="1"/>
  <c r="AN212" i="1"/>
  <c r="AO212" i="1"/>
  <c r="AT212" i="1"/>
  <c r="Y212" i="1" s="1"/>
  <c r="AG213" i="1"/>
  <c r="AH213" i="1"/>
  <c r="AI213" i="1"/>
  <c r="AJ213" i="1"/>
  <c r="AK213" i="1"/>
  <c r="AL213" i="1"/>
  <c r="AM213" i="1"/>
  <c r="AN213" i="1"/>
  <c r="AO213" i="1"/>
  <c r="AT213" i="1"/>
  <c r="AA213" i="1" s="1"/>
  <c r="AG214" i="1"/>
  <c r="AH214" i="1"/>
  <c r="AI214" i="1"/>
  <c r="AJ214" i="1"/>
  <c r="AK214" i="1"/>
  <c r="AL214" i="1"/>
  <c r="AM214" i="1"/>
  <c r="AN214" i="1"/>
  <c r="AO214" i="1"/>
  <c r="AT214" i="1"/>
  <c r="U214" i="1" s="1"/>
  <c r="AG215" i="1"/>
  <c r="AH215" i="1"/>
  <c r="AI215" i="1"/>
  <c r="AJ215" i="1"/>
  <c r="AK215" i="1"/>
  <c r="AL215" i="1"/>
  <c r="AM215" i="1"/>
  <c r="AN215" i="1"/>
  <c r="AO215" i="1"/>
  <c r="AT215" i="1"/>
  <c r="AB215" i="1" s="1"/>
  <c r="AG216" i="1"/>
  <c r="AH216" i="1"/>
  <c r="AI216" i="1"/>
  <c r="AJ216" i="1"/>
  <c r="AK216" i="1"/>
  <c r="AL216" i="1"/>
  <c r="AM216" i="1"/>
  <c r="AN216" i="1"/>
  <c r="AO216" i="1"/>
  <c r="AT216" i="1"/>
  <c r="U216" i="1" s="1"/>
  <c r="AG217" i="1"/>
  <c r="AH217" i="1"/>
  <c r="AI217" i="1"/>
  <c r="AJ217" i="1"/>
  <c r="AK217" i="1"/>
  <c r="AL217" i="1"/>
  <c r="AM217" i="1"/>
  <c r="AN217" i="1"/>
  <c r="AO217" i="1"/>
  <c r="AT217" i="1"/>
  <c r="AG218" i="1"/>
  <c r="AH218" i="1"/>
  <c r="AI218" i="1"/>
  <c r="AJ218" i="1"/>
  <c r="AK218" i="1"/>
  <c r="AL218" i="1"/>
  <c r="AM218" i="1"/>
  <c r="AN218" i="1"/>
  <c r="AO218" i="1"/>
  <c r="AT218" i="1"/>
  <c r="AC218" i="1" s="1"/>
  <c r="AG219" i="1"/>
  <c r="AH219" i="1"/>
  <c r="AI219" i="1"/>
  <c r="AJ219" i="1"/>
  <c r="AK219" i="1"/>
  <c r="AL219" i="1"/>
  <c r="AM219" i="1"/>
  <c r="AN219" i="1"/>
  <c r="AO219" i="1"/>
  <c r="AT219" i="1"/>
  <c r="Z219" i="1" s="1"/>
  <c r="AG220" i="1"/>
  <c r="AH220" i="1"/>
  <c r="AI220" i="1"/>
  <c r="AJ220" i="1"/>
  <c r="AK220" i="1"/>
  <c r="AL220" i="1"/>
  <c r="AM220" i="1"/>
  <c r="AN220" i="1"/>
  <c r="AO220" i="1"/>
  <c r="AT220" i="1"/>
  <c r="AC220" i="1" s="1"/>
  <c r="AG221" i="1"/>
  <c r="AH221" i="1"/>
  <c r="AI221" i="1"/>
  <c r="AJ221" i="1"/>
  <c r="AK221" i="1"/>
  <c r="AL221" i="1"/>
  <c r="AM221" i="1"/>
  <c r="AN221" i="1"/>
  <c r="AO221" i="1"/>
  <c r="AT221" i="1"/>
  <c r="U221" i="1" s="1"/>
  <c r="AG222" i="1"/>
  <c r="AH222" i="1"/>
  <c r="AI222" i="1"/>
  <c r="AJ222" i="1"/>
  <c r="AK222" i="1"/>
  <c r="AL222" i="1"/>
  <c r="AM222" i="1"/>
  <c r="AN222" i="1"/>
  <c r="AO222" i="1"/>
  <c r="AT222" i="1"/>
  <c r="X222" i="1" s="1"/>
  <c r="AG223" i="1"/>
  <c r="AH223" i="1"/>
  <c r="AI223" i="1"/>
  <c r="AJ223" i="1"/>
  <c r="AK223" i="1"/>
  <c r="AL223" i="1"/>
  <c r="AM223" i="1"/>
  <c r="AN223" i="1"/>
  <c r="AO223" i="1"/>
  <c r="AT223" i="1"/>
  <c r="U223" i="1" s="1"/>
  <c r="AG224" i="1"/>
  <c r="AH224" i="1"/>
  <c r="AI224" i="1"/>
  <c r="AJ224" i="1"/>
  <c r="AK224" i="1"/>
  <c r="AL224" i="1"/>
  <c r="AM224" i="1"/>
  <c r="AN224" i="1"/>
  <c r="AO224" i="1"/>
  <c r="AT224" i="1"/>
  <c r="Y224" i="1" s="1"/>
  <c r="AG225" i="1"/>
  <c r="AH225" i="1"/>
  <c r="AI225" i="1"/>
  <c r="AJ225" i="1"/>
  <c r="AK225" i="1"/>
  <c r="AL225" i="1"/>
  <c r="AM225" i="1"/>
  <c r="AN225" i="1"/>
  <c r="AO225" i="1"/>
  <c r="AT225" i="1"/>
  <c r="Y225" i="1" s="1"/>
  <c r="AG226" i="1"/>
  <c r="AH226" i="1"/>
  <c r="AI226" i="1"/>
  <c r="AJ226" i="1"/>
  <c r="AK226" i="1"/>
  <c r="AL226" i="1"/>
  <c r="AM226" i="1"/>
  <c r="AN226" i="1"/>
  <c r="AO226" i="1"/>
  <c r="AT226" i="1"/>
  <c r="AG227" i="1"/>
  <c r="AH227" i="1"/>
  <c r="AI227" i="1"/>
  <c r="AJ227" i="1"/>
  <c r="AK227" i="1"/>
  <c r="AL227" i="1"/>
  <c r="AM227" i="1"/>
  <c r="AN227" i="1"/>
  <c r="AO227" i="1"/>
  <c r="AT227" i="1"/>
  <c r="U227" i="1" s="1"/>
  <c r="AG228" i="1"/>
  <c r="AH228" i="1"/>
  <c r="AI228" i="1"/>
  <c r="AJ228" i="1"/>
  <c r="AK228" i="1"/>
  <c r="AL228" i="1"/>
  <c r="AM228" i="1"/>
  <c r="AN228" i="1"/>
  <c r="AO228" i="1"/>
  <c r="AT228" i="1"/>
  <c r="X228" i="1" s="1"/>
  <c r="AG229" i="1"/>
  <c r="AH229" i="1"/>
  <c r="AI229" i="1"/>
  <c r="AJ229" i="1"/>
  <c r="AK229" i="1"/>
  <c r="AL229" i="1"/>
  <c r="AM229" i="1"/>
  <c r="AN229" i="1"/>
  <c r="AO229" i="1"/>
  <c r="AT229" i="1"/>
  <c r="Z229" i="1" s="1"/>
  <c r="AG230" i="1"/>
  <c r="AH230" i="1"/>
  <c r="AI230" i="1"/>
  <c r="AJ230" i="1"/>
  <c r="AK230" i="1"/>
  <c r="AL230" i="1"/>
  <c r="AM230" i="1"/>
  <c r="AN230" i="1"/>
  <c r="AO230" i="1"/>
  <c r="AT230" i="1"/>
  <c r="Z230" i="1" s="1"/>
  <c r="AG231" i="1"/>
  <c r="AH231" i="1"/>
  <c r="AI231" i="1"/>
  <c r="AJ231" i="1"/>
  <c r="AK231" i="1"/>
  <c r="AL231" i="1"/>
  <c r="AM231" i="1"/>
  <c r="AN231" i="1"/>
  <c r="AO231" i="1"/>
  <c r="AT231" i="1"/>
  <c r="X231" i="1" s="1"/>
  <c r="AG232" i="1"/>
  <c r="AH232" i="1"/>
  <c r="AI232" i="1"/>
  <c r="AJ232" i="1"/>
  <c r="AK232" i="1"/>
  <c r="AL232" i="1"/>
  <c r="AM232" i="1"/>
  <c r="AN232" i="1"/>
  <c r="AO232" i="1"/>
  <c r="AT232" i="1"/>
  <c r="Z232" i="1" s="1"/>
  <c r="AG233" i="1"/>
  <c r="AH233" i="1"/>
  <c r="AI233" i="1"/>
  <c r="AJ233" i="1"/>
  <c r="AK233" i="1"/>
  <c r="AL233" i="1"/>
  <c r="AM233" i="1"/>
  <c r="AN233" i="1"/>
  <c r="AO233" i="1"/>
  <c r="AT233" i="1"/>
  <c r="AG234" i="1"/>
  <c r="AH234" i="1"/>
  <c r="AI234" i="1"/>
  <c r="AJ234" i="1"/>
  <c r="AK234" i="1"/>
  <c r="AL234" i="1"/>
  <c r="AM234" i="1"/>
  <c r="AN234" i="1"/>
  <c r="AO234" i="1"/>
  <c r="AT234" i="1"/>
  <c r="U234" i="1" s="1"/>
  <c r="AG235" i="1"/>
  <c r="AH235" i="1"/>
  <c r="AI235" i="1"/>
  <c r="AJ235" i="1"/>
  <c r="AK235" i="1"/>
  <c r="AL235" i="1"/>
  <c r="AM235" i="1"/>
  <c r="AN235" i="1"/>
  <c r="AO235" i="1"/>
  <c r="AT235" i="1"/>
  <c r="Z235" i="1" s="1"/>
  <c r="AG236" i="1"/>
  <c r="AH236" i="1"/>
  <c r="AI236" i="1"/>
  <c r="AJ236" i="1"/>
  <c r="AK236" i="1"/>
  <c r="AL236" i="1"/>
  <c r="AM236" i="1"/>
  <c r="AN236" i="1"/>
  <c r="AO236" i="1"/>
  <c r="AT236" i="1"/>
  <c r="X236" i="1" s="1"/>
  <c r="AG237" i="1"/>
  <c r="AH237" i="1"/>
  <c r="AI237" i="1"/>
  <c r="AJ237" i="1"/>
  <c r="AK237" i="1"/>
  <c r="AL237" i="1"/>
  <c r="AM237" i="1"/>
  <c r="AN237" i="1"/>
  <c r="AO237" i="1"/>
  <c r="AT237" i="1"/>
  <c r="AA237" i="1" s="1"/>
  <c r="AG238" i="1"/>
  <c r="AH238" i="1"/>
  <c r="AI238" i="1"/>
  <c r="AJ238" i="1"/>
  <c r="AK238" i="1"/>
  <c r="AL238" i="1"/>
  <c r="AM238" i="1"/>
  <c r="AN238" i="1"/>
  <c r="AO238" i="1"/>
  <c r="AT238" i="1"/>
  <c r="AC238" i="1" s="1"/>
  <c r="AG239" i="1"/>
  <c r="AH239" i="1"/>
  <c r="AI239" i="1"/>
  <c r="AJ239" i="1"/>
  <c r="AK239" i="1"/>
  <c r="AL239" i="1"/>
  <c r="AM239" i="1"/>
  <c r="AN239" i="1"/>
  <c r="AO239" i="1"/>
  <c r="AT239" i="1"/>
  <c r="X239" i="1" s="1"/>
  <c r="AG240" i="1"/>
  <c r="AH240" i="1"/>
  <c r="AI240" i="1"/>
  <c r="AJ240" i="1"/>
  <c r="AK240" i="1"/>
  <c r="AL240" i="1"/>
  <c r="AM240" i="1"/>
  <c r="AN240" i="1"/>
  <c r="AO240" i="1"/>
  <c r="AT240" i="1"/>
  <c r="AC240" i="1" s="1"/>
  <c r="AG241" i="1"/>
  <c r="AH241" i="1"/>
  <c r="AI241" i="1"/>
  <c r="AJ241" i="1"/>
  <c r="AK241" i="1"/>
  <c r="AL241" i="1"/>
  <c r="AM241" i="1"/>
  <c r="AN241" i="1"/>
  <c r="AO241" i="1"/>
  <c r="AT241" i="1"/>
  <c r="X241" i="1" s="1"/>
  <c r="AG242" i="1"/>
  <c r="AH242" i="1"/>
  <c r="AI242" i="1"/>
  <c r="AJ242" i="1"/>
  <c r="AK242" i="1"/>
  <c r="AL242" i="1"/>
  <c r="AM242" i="1"/>
  <c r="AN242" i="1"/>
  <c r="AO242" i="1"/>
  <c r="AT242" i="1"/>
  <c r="U242" i="1" s="1"/>
  <c r="AG243" i="1"/>
  <c r="AH243" i="1"/>
  <c r="AI243" i="1"/>
  <c r="AJ243" i="1"/>
  <c r="AK243" i="1"/>
  <c r="AL243" i="1"/>
  <c r="AM243" i="1"/>
  <c r="AN243" i="1"/>
  <c r="AO243" i="1"/>
  <c r="AT243" i="1"/>
  <c r="AB243" i="1" s="1"/>
  <c r="AG244" i="1"/>
  <c r="AH244" i="1"/>
  <c r="AI244" i="1"/>
  <c r="AJ244" i="1"/>
  <c r="AK244" i="1"/>
  <c r="AL244" i="1"/>
  <c r="AM244" i="1"/>
  <c r="AN244" i="1"/>
  <c r="AO244" i="1"/>
  <c r="AT244" i="1"/>
  <c r="AG245" i="1"/>
  <c r="AH245" i="1"/>
  <c r="AI245" i="1"/>
  <c r="AJ245" i="1"/>
  <c r="AK245" i="1"/>
  <c r="AL245" i="1"/>
  <c r="AM245" i="1"/>
  <c r="AN245" i="1"/>
  <c r="AO245" i="1"/>
  <c r="AT245" i="1"/>
  <c r="X245" i="1" s="1"/>
  <c r="AG246" i="1"/>
  <c r="AH246" i="1"/>
  <c r="AI246" i="1"/>
  <c r="AJ246" i="1"/>
  <c r="AK246" i="1"/>
  <c r="AL246" i="1"/>
  <c r="AM246" i="1"/>
  <c r="AN246" i="1"/>
  <c r="AO246" i="1"/>
  <c r="AT246" i="1"/>
  <c r="AG247" i="1"/>
  <c r="AH247" i="1"/>
  <c r="AI247" i="1"/>
  <c r="AJ247" i="1"/>
  <c r="AK247" i="1"/>
  <c r="AL247" i="1"/>
  <c r="AM247" i="1"/>
  <c r="AN247" i="1"/>
  <c r="AO247" i="1"/>
  <c r="AT247" i="1"/>
  <c r="Y247" i="1" s="1"/>
  <c r="AG248" i="1"/>
  <c r="AH248" i="1"/>
  <c r="AI248" i="1"/>
  <c r="AJ248" i="1"/>
  <c r="AK248" i="1"/>
  <c r="AL248" i="1"/>
  <c r="AM248" i="1"/>
  <c r="AN248" i="1"/>
  <c r="AO248" i="1"/>
  <c r="AT248" i="1"/>
  <c r="AB248" i="1" s="1"/>
  <c r="AG249" i="1"/>
  <c r="AH249" i="1"/>
  <c r="AI249" i="1"/>
  <c r="AJ249" i="1"/>
  <c r="AK249" i="1"/>
  <c r="AL249" i="1"/>
  <c r="AM249" i="1"/>
  <c r="AN249" i="1"/>
  <c r="AO249" i="1"/>
  <c r="AT249" i="1"/>
  <c r="X249" i="1" s="1"/>
  <c r="AG250" i="1"/>
  <c r="AH250" i="1"/>
  <c r="AI250" i="1"/>
  <c r="AJ250" i="1"/>
  <c r="AK250" i="1"/>
  <c r="AL250" i="1"/>
  <c r="AM250" i="1"/>
  <c r="AN250" i="1"/>
  <c r="AO250" i="1"/>
  <c r="AT250" i="1"/>
  <c r="Z250" i="1" s="1"/>
  <c r="AG251" i="1"/>
  <c r="AH251" i="1"/>
  <c r="AI251" i="1"/>
  <c r="AJ251" i="1"/>
  <c r="AK251" i="1"/>
  <c r="AL251" i="1"/>
  <c r="AM251" i="1"/>
  <c r="AN251" i="1"/>
  <c r="AO251" i="1"/>
  <c r="AT251" i="1"/>
  <c r="AG252" i="1"/>
  <c r="AH252" i="1"/>
  <c r="AI252" i="1"/>
  <c r="AJ252" i="1"/>
  <c r="AK252" i="1"/>
  <c r="AL252" i="1"/>
  <c r="AM252" i="1"/>
  <c r="AN252" i="1"/>
  <c r="AO252" i="1"/>
  <c r="AT252" i="1"/>
  <c r="X252" i="1" s="1"/>
  <c r="AG253" i="1"/>
  <c r="AH253" i="1"/>
  <c r="AI253" i="1"/>
  <c r="AJ253" i="1"/>
  <c r="AK253" i="1"/>
  <c r="AL253" i="1"/>
  <c r="AM253" i="1"/>
  <c r="AN253" i="1"/>
  <c r="AO253" i="1"/>
  <c r="AT253" i="1"/>
  <c r="AG254" i="1"/>
  <c r="AH254" i="1"/>
  <c r="AI254" i="1"/>
  <c r="AJ254" i="1"/>
  <c r="AK254" i="1"/>
  <c r="AL254" i="1"/>
  <c r="AM254" i="1"/>
  <c r="AN254" i="1"/>
  <c r="AO254" i="1"/>
  <c r="AT254" i="1"/>
  <c r="AG255" i="1"/>
  <c r="AH255" i="1"/>
  <c r="AI255" i="1"/>
  <c r="AJ255" i="1"/>
  <c r="AK255" i="1"/>
  <c r="AL255" i="1"/>
  <c r="AM255" i="1"/>
  <c r="AN255" i="1"/>
  <c r="AO255" i="1"/>
  <c r="AT255" i="1"/>
  <c r="AG256" i="1"/>
  <c r="AH256" i="1"/>
  <c r="AI256" i="1"/>
  <c r="AJ256" i="1"/>
  <c r="AK256" i="1"/>
  <c r="AL256" i="1"/>
  <c r="AM256" i="1"/>
  <c r="AN256" i="1"/>
  <c r="AO256" i="1"/>
  <c r="AT256" i="1"/>
  <c r="AG257" i="1"/>
  <c r="AH257" i="1"/>
  <c r="AI257" i="1"/>
  <c r="AJ257" i="1"/>
  <c r="AK257" i="1"/>
  <c r="AL257" i="1"/>
  <c r="AM257" i="1"/>
  <c r="AN257" i="1"/>
  <c r="AO257" i="1"/>
  <c r="AT257" i="1"/>
  <c r="AG258" i="1"/>
  <c r="AH258" i="1"/>
  <c r="AI258" i="1"/>
  <c r="AJ258" i="1"/>
  <c r="AK258" i="1"/>
  <c r="AL258" i="1"/>
  <c r="AM258" i="1"/>
  <c r="AN258" i="1"/>
  <c r="AO258" i="1"/>
  <c r="AT258" i="1"/>
  <c r="AG259" i="1"/>
  <c r="AH259" i="1"/>
  <c r="AI259" i="1"/>
  <c r="AJ259" i="1"/>
  <c r="AK259" i="1"/>
  <c r="AL259" i="1"/>
  <c r="AM259" i="1"/>
  <c r="AN259" i="1"/>
  <c r="AO259" i="1"/>
  <c r="AT259" i="1"/>
  <c r="AG260" i="1"/>
  <c r="AH260" i="1"/>
  <c r="AI260" i="1"/>
  <c r="AJ260" i="1"/>
  <c r="AK260" i="1"/>
  <c r="AL260" i="1"/>
  <c r="AM260" i="1"/>
  <c r="AN260" i="1"/>
  <c r="AO260" i="1"/>
  <c r="AT260" i="1"/>
  <c r="AG261" i="1"/>
  <c r="AH261" i="1"/>
  <c r="AI261" i="1"/>
  <c r="AJ261" i="1"/>
  <c r="AK261" i="1"/>
  <c r="AL261" i="1"/>
  <c r="AM261" i="1"/>
  <c r="AN261" i="1"/>
  <c r="AO261" i="1"/>
  <c r="AT261" i="1"/>
  <c r="AG262" i="1"/>
  <c r="AH262" i="1"/>
  <c r="AI262" i="1"/>
  <c r="AJ262" i="1"/>
  <c r="AK262" i="1"/>
  <c r="AL262" i="1"/>
  <c r="AM262" i="1"/>
  <c r="AN262" i="1"/>
  <c r="AO262" i="1"/>
  <c r="AT262" i="1"/>
  <c r="AG263" i="1"/>
  <c r="AH263" i="1"/>
  <c r="AI263" i="1"/>
  <c r="AJ263" i="1"/>
  <c r="AK263" i="1"/>
  <c r="AL263" i="1"/>
  <c r="AM263" i="1"/>
  <c r="AN263" i="1"/>
  <c r="AO263" i="1"/>
  <c r="AT263" i="1"/>
  <c r="AG264" i="1"/>
  <c r="AH264" i="1"/>
  <c r="AI264" i="1"/>
  <c r="AJ264" i="1"/>
  <c r="AK264" i="1"/>
  <c r="AL264" i="1"/>
  <c r="AM264" i="1"/>
  <c r="AN264" i="1"/>
  <c r="AO264" i="1"/>
  <c r="AT264" i="1"/>
  <c r="AG265" i="1"/>
  <c r="AH265" i="1"/>
  <c r="AI265" i="1"/>
  <c r="AJ265" i="1"/>
  <c r="AK265" i="1"/>
  <c r="AL265" i="1"/>
  <c r="AM265" i="1"/>
  <c r="AN265" i="1"/>
  <c r="AO265" i="1"/>
  <c r="AT265" i="1"/>
  <c r="AG266" i="1"/>
  <c r="AH266" i="1"/>
  <c r="AI266" i="1"/>
  <c r="AJ266" i="1"/>
  <c r="AK266" i="1"/>
  <c r="AL266" i="1"/>
  <c r="AM266" i="1"/>
  <c r="AN266" i="1"/>
  <c r="AO266" i="1"/>
  <c r="AT266" i="1"/>
  <c r="AG267" i="1"/>
  <c r="AH267" i="1"/>
  <c r="AI267" i="1"/>
  <c r="AJ267" i="1"/>
  <c r="AK267" i="1"/>
  <c r="AL267" i="1"/>
  <c r="AM267" i="1"/>
  <c r="AN267" i="1"/>
  <c r="AO267" i="1"/>
  <c r="AT267" i="1"/>
  <c r="AG268" i="1"/>
  <c r="AH268" i="1"/>
  <c r="AI268" i="1"/>
  <c r="AJ268" i="1"/>
  <c r="AK268" i="1"/>
  <c r="AL268" i="1"/>
  <c r="AM268" i="1"/>
  <c r="AN268" i="1"/>
  <c r="AO268" i="1"/>
  <c r="AT268" i="1"/>
  <c r="AG269" i="1"/>
  <c r="AH269" i="1"/>
  <c r="AI269" i="1"/>
  <c r="AJ269" i="1"/>
  <c r="AK269" i="1"/>
  <c r="AL269" i="1"/>
  <c r="AM269" i="1"/>
  <c r="AN269" i="1"/>
  <c r="AO269" i="1"/>
  <c r="AT269" i="1"/>
  <c r="AG270" i="1"/>
  <c r="AH270" i="1"/>
  <c r="AI270" i="1"/>
  <c r="AJ270" i="1"/>
  <c r="AK270" i="1"/>
  <c r="AL270" i="1"/>
  <c r="AM270" i="1"/>
  <c r="AN270" i="1"/>
  <c r="AO270" i="1"/>
  <c r="AT270" i="1"/>
  <c r="AG271" i="1"/>
  <c r="AH271" i="1"/>
  <c r="AI271" i="1"/>
  <c r="AJ271" i="1"/>
  <c r="AK271" i="1"/>
  <c r="AL271" i="1"/>
  <c r="AM271" i="1"/>
  <c r="AN271" i="1"/>
  <c r="AO271" i="1"/>
  <c r="AT271" i="1"/>
  <c r="AG272" i="1"/>
  <c r="AH272" i="1"/>
  <c r="AI272" i="1"/>
  <c r="AJ272" i="1"/>
  <c r="AK272" i="1"/>
  <c r="AL272" i="1"/>
  <c r="AM272" i="1"/>
  <c r="AN272" i="1"/>
  <c r="AO272" i="1"/>
  <c r="AT272" i="1"/>
  <c r="AG273" i="1"/>
  <c r="AH273" i="1"/>
  <c r="AI273" i="1"/>
  <c r="AJ273" i="1"/>
  <c r="AK273" i="1"/>
  <c r="AL273" i="1"/>
  <c r="AM273" i="1"/>
  <c r="AN273" i="1"/>
  <c r="AO273" i="1"/>
  <c r="AT273" i="1"/>
  <c r="AG274" i="1"/>
  <c r="AH274" i="1"/>
  <c r="AI274" i="1"/>
  <c r="AJ274" i="1"/>
  <c r="AK274" i="1"/>
  <c r="AL274" i="1"/>
  <c r="AM274" i="1"/>
  <c r="AN274" i="1"/>
  <c r="AO274" i="1"/>
  <c r="AT274" i="1"/>
  <c r="AG275" i="1"/>
  <c r="AH275" i="1"/>
  <c r="AI275" i="1"/>
  <c r="AJ275" i="1"/>
  <c r="AK275" i="1"/>
  <c r="AL275" i="1"/>
  <c r="AM275" i="1"/>
  <c r="AN275" i="1"/>
  <c r="AO275" i="1"/>
  <c r="AT275" i="1"/>
  <c r="AG276" i="1"/>
  <c r="AH276" i="1"/>
  <c r="AI276" i="1"/>
  <c r="AJ276" i="1"/>
  <c r="AK276" i="1"/>
  <c r="AL276" i="1"/>
  <c r="AM276" i="1"/>
  <c r="AN276" i="1"/>
  <c r="AO276" i="1"/>
  <c r="AT276" i="1"/>
  <c r="AG277" i="1"/>
  <c r="AH277" i="1"/>
  <c r="AI277" i="1"/>
  <c r="AJ277" i="1"/>
  <c r="AK277" i="1"/>
  <c r="AL277" i="1"/>
  <c r="AM277" i="1"/>
  <c r="AN277" i="1"/>
  <c r="AO277" i="1"/>
  <c r="AT277" i="1"/>
  <c r="AG278" i="1"/>
  <c r="AH278" i="1"/>
  <c r="AI278" i="1"/>
  <c r="AJ278" i="1"/>
  <c r="AK278" i="1"/>
  <c r="AL278" i="1"/>
  <c r="AM278" i="1"/>
  <c r="AN278" i="1"/>
  <c r="AO278" i="1"/>
  <c r="AT278" i="1"/>
  <c r="AG279" i="1"/>
  <c r="AH279" i="1"/>
  <c r="AI279" i="1"/>
  <c r="AJ279" i="1"/>
  <c r="AK279" i="1"/>
  <c r="AL279" i="1"/>
  <c r="AM279" i="1"/>
  <c r="AN279" i="1"/>
  <c r="AO279" i="1"/>
  <c r="AT279" i="1"/>
  <c r="AG280" i="1"/>
  <c r="AH280" i="1"/>
  <c r="AI280" i="1"/>
  <c r="AJ280" i="1"/>
  <c r="AK280" i="1"/>
  <c r="AL280" i="1"/>
  <c r="AM280" i="1"/>
  <c r="AN280" i="1"/>
  <c r="AO280" i="1"/>
  <c r="AT280" i="1"/>
  <c r="AG281" i="1"/>
  <c r="AH281" i="1"/>
  <c r="AI281" i="1"/>
  <c r="AJ281" i="1"/>
  <c r="AK281" i="1"/>
  <c r="AL281" i="1"/>
  <c r="AM281" i="1"/>
  <c r="AN281" i="1"/>
  <c r="AO281" i="1"/>
  <c r="AT281" i="1"/>
  <c r="AG282" i="1"/>
  <c r="AH282" i="1"/>
  <c r="AI282" i="1"/>
  <c r="AJ282" i="1"/>
  <c r="AK282" i="1"/>
  <c r="AL282" i="1"/>
  <c r="AM282" i="1"/>
  <c r="AN282" i="1"/>
  <c r="AO282" i="1"/>
  <c r="AT282" i="1"/>
  <c r="AG283" i="1"/>
  <c r="AH283" i="1"/>
  <c r="AI283" i="1"/>
  <c r="AJ283" i="1"/>
  <c r="AK283" i="1"/>
  <c r="AL283" i="1"/>
  <c r="AM283" i="1"/>
  <c r="AN283" i="1"/>
  <c r="AO283" i="1"/>
  <c r="AT283" i="1"/>
  <c r="AG284" i="1"/>
  <c r="AH284" i="1"/>
  <c r="AI284" i="1"/>
  <c r="AJ284" i="1"/>
  <c r="AK284" i="1"/>
  <c r="AL284" i="1"/>
  <c r="AM284" i="1"/>
  <c r="AN284" i="1"/>
  <c r="AO284" i="1"/>
  <c r="AT284" i="1"/>
  <c r="AG285" i="1"/>
  <c r="AH285" i="1"/>
  <c r="AI285" i="1"/>
  <c r="AJ285" i="1"/>
  <c r="AK285" i="1"/>
  <c r="AL285" i="1"/>
  <c r="AM285" i="1"/>
  <c r="AN285" i="1"/>
  <c r="AO285" i="1"/>
  <c r="AT285" i="1"/>
  <c r="AG286" i="1"/>
  <c r="AH286" i="1"/>
  <c r="AI286" i="1"/>
  <c r="AJ286" i="1"/>
  <c r="AK286" i="1"/>
  <c r="AL286" i="1"/>
  <c r="AM286" i="1"/>
  <c r="AN286" i="1"/>
  <c r="AO286" i="1"/>
  <c r="AT286" i="1"/>
  <c r="AG287" i="1"/>
  <c r="AH287" i="1"/>
  <c r="AI287" i="1"/>
  <c r="AJ287" i="1"/>
  <c r="AK287" i="1"/>
  <c r="AL287" i="1"/>
  <c r="AM287" i="1"/>
  <c r="AN287" i="1"/>
  <c r="AO287" i="1"/>
  <c r="AT287" i="1"/>
  <c r="AG288" i="1"/>
  <c r="AH288" i="1"/>
  <c r="AI288" i="1"/>
  <c r="AJ288" i="1"/>
  <c r="AK288" i="1"/>
  <c r="AL288" i="1"/>
  <c r="AM288" i="1"/>
  <c r="AN288" i="1"/>
  <c r="AO288" i="1"/>
  <c r="AT288" i="1"/>
  <c r="AG289" i="1"/>
  <c r="AH289" i="1"/>
  <c r="AI289" i="1"/>
  <c r="AJ289" i="1"/>
  <c r="AK289" i="1"/>
  <c r="AL289" i="1"/>
  <c r="AM289" i="1"/>
  <c r="AN289" i="1"/>
  <c r="AO289" i="1"/>
  <c r="AT289" i="1"/>
  <c r="AG290" i="1"/>
  <c r="AH290" i="1"/>
  <c r="AI290" i="1"/>
  <c r="AJ290" i="1"/>
  <c r="AK290" i="1"/>
  <c r="AL290" i="1"/>
  <c r="AM290" i="1"/>
  <c r="AN290" i="1"/>
  <c r="AO290" i="1"/>
  <c r="AT290" i="1"/>
  <c r="AG291" i="1"/>
  <c r="AH291" i="1"/>
  <c r="AI291" i="1"/>
  <c r="AJ291" i="1"/>
  <c r="AK291" i="1"/>
  <c r="AL291" i="1"/>
  <c r="AM291" i="1"/>
  <c r="AN291" i="1"/>
  <c r="AO291" i="1"/>
  <c r="AT291" i="1"/>
  <c r="AG292" i="1"/>
  <c r="AH292" i="1"/>
  <c r="AI292" i="1"/>
  <c r="AJ292" i="1"/>
  <c r="AK292" i="1"/>
  <c r="AL292" i="1"/>
  <c r="AM292" i="1"/>
  <c r="AN292" i="1"/>
  <c r="AO292" i="1"/>
  <c r="AT292" i="1"/>
  <c r="AG293" i="1"/>
  <c r="AH293" i="1"/>
  <c r="AI293" i="1"/>
  <c r="AJ293" i="1"/>
  <c r="AK293" i="1"/>
  <c r="AL293" i="1"/>
  <c r="AM293" i="1"/>
  <c r="AN293" i="1"/>
  <c r="AO293" i="1"/>
  <c r="AT293" i="1"/>
  <c r="AG294" i="1"/>
  <c r="AH294" i="1"/>
  <c r="AI294" i="1"/>
  <c r="AJ294" i="1"/>
  <c r="AK294" i="1"/>
  <c r="AL294" i="1"/>
  <c r="AM294" i="1"/>
  <c r="AN294" i="1"/>
  <c r="AO294" i="1"/>
  <c r="AT294" i="1"/>
  <c r="AG295" i="1"/>
  <c r="AH295" i="1"/>
  <c r="AI295" i="1"/>
  <c r="AJ295" i="1"/>
  <c r="AK295" i="1"/>
  <c r="AL295" i="1"/>
  <c r="AM295" i="1"/>
  <c r="AN295" i="1"/>
  <c r="AO295" i="1"/>
  <c r="AT295" i="1"/>
  <c r="AG296" i="1"/>
  <c r="AH296" i="1"/>
  <c r="AI296" i="1"/>
  <c r="AJ296" i="1"/>
  <c r="AK296" i="1"/>
  <c r="AL296" i="1"/>
  <c r="AM296" i="1"/>
  <c r="AN296" i="1"/>
  <c r="AO296" i="1"/>
  <c r="AT296" i="1"/>
  <c r="AG297" i="1"/>
  <c r="AH297" i="1"/>
  <c r="AI297" i="1"/>
  <c r="AJ297" i="1"/>
  <c r="AK297" i="1"/>
  <c r="AL297" i="1"/>
  <c r="AM297" i="1"/>
  <c r="AN297" i="1"/>
  <c r="AO297" i="1"/>
  <c r="AT297" i="1"/>
  <c r="AG298" i="1"/>
  <c r="AH298" i="1"/>
  <c r="AI298" i="1"/>
  <c r="AJ298" i="1"/>
  <c r="AK298" i="1"/>
  <c r="AL298" i="1"/>
  <c r="AM298" i="1"/>
  <c r="AN298" i="1"/>
  <c r="AO298" i="1"/>
  <c r="AT298" i="1"/>
  <c r="AG299" i="1"/>
  <c r="AH299" i="1"/>
  <c r="AI299" i="1"/>
  <c r="AJ299" i="1"/>
  <c r="AK299" i="1"/>
  <c r="AL299" i="1"/>
  <c r="AM299" i="1"/>
  <c r="AN299" i="1"/>
  <c r="AO299" i="1"/>
  <c r="AT299" i="1"/>
  <c r="AG300" i="1"/>
  <c r="AH300" i="1"/>
  <c r="AI300" i="1"/>
  <c r="AJ300" i="1"/>
  <c r="AK300" i="1"/>
  <c r="AL300" i="1"/>
  <c r="AM300" i="1"/>
  <c r="AN300" i="1"/>
  <c r="AO300" i="1"/>
  <c r="AT300" i="1"/>
  <c r="AG301" i="1"/>
  <c r="AH301" i="1"/>
  <c r="AI301" i="1"/>
  <c r="AJ301" i="1"/>
  <c r="AK301" i="1"/>
  <c r="AL301" i="1"/>
  <c r="AM301" i="1"/>
  <c r="AN301" i="1"/>
  <c r="AO301" i="1"/>
  <c r="AT301" i="1"/>
  <c r="AG302" i="1"/>
  <c r="AH302" i="1"/>
  <c r="AI302" i="1"/>
  <c r="AJ302" i="1"/>
  <c r="AK302" i="1"/>
  <c r="AL302" i="1"/>
  <c r="AM302" i="1"/>
  <c r="AN302" i="1"/>
  <c r="AO302" i="1"/>
  <c r="AT302" i="1"/>
  <c r="AG303" i="1"/>
  <c r="AH303" i="1"/>
  <c r="AI303" i="1"/>
  <c r="AJ303" i="1"/>
  <c r="AK303" i="1"/>
  <c r="AL303" i="1"/>
  <c r="AM303" i="1"/>
  <c r="AN303" i="1"/>
  <c r="AO303" i="1"/>
  <c r="AT303" i="1"/>
  <c r="AG304" i="1"/>
  <c r="AH304" i="1"/>
  <c r="AI304" i="1"/>
  <c r="AJ304" i="1"/>
  <c r="AK304" i="1"/>
  <c r="AL304" i="1"/>
  <c r="AM304" i="1"/>
  <c r="AN304" i="1"/>
  <c r="AO304" i="1"/>
  <c r="AT304" i="1"/>
  <c r="AG305" i="1"/>
  <c r="AH305" i="1"/>
  <c r="AI305" i="1"/>
  <c r="AJ305" i="1"/>
  <c r="AK305" i="1"/>
  <c r="AL305" i="1"/>
  <c r="AM305" i="1"/>
  <c r="AN305" i="1"/>
  <c r="AO305" i="1"/>
  <c r="AT305" i="1"/>
  <c r="AG306" i="1"/>
  <c r="AH306" i="1"/>
  <c r="AI306" i="1"/>
  <c r="AJ306" i="1"/>
  <c r="AK306" i="1"/>
  <c r="AL306" i="1"/>
  <c r="AM306" i="1"/>
  <c r="AN306" i="1"/>
  <c r="AO306" i="1"/>
  <c r="AT306" i="1"/>
  <c r="AG307" i="1"/>
  <c r="AH307" i="1"/>
  <c r="AI307" i="1"/>
  <c r="AJ307" i="1"/>
  <c r="AK307" i="1"/>
  <c r="AL307" i="1"/>
  <c r="AM307" i="1"/>
  <c r="AN307" i="1"/>
  <c r="AO307" i="1"/>
  <c r="AT307" i="1"/>
  <c r="AG308" i="1"/>
  <c r="AH308" i="1"/>
  <c r="AI308" i="1"/>
  <c r="AJ308" i="1"/>
  <c r="AK308" i="1"/>
  <c r="AL308" i="1"/>
  <c r="AM308" i="1"/>
  <c r="AN308" i="1"/>
  <c r="AO308" i="1"/>
  <c r="AT308" i="1"/>
  <c r="AG309" i="1"/>
  <c r="AH309" i="1"/>
  <c r="AI309" i="1"/>
  <c r="AJ309" i="1"/>
  <c r="AK309" i="1"/>
  <c r="AL309" i="1"/>
  <c r="AM309" i="1"/>
  <c r="AN309" i="1"/>
  <c r="AO309" i="1"/>
  <c r="AT309" i="1"/>
  <c r="AG310" i="1"/>
  <c r="AH310" i="1"/>
  <c r="AI310" i="1"/>
  <c r="AJ310" i="1"/>
  <c r="AK310" i="1"/>
  <c r="AL310" i="1"/>
  <c r="AM310" i="1"/>
  <c r="AN310" i="1"/>
  <c r="AO310" i="1"/>
  <c r="AT310" i="1"/>
  <c r="AG311" i="1"/>
  <c r="AH311" i="1"/>
  <c r="AI311" i="1"/>
  <c r="AJ311" i="1"/>
  <c r="AK311" i="1"/>
  <c r="AL311" i="1"/>
  <c r="AM311" i="1"/>
  <c r="AN311" i="1"/>
  <c r="AO311" i="1"/>
  <c r="AT311" i="1"/>
  <c r="AG312" i="1"/>
  <c r="AH312" i="1"/>
  <c r="AI312" i="1"/>
  <c r="AJ312" i="1"/>
  <c r="AK312" i="1"/>
  <c r="AL312" i="1"/>
  <c r="AM312" i="1"/>
  <c r="AN312" i="1"/>
  <c r="AO312" i="1"/>
  <c r="AT312" i="1"/>
  <c r="AG313" i="1"/>
  <c r="AH313" i="1"/>
  <c r="AI313" i="1"/>
  <c r="AJ313" i="1"/>
  <c r="AK313" i="1"/>
  <c r="AL313" i="1"/>
  <c r="AM313" i="1"/>
  <c r="AN313" i="1"/>
  <c r="AO313" i="1"/>
  <c r="AT313" i="1"/>
  <c r="AG314" i="1"/>
  <c r="AH314" i="1"/>
  <c r="AI314" i="1"/>
  <c r="AJ314" i="1"/>
  <c r="AK314" i="1"/>
  <c r="AL314" i="1"/>
  <c r="AM314" i="1"/>
  <c r="AN314" i="1"/>
  <c r="AO314" i="1"/>
  <c r="AT314" i="1"/>
  <c r="AG315" i="1"/>
  <c r="AH315" i="1"/>
  <c r="AI315" i="1"/>
  <c r="AJ315" i="1"/>
  <c r="AK315" i="1"/>
  <c r="AL315" i="1"/>
  <c r="AM315" i="1"/>
  <c r="AN315" i="1"/>
  <c r="AO315" i="1"/>
  <c r="AT315" i="1"/>
  <c r="AG316" i="1"/>
  <c r="AH316" i="1"/>
  <c r="AI316" i="1"/>
  <c r="AJ316" i="1"/>
  <c r="AK316" i="1"/>
  <c r="AL316" i="1"/>
  <c r="AM316" i="1"/>
  <c r="AN316" i="1"/>
  <c r="AO316" i="1"/>
  <c r="AT316" i="1"/>
  <c r="AG317" i="1"/>
  <c r="AH317" i="1"/>
  <c r="AI317" i="1"/>
  <c r="AJ317" i="1"/>
  <c r="AK317" i="1"/>
  <c r="AL317" i="1"/>
  <c r="AM317" i="1"/>
  <c r="AN317" i="1"/>
  <c r="AO317" i="1"/>
  <c r="AT317" i="1"/>
  <c r="AG318" i="1"/>
  <c r="AH318" i="1"/>
  <c r="AI318" i="1"/>
  <c r="AJ318" i="1"/>
  <c r="AK318" i="1"/>
  <c r="AL318" i="1"/>
  <c r="AM318" i="1"/>
  <c r="AN318" i="1"/>
  <c r="AO318" i="1"/>
  <c r="AT318" i="1"/>
  <c r="AG319" i="1"/>
  <c r="AH319" i="1"/>
  <c r="AI319" i="1"/>
  <c r="AJ319" i="1"/>
  <c r="AK319" i="1"/>
  <c r="AL319" i="1"/>
  <c r="AM319" i="1"/>
  <c r="AN319" i="1"/>
  <c r="AO319" i="1"/>
  <c r="AT319" i="1"/>
  <c r="AG320" i="1"/>
  <c r="AH320" i="1"/>
  <c r="AI320" i="1"/>
  <c r="AJ320" i="1"/>
  <c r="AK320" i="1"/>
  <c r="AL320" i="1"/>
  <c r="AM320" i="1"/>
  <c r="AN320" i="1"/>
  <c r="AO320" i="1"/>
  <c r="AT320" i="1"/>
  <c r="AG321" i="1"/>
  <c r="AH321" i="1"/>
  <c r="AI321" i="1"/>
  <c r="AJ321" i="1"/>
  <c r="AK321" i="1"/>
  <c r="AL321" i="1"/>
  <c r="AM321" i="1"/>
  <c r="AN321" i="1"/>
  <c r="AO321" i="1"/>
  <c r="AT321" i="1"/>
  <c r="AG322" i="1"/>
  <c r="AH322" i="1"/>
  <c r="AI322" i="1"/>
  <c r="AJ322" i="1"/>
  <c r="AK322" i="1"/>
  <c r="AL322" i="1"/>
  <c r="AM322" i="1"/>
  <c r="AN322" i="1"/>
  <c r="AO322" i="1"/>
  <c r="AT322" i="1"/>
  <c r="AG323" i="1"/>
  <c r="AH323" i="1"/>
  <c r="AI323" i="1"/>
  <c r="AJ323" i="1"/>
  <c r="AK323" i="1"/>
  <c r="AL323" i="1"/>
  <c r="AM323" i="1"/>
  <c r="AN323" i="1"/>
  <c r="AO323" i="1"/>
  <c r="AT323" i="1"/>
  <c r="AG324" i="1"/>
  <c r="AH324" i="1"/>
  <c r="AI324" i="1"/>
  <c r="AJ324" i="1"/>
  <c r="AK324" i="1"/>
  <c r="AL324" i="1"/>
  <c r="AM324" i="1"/>
  <c r="AN324" i="1"/>
  <c r="AO324" i="1"/>
  <c r="AT324" i="1"/>
  <c r="AG325" i="1"/>
  <c r="AH325" i="1"/>
  <c r="AI325" i="1"/>
  <c r="AJ325" i="1"/>
  <c r="AK325" i="1"/>
  <c r="AL325" i="1"/>
  <c r="AM325" i="1"/>
  <c r="AN325" i="1"/>
  <c r="AO325" i="1"/>
  <c r="AT325" i="1"/>
  <c r="AG326" i="1"/>
  <c r="AH326" i="1"/>
  <c r="AI326" i="1"/>
  <c r="AJ326" i="1"/>
  <c r="AK326" i="1"/>
  <c r="AL326" i="1"/>
  <c r="AM326" i="1"/>
  <c r="AN326" i="1"/>
  <c r="AO326" i="1"/>
  <c r="AT326" i="1"/>
  <c r="AG327" i="1"/>
  <c r="AH327" i="1"/>
  <c r="AI327" i="1"/>
  <c r="AJ327" i="1"/>
  <c r="AK327" i="1"/>
  <c r="AL327" i="1"/>
  <c r="AM327" i="1"/>
  <c r="AN327" i="1"/>
  <c r="AO327" i="1"/>
  <c r="AT327" i="1"/>
  <c r="AG328" i="1"/>
  <c r="AH328" i="1"/>
  <c r="AI328" i="1"/>
  <c r="AJ328" i="1"/>
  <c r="AK328" i="1"/>
  <c r="AL328" i="1"/>
  <c r="AM328" i="1"/>
  <c r="AN328" i="1"/>
  <c r="AO328" i="1"/>
  <c r="AT328" i="1"/>
  <c r="AG329" i="1"/>
  <c r="AH329" i="1"/>
  <c r="AI329" i="1"/>
  <c r="AJ329" i="1"/>
  <c r="AK329" i="1"/>
  <c r="AL329" i="1"/>
  <c r="AM329" i="1"/>
  <c r="AN329" i="1"/>
  <c r="AO329" i="1"/>
  <c r="AT329" i="1"/>
  <c r="AG330" i="1"/>
  <c r="AH330" i="1"/>
  <c r="AI330" i="1"/>
  <c r="AJ330" i="1"/>
  <c r="AK330" i="1"/>
  <c r="AL330" i="1"/>
  <c r="AM330" i="1"/>
  <c r="AN330" i="1"/>
  <c r="AO330" i="1"/>
  <c r="AT330" i="1"/>
  <c r="AG331" i="1"/>
  <c r="AH331" i="1"/>
  <c r="AI331" i="1"/>
  <c r="AJ331" i="1"/>
  <c r="AK331" i="1"/>
  <c r="AL331" i="1"/>
  <c r="AM331" i="1"/>
  <c r="AN331" i="1"/>
  <c r="AO331" i="1"/>
  <c r="AT331" i="1"/>
  <c r="AG332" i="1"/>
  <c r="AH332" i="1"/>
  <c r="AI332" i="1"/>
  <c r="AJ332" i="1"/>
  <c r="AK332" i="1"/>
  <c r="AL332" i="1"/>
  <c r="AM332" i="1"/>
  <c r="AN332" i="1"/>
  <c r="AO332" i="1"/>
  <c r="AT332" i="1"/>
  <c r="AG333" i="1"/>
  <c r="AH333" i="1"/>
  <c r="AI333" i="1"/>
  <c r="AJ333" i="1"/>
  <c r="AK333" i="1"/>
  <c r="AL333" i="1"/>
  <c r="AM333" i="1"/>
  <c r="AN333" i="1"/>
  <c r="AO333" i="1"/>
  <c r="AT333" i="1"/>
  <c r="AG334" i="1"/>
  <c r="AH334" i="1"/>
  <c r="AI334" i="1"/>
  <c r="AJ334" i="1"/>
  <c r="AK334" i="1"/>
  <c r="AL334" i="1"/>
  <c r="AM334" i="1"/>
  <c r="AN334" i="1"/>
  <c r="AO334" i="1"/>
  <c r="AT334" i="1"/>
  <c r="AG335" i="1"/>
  <c r="AH335" i="1"/>
  <c r="AI335" i="1"/>
  <c r="AJ335" i="1"/>
  <c r="AK335" i="1"/>
  <c r="AL335" i="1"/>
  <c r="AM335" i="1"/>
  <c r="AN335" i="1"/>
  <c r="AO335" i="1"/>
  <c r="AT335" i="1"/>
  <c r="AG336" i="1"/>
  <c r="AH336" i="1"/>
  <c r="AI336" i="1"/>
  <c r="AJ336" i="1"/>
  <c r="AK336" i="1"/>
  <c r="AL336" i="1"/>
  <c r="AM336" i="1"/>
  <c r="AN336" i="1"/>
  <c r="AO336" i="1"/>
  <c r="AT336" i="1"/>
  <c r="AT67" i="1"/>
  <c r="AO67" i="1"/>
  <c r="AN67" i="1"/>
  <c r="AM67" i="1"/>
  <c r="AL67" i="1"/>
  <c r="AK67" i="1"/>
  <c r="AJ67" i="1"/>
  <c r="AI67" i="1"/>
  <c r="AH67" i="1"/>
  <c r="AG67" i="1"/>
  <c r="AT66" i="1"/>
  <c r="AO66" i="1"/>
  <c r="AN66" i="1"/>
  <c r="AM66" i="1"/>
  <c r="AL66" i="1"/>
  <c r="AK66" i="1"/>
  <c r="AJ66" i="1"/>
  <c r="AI66" i="1"/>
  <c r="AH66" i="1"/>
  <c r="AG66" i="1"/>
  <c r="AT65" i="1"/>
  <c r="U65" i="1" s="1"/>
  <c r="AO65" i="1"/>
  <c r="AN65" i="1"/>
  <c r="AM65" i="1"/>
  <c r="AL65" i="1"/>
  <c r="AK65" i="1"/>
  <c r="AJ65" i="1"/>
  <c r="AI65" i="1"/>
  <c r="AH65" i="1"/>
  <c r="AG65" i="1"/>
  <c r="AT64" i="1"/>
  <c r="Y64" i="1" s="1"/>
  <c r="AO64" i="1"/>
  <c r="AN64" i="1"/>
  <c r="AM64" i="1"/>
  <c r="AL64" i="1"/>
  <c r="AK64" i="1"/>
  <c r="AJ64" i="1"/>
  <c r="AI64" i="1"/>
  <c r="AH64" i="1"/>
  <c r="AG64" i="1"/>
  <c r="AT63" i="1"/>
  <c r="AO63" i="1"/>
  <c r="AN63" i="1"/>
  <c r="AM63" i="1"/>
  <c r="AL63" i="1"/>
  <c r="AK63" i="1"/>
  <c r="AJ63" i="1"/>
  <c r="AI63" i="1"/>
  <c r="AH63" i="1"/>
  <c r="AG63" i="1"/>
  <c r="AT62" i="1"/>
  <c r="U62" i="1" s="1"/>
  <c r="AO62" i="1"/>
  <c r="AN62" i="1"/>
  <c r="AM62" i="1"/>
  <c r="AL62" i="1"/>
  <c r="AK62" i="1"/>
  <c r="AJ62" i="1"/>
  <c r="AI62" i="1"/>
  <c r="AH62" i="1"/>
  <c r="AG62" i="1"/>
  <c r="AT61" i="1"/>
  <c r="U61" i="1" s="1"/>
  <c r="AO61" i="1"/>
  <c r="AN61" i="1"/>
  <c r="AM61" i="1"/>
  <c r="AL61" i="1"/>
  <c r="AK61" i="1"/>
  <c r="AJ61" i="1"/>
  <c r="AI61" i="1"/>
  <c r="AH61" i="1"/>
  <c r="AG61" i="1"/>
  <c r="AT60" i="1"/>
  <c r="U60" i="1" s="1"/>
  <c r="AO60" i="1"/>
  <c r="AN60" i="1"/>
  <c r="AM60" i="1"/>
  <c r="AL60" i="1"/>
  <c r="AK60" i="1"/>
  <c r="AJ60" i="1"/>
  <c r="AI60" i="1"/>
  <c r="AH60" i="1"/>
  <c r="AG60" i="1"/>
  <c r="AT59" i="1"/>
  <c r="U59" i="1" s="1"/>
  <c r="AO59" i="1"/>
  <c r="AN59" i="1"/>
  <c r="AM59" i="1"/>
  <c r="AL59" i="1"/>
  <c r="AK59" i="1"/>
  <c r="AJ59" i="1"/>
  <c r="AI59" i="1"/>
  <c r="AH59" i="1"/>
  <c r="AG59" i="1"/>
  <c r="AT58" i="1"/>
  <c r="AO58" i="1"/>
  <c r="AN58" i="1"/>
  <c r="AM58" i="1"/>
  <c r="AL58" i="1"/>
  <c r="AK58" i="1"/>
  <c r="AJ58" i="1"/>
  <c r="AI58" i="1"/>
  <c r="AH58" i="1"/>
  <c r="AG58" i="1"/>
  <c r="AT57" i="1"/>
  <c r="U57" i="1" s="1"/>
  <c r="AO57" i="1"/>
  <c r="AN57" i="1"/>
  <c r="AM57" i="1"/>
  <c r="AL57" i="1"/>
  <c r="AK57" i="1"/>
  <c r="AJ57" i="1"/>
  <c r="AI57" i="1"/>
  <c r="AH57" i="1"/>
  <c r="AG57" i="1"/>
  <c r="AT56" i="1"/>
  <c r="AO56" i="1"/>
  <c r="AN56" i="1"/>
  <c r="AM56" i="1"/>
  <c r="AL56" i="1"/>
  <c r="AK56" i="1"/>
  <c r="AJ56" i="1"/>
  <c r="AI56" i="1"/>
  <c r="AH56" i="1"/>
  <c r="AG56" i="1"/>
  <c r="AT55" i="1"/>
  <c r="AC55" i="1" s="1"/>
  <c r="AO55" i="1"/>
  <c r="AN55" i="1"/>
  <c r="AM55" i="1"/>
  <c r="AL55" i="1"/>
  <c r="AK55" i="1"/>
  <c r="AJ55" i="1"/>
  <c r="AI55" i="1"/>
  <c r="AH55" i="1"/>
  <c r="AG55" i="1"/>
  <c r="AT54" i="1"/>
  <c r="U54" i="1" s="1"/>
  <c r="AO54" i="1"/>
  <c r="AN54" i="1"/>
  <c r="AM54" i="1"/>
  <c r="AL54" i="1"/>
  <c r="AK54" i="1"/>
  <c r="AJ54" i="1"/>
  <c r="AI54" i="1"/>
  <c r="AH54" i="1"/>
  <c r="AG54" i="1"/>
  <c r="AT53" i="1"/>
  <c r="U53" i="1" s="1"/>
  <c r="AO53" i="1"/>
  <c r="AN53" i="1"/>
  <c r="AM53" i="1"/>
  <c r="AL53" i="1"/>
  <c r="AK53" i="1"/>
  <c r="AJ53" i="1"/>
  <c r="AI53" i="1"/>
  <c r="AH53" i="1"/>
  <c r="AG53" i="1"/>
  <c r="AT52" i="1"/>
  <c r="U52" i="1" s="1"/>
  <c r="AO52" i="1"/>
  <c r="AN52" i="1"/>
  <c r="AM52" i="1"/>
  <c r="AL52" i="1"/>
  <c r="AK52" i="1"/>
  <c r="AJ52" i="1"/>
  <c r="AI52" i="1"/>
  <c r="AH52" i="1"/>
  <c r="AG52" i="1"/>
  <c r="AT51" i="1"/>
  <c r="AO51" i="1"/>
  <c r="AN51" i="1"/>
  <c r="AM51" i="1"/>
  <c r="AL51" i="1"/>
  <c r="AK51" i="1"/>
  <c r="AJ51" i="1"/>
  <c r="AI51" i="1"/>
  <c r="AH51" i="1"/>
  <c r="AG51" i="1"/>
  <c r="AT50" i="1"/>
  <c r="U50" i="1" s="1"/>
  <c r="AO50" i="1"/>
  <c r="AN50" i="1"/>
  <c r="AM50" i="1"/>
  <c r="AL50" i="1"/>
  <c r="AK50" i="1"/>
  <c r="AJ50" i="1"/>
  <c r="AI50" i="1"/>
  <c r="AH50" i="1"/>
  <c r="AG50" i="1"/>
  <c r="AT49" i="1"/>
  <c r="U49" i="1" s="1"/>
  <c r="AO49" i="1"/>
  <c r="AN49" i="1"/>
  <c r="AM49" i="1"/>
  <c r="AL49" i="1"/>
  <c r="AK49" i="1"/>
  <c r="AJ49" i="1"/>
  <c r="AI49" i="1"/>
  <c r="AH49" i="1"/>
  <c r="AG49" i="1"/>
  <c r="AT48" i="1"/>
  <c r="Z48" i="1" s="1"/>
  <c r="AO48" i="1"/>
  <c r="AN48" i="1"/>
  <c r="AM48" i="1"/>
  <c r="AL48" i="1"/>
  <c r="AK48" i="1"/>
  <c r="AJ48" i="1"/>
  <c r="AI48" i="1"/>
  <c r="AH48" i="1"/>
  <c r="AG48" i="1"/>
  <c r="AT47" i="1"/>
  <c r="U47" i="1" s="1"/>
  <c r="AO47" i="1"/>
  <c r="AN47" i="1"/>
  <c r="AM47" i="1"/>
  <c r="AL47" i="1"/>
  <c r="AK47" i="1"/>
  <c r="AJ47" i="1"/>
  <c r="AI47" i="1"/>
  <c r="AH47" i="1"/>
  <c r="AG47" i="1"/>
  <c r="AT46" i="1"/>
  <c r="AO46" i="1"/>
  <c r="AN46" i="1"/>
  <c r="AM46" i="1"/>
  <c r="AL46" i="1"/>
  <c r="AK46" i="1"/>
  <c r="AJ46" i="1"/>
  <c r="AI46" i="1"/>
  <c r="AH46" i="1"/>
  <c r="AG46" i="1"/>
  <c r="AT45" i="1"/>
  <c r="U45" i="1" s="1"/>
  <c r="AO45" i="1"/>
  <c r="AN45" i="1"/>
  <c r="AM45" i="1"/>
  <c r="AL45" i="1"/>
  <c r="AK45" i="1"/>
  <c r="AJ45" i="1"/>
  <c r="AI45" i="1"/>
  <c r="AH45" i="1"/>
  <c r="AG45" i="1"/>
  <c r="AT44" i="1"/>
  <c r="U44" i="1" s="1"/>
  <c r="AO44" i="1"/>
  <c r="AN44" i="1"/>
  <c r="AM44" i="1"/>
  <c r="AL44" i="1"/>
  <c r="AK44" i="1"/>
  <c r="AJ44" i="1"/>
  <c r="AI44" i="1"/>
  <c r="AH44" i="1"/>
  <c r="AG44" i="1"/>
  <c r="AT43" i="1"/>
  <c r="AO43" i="1"/>
  <c r="AN43" i="1"/>
  <c r="AM43" i="1"/>
  <c r="AL43" i="1"/>
  <c r="AK43" i="1"/>
  <c r="AJ43" i="1"/>
  <c r="AI43" i="1"/>
  <c r="AH43" i="1"/>
  <c r="AG43" i="1"/>
  <c r="AT42" i="1"/>
  <c r="AO42" i="1"/>
  <c r="AN42" i="1"/>
  <c r="AM42" i="1"/>
  <c r="AL42" i="1"/>
  <c r="AK42" i="1"/>
  <c r="AJ42" i="1"/>
  <c r="AI42" i="1"/>
  <c r="AH42" i="1"/>
  <c r="AG42" i="1"/>
  <c r="AT41" i="1"/>
  <c r="U41" i="1" s="1"/>
  <c r="AO41" i="1"/>
  <c r="AN41" i="1"/>
  <c r="AM41" i="1"/>
  <c r="AL41" i="1"/>
  <c r="AK41" i="1"/>
  <c r="AJ41" i="1"/>
  <c r="AI41" i="1"/>
  <c r="AH41" i="1"/>
  <c r="AG41" i="1"/>
  <c r="AT40" i="1"/>
  <c r="U40" i="1" s="1"/>
  <c r="AO40" i="1"/>
  <c r="AN40" i="1"/>
  <c r="AM40" i="1"/>
  <c r="AL40" i="1"/>
  <c r="AK40" i="1"/>
  <c r="AJ40" i="1"/>
  <c r="AI40" i="1"/>
  <c r="AH40" i="1"/>
  <c r="AG40" i="1"/>
  <c r="AT39" i="1"/>
  <c r="U39" i="1" s="1"/>
  <c r="AO39" i="1"/>
  <c r="AN39" i="1"/>
  <c r="AM39" i="1"/>
  <c r="AL39" i="1"/>
  <c r="AK39" i="1"/>
  <c r="AJ39" i="1"/>
  <c r="AI39" i="1"/>
  <c r="AH39" i="1"/>
  <c r="AG39" i="1"/>
  <c r="AT38" i="1"/>
  <c r="AO38" i="1"/>
  <c r="AN38" i="1"/>
  <c r="AM38" i="1"/>
  <c r="AL38" i="1"/>
  <c r="AK38" i="1"/>
  <c r="AJ38" i="1"/>
  <c r="AI38" i="1"/>
  <c r="AH38" i="1"/>
  <c r="AG38" i="1"/>
  <c r="AT37" i="1"/>
  <c r="AO37" i="1"/>
  <c r="AN37" i="1"/>
  <c r="AM37" i="1"/>
  <c r="AL37" i="1"/>
  <c r="AK37" i="1"/>
  <c r="AJ37" i="1"/>
  <c r="AI37" i="1"/>
  <c r="AH37" i="1"/>
  <c r="AG37" i="1"/>
  <c r="AT36" i="1"/>
  <c r="AO36" i="1"/>
  <c r="AN36" i="1"/>
  <c r="AM36" i="1"/>
  <c r="AL36" i="1"/>
  <c r="AK36" i="1"/>
  <c r="AJ36" i="1"/>
  <c r="AI36" i="1"/>
  <c r="AH36" i="1"/>
  <c r="AG36" i="1"/>
  <c r="AT35" i="1"/>
  <c r="AO35" i="1"/>
  <c r="AN35" i="1"/>
  <c r="AM35" i="1"/>
  <c r="AL35" i="1"/>
  <c r="AK35" i="1"/>
  <c r="AJ35" i="1"/>
  <c r="AI35" i="1"/>
  <c r="AH35" i="1"/>
  <c r="AG35" i="1"/>
  <c r="AT34" i="1"/>
  <c r="U34" i="1" s="1"/>
  <c r="AO34" i="1"/>
  <c r="AN34" i="1"/>
  <c r="AM34" i="1"/>
  <c r="AL34" i="1"/>
  <c r="AK34" i="1"/>
  <c r="AJ34" i="1"/>
  <c r="AI34" i="1"/>
  <c r="AH34" i="1"/>
  <c r="AG34" i="1"/>
  <c r="AT33" i="1"/>
  <c r="U33" i="1" s="1"/>
  <c r="AO33" i="1"/>
  <c r="AN33" i="1"/>
  <c r="AM33" i="1"/>
  <c r="AL33" i="1"/>
  <c r="AK33" i="1"/>
  <c r="AJ33" i="1"/>
  <c r="AI33" i="1"/>
  <c r="AH33" i="1"/>
  <c r="AG33" i="1"/>
  <c r="AT32" i="1"/>
  <c r="U32" i="1" s="1"/>
  <c r="AO32" i="1"/>
  <c r="AN32" i="1"/>
  <c r="AM32" i="1"/>
  <c r="AL32" i="1"/>
  <c r="AK32" i="1"/>
  <c r="AJ32" i="1"/>
  <c r="AI32" i="1"/>
  <c r="AH32" i="1"/>
  <c r="AG32" i="1"/>
  <c r="AT31" i="1"/>
  <c r="U31" i="1" s="1"/>
  <c r="AO31" i="1"/>
  <c r="AN31" i="1"/>
  <c r="AM31" i="1"/>
  <c r="AL31" i="1"/>
  <c r="AK31" i="1"/>
  <c r="AJ31" i="1"/>
  <c r="AI31" i="1"/>
  <c r="AH31" i="1"/>
  <c r="AG31" i="1"/>
  <c r="AT30" i="1"/>
  <c r="AO30" i="1"/>
  <c r="AN30" i="1"/>
  <c r="AM30" i="1"/>
  <c r="AL30" i="1"/>
  <c r="AK30" i="1"/>
  <c r="AJ30" i="1"/>
  <c r="AI30" i="1"/>
  <c r="AH30" i="1"/>
  <c r="AG30" i="1"/>
  <c r="AT29" i="1"/>
  <c r="U29" i="1" s="1"/>
  <c r="AO29" i="1"/>
  <c r="AN29" i="1"/>
  <c r="AM29" i="1"/>
  <c r="AL29" i="1"/>
  <c r="AK29" i="1"/>
  <c r="AJ29" i="1"/>
  <c r="AI29" i="1"/>
  <c r="AH29" i="1"/>
  <c r="AG29" i="1"/>
  <c r="AT28" i="1"/>
  <c r="U28" i="1" s="1"/>
  <c r="AO28" i="1"/>
  <c r="AN28" i="1"/>
  <c r="AM28" i="1"/>
  <c r="AL28" i="1"/>
  <c r="AK28" i="1"/>
  <c r="AJ28" i="1"/>
  <c r="AI28" i="1"/>
  <c r="AH28" i="1"/>
  <c r="AG28" i="1"/>
  <c r="AT27" i="1"/>
  <c r="U27" i="1" s="1"/>
  <c r="AO27" i="1"/>
  <c r="AN27" i="1"/>
  <c r="AM27" i="1"/>
  <c r="AL27" i="1"/>
  <c r="AK27" i="1"/>
  <c r="AJ27" i="1"/>
  <c r="AI27" i="1"/>
  <c r="AH27" i="1"/>
  <c r="AG27" i="1"/>
  <c r="AT26" i="1"/>
  <c r="AO26" i="1"/>
  <c r="AN26" i="1"/>
  <c r="AM26" i="1"/>
  <c r="AL26" i="1"/>
  <c r="AK26" i="1"/>
  <c r="AJ26" i="1"/>
  <c r="AI26" i="1"/>
  <c r="AH26" i="1"/>
  <c r="AG26" i="1"/>
  <c r="AT25" i="1"/>
  <c r="U25" i="1" s="1"/>
  <c r="AO25" i="1"/>
  <c r="AN25" i="1"/>
  <c r="AM25" i="1"/>
  <c r="AL25" i="1"/>
  <c r="AK25" i="1"/>
  <c r="AJ25" i="1"/>
  <c r="AI25" i="1"/>
  <c r="AH25" i="1"/>
  <c r="AG25" i="1"/>
  <c r="AT24" i="1"/>
  <c r="U24" i="1" s="1"/>
  <c r="AO24" i="1"/>
  <c r="AN24" i="1"/>
  <c r="AM24" i="1"/>
  <c r="AL24" i="1"/>
  <c r="AK24" i="1"/>
  <c r="AJ24" i="1"/>
  <c r="AI24" i="1"/>
  <c r="AH24" i="1"/>
  <c r="AG24" i="1"/>
  <c r="AT23" i="1"/>
  <c r="U23" i="1" s="1"/>
  <c r="AO23" i="1"/>
  <c r="AN23" i="1"/>
  <c r="AM23" i="1"/>
  <c r="AL23" i="1"/>
  <c r="AK23" i="1"/>
  <c r="AJ23" i="1"/>
  <c r="AI23" i="1"/>
  <c r="AH23" i="1"/>
  <c r="AG23" i="1"/>
  <c r="AT22" i="1"/>
  <c r="AO22" i="1"/>
  <c r="AN22" i="1"/>
  <c r="AM22" i="1"/>
  <c r="AL22" i="1"/>
  <c r="AK22" i="1"/>
  <c r="AJ22" i="1"/>
  <c r="AI22" i="1"/>
  <c r="AH22" i="1"/>
  <c r="AG22" i="1"/>
  <c r="AT21" i="1"/>
  <c r="U21" i="1" s="1"/>
  <c r="AO21" i="1"/>
  <c r="AN21" i="1"/>
  <c r="AM21" i="1"/>
  <c r="AL21" i="1"/>
  <c r="AK21" i="1"/>
  <c r="AJ21" i="1"/>
  <c r="AI21" i="1"/>
  <c r="AH21" i="1"/>
  <c r="AG21" i="1"/>
  <c r="AT20" i="1"/>
  <c r="U20" i="1" s="1"/>
  <c r="AO20" i="1"/>
  <c r="AN20" i="1"/>
  <c r="AM20" i="1"/>
  <c r="AL20" i="1"/>
  <c r="AK20" i="1"/>
  <c r="AJ20" i="1"/>
  <c r="AI20" i="1"/>
  <c r="AH20" i="1"/>
  <c r="AG20" i="1"/>
  <c r="AT19" i="1"/>
  <c r="AO19" i="1"/>
  <c r="AN19" i="1"/>
  <c r="AM19" i="1"/>
  <c r="AL19" i="1"/>
  <c r="AK19" i="1"/>
  <c r="AJ19" i="1"/>
  <c r="AI19" i="1"/>
  <c r="AH19" i="1"/>
  <c r="AG19" i="1"/>
  <c r="AT18" i="1"/>
  <c r="U18" i="1" s="1"/>
  <c r="AO18" i="1"/>
  <c r="AN18" i="1"/>
  <c r="AM18" i="1"/>
  <c r="AL18" i="1"/>
  <c r="AK18" i="1"/>
  <c r="AJ18" i="1"/>
  <c r="AI18" i="1"/>
  <c r="AH18" i="1"/>
  <c r="AG18" i="1"/>
  <c r="AT17" i="1"/>
  <c r="U17" i="1" s="1"/>
  <c r="AO17" i="1"/>
  <c r="AN17" i="1"/>
  <c r="AM17" i="1"/>
  <c r="AL17" i="1"/>
  <c r="AK17" i="1"/>
  <c r="AJ17" i="1"/>
  <c r="AI17" i="1"/>
  <c r="AH17" i="1"/>
  <c r="AG17" i="1"/>
  <c r="AT16" i="1"/>
  <c r="AO16" i="1"/>
  <c r="AN16" i="1"/>
  <c r="AM16" i="1"/>
  <c r="AL16" i="1"/>
  <c r="AK16" i="1"/>
  <c r="AJ16" i="1"/>
  <c r="AI16" i="1"/>
  <c r="AH16" i="1"/>
  <c r="AG16" i="1"/>
  <c r="AT15" i="1"/>
  <c r="U15" i="1" s="1"/>
  <c r="AO15" i="1"/>
  <c r="AN15" i="1"/>
  <c r="AM15" i="1"/>
  <c r="AL15" i="1"/>
  <c r="AK15" i="1"/>
  <c r="AJ15" i="1"/>
  <c r="AI15" i="1"/>
  <c r="AH15" i="1"/>
  <c r="AG15" i="1"/>
  <c r="AT14" i="1"/>
  <c r="U14" i="1" s="1"/>
  <c r="AO14" i="1"/>
  <c r="AN14" i="1"/>
  <c r="AM14" i="1"/>
  <c r="AL14" i="1"/>
  <c r="AK14" i="1"/>
  <c r="AJ14" i="1"/>
  <c r="AI14" i="1"/>
  <c r="AH14" i="1"/>
  <c r="AG14" i="1"/>
  <c r="AT13" i="1"/>
  <c r="U13" i="1" s="1"/>
  <c r="AO13" i="1"/>
  <c r="AN13" i="1"/>
  <c r="AM13" i="1"/>
  <c r="AL13" i="1"/>
  <c r="AK13" i="1"/>
  <c r="AJ13" i="1"/>
  <c r="AI13" i="1"/>
  <c r="AH13" i="1"/>
  <c r="AG13" i="1"/>
  <c r="AT12" i="1"/>
  <c r="U12" i="1" s="1"/>
  <c r="AO12" i="1"/>
  <c r="AN12" i="1"/>
  <c r="AM12" i="1"/>
  <c r="AL12" i="1"/>
  <c r="AK12" i="1"/>
  <c r="AJ12" i="1"/>
  <c r="AI12" i="1"/>
  <c r="AH12" i="1"/>
  <c r="AG12" i="1"/>
  <c r="AT11" i="1"/>
  <c r="U11" i="1" s="1"/>
  <c r="AO11" i="1"/>
  <c r="AN11" i="1"/>
  <c r="AM11" i="1"/>
  <c r="AL11" i="1"/>
  <c r="AK11" i="1"/>
  <c r="AJ11" i="1"/>
  <c r="AI11" i="1"/>
  <c r="AH11" i="1"/>
  <c r="AG11" i="1"/>
  <c r="AT10" i="1"/>
  <c r="AO10" i="1"/>
  <c r="AN10" i="1"/>
  <c r="AM10" i="1"/>
  <c r="AL10" i="1"/>
  <c r="AK10" i="1"/>
  <c r="AJ10" i="1"/>
  <c r="AI10" i="1"/>
  <c r="AH10" i="1"/>
  <c r="AG10" i="1"/>
  <c r="AT9" i="1"/>
  <c r="AO9" i="1"/>
  <c r="AN9" i="1"/>
  <c r="AM9" i="1"/>
  <c r="AL9" i="1"/>
  <c r="AK9" i="1"/>
  <c r="AJ9" i="1"/>
  <c r="AI9" i="1"/>
  <c r="AH9" i="1"/>
  <c r="AG9" i="1"/>
  <c r="AT8" i="1"/>
  <c r="U8" i="1" s="1"/>
  <c r="AO8" i="1"/>
  <c r="AN8" i="1"/>
  <c r="AM8" i="1"/>
  <c r="AL8" i="1"/>
  <c r="AK8" i="1"/>
  <c r="AJ8" i="1"/>
  <c r="AI8" i="1"/>
  <c r="AH8" i="1"/>
  <c r="AG8" i="1"/>
  <c r="AT7" i="1"/>
  <c r="Y7" i="1" s="1"/>
  <c r="AO7" i="1"/>
  <c r="AN7" i="1"/>
  <c r="AM7" i="1"/>
  <c r="AL7" i="1"/>
  <c r="AK7" i="1"/>
  <c r="AJ7" i="1"/>
  <c r="AI7" i="1"/>
  <c r="AH7" i="1"/>
  <c r="AG7" i="1"/>
  <c r="U155" i="1" l="1"/>
  <c r="X147" i="1"/>
  <c r="U210" i="1"/>
  <c r="Z139" i="1"/>
  <c r="X194" i="1"/>
  <c r="U139" i="1"/>
  <c r="AC178" i="1"/>
  <c r="AA168" i="1"/>
  <c r="Z168" i="1"/>
  <c r="U126" i="1"/>
  <c r="Y168" i="1"/>
  <c r="U158" i="1"/>
  <c r="Z157" i="1"/>
  <c r="U64" i="1"/>
  <c r="AB84" i="1"/>
  <c r="AB77" i="1"/>
  <c r="U219" i="1"/>
  <c r="U99" i="1"/>
  <c r="AA77" i="1"/>
  <c r="AC128" i="1"/>
  <c r="Z77" i="1"/>
  <c r="U189" i="1"/>
  <c r="U95" i="1"/>
  <c r="AA128" i="1"/>
  <c r="U181" i="1"/>
  <c r="U130" i="1"/>
  <c r="Z128" i="1"/>
  <c r="U128" i="1"/>
  <c r="Y128" i="1"/>
  <c r="X128" i="1"/>
  <c r="U122" i="1"/>
  <c r="Z122" i="1"/>
  <c r="U112" i="1"/>
  <c r="X114" i="1"/>
  <c r="U161" i="1"/>
  <c r="AA243" i="1"/>
  <c r="Y112" i="1"/>
  <c r="U102" i="1"/>
  <c r="AB110" i="1"/>
  <c r="Z110" i="1"/>
  <c r="AB104" i="1"/>
  <c r="AA104" i="1"/>
  <c r="U172" i="1"/>
  <c r="X164" i="1"/>
  <c r="AB100" i="1"/>
  <c r="U166" i="1"/>
  <c r="Z161" i="1"/>
  <c r="AC95" i="1"/>
  <c r="U162" i="1"/>
  <c r="AB157" i="1"/>
  <c r="W61" i="1"/>
  <c r="V130" i="1"/>
  <c r="AQ73" i="1"/>
  <c r="V152" i="1"/>
  <c r="AR11" i="1"/>
  <c r="W186" i="1"/>
  <c r="W311" i="1"/>
  <c r="V76" i="1"/>
  <c r="AR165" i="1"/>
  <c r="AQ341" i="1"/>
  <c r="AQ339" i="1"/>
  <c r="AQ112" i="1"/>
  <c r="AQ262" i="1"/>
  <c r="W50" i="1"/>
  <c r="AR196" i="1"/>
  <c r="W159" i="1"/>
  <c r="AR62" i="1"/>
  <c r="AR227" i="1"/>
  <c r="AQ340" i="1"/>
  <c r="AR149" i="1"/>
  <c r="V293" i="1"/>
  <c r="AQ156" i="1"/>
  <c r="W130" i="1"/>
  <c r="AR195" i="1"/>
  <c r="AR339" i="1"/>
  <c r="AQ22" i="1"/>
  <c r="AR312" i="1"/>
  <c r="AQ83" i="1"/>
  <c r="AR299" i="1"/>
  <c r="V329" i="1"/>
  <c r="W285" i="1"/>
  <c r="AR208" i="1"/>
  <c r="V202" i="1"/>
  <c r="AR340" i="1"/>
  <c r="V180" i="1"/>
  <c r="AQ265" i="1"/>
  <c r="U7" i="1"/>
  <c r="V41" i="1"/>
  <c r="W51" i="1"/>
  <c r="W327" i="1"/>
  <c r="W305" i="1"/>
  <c r="U247" i="1"/>
  <c r="U206" i="1"/>
  <c r="V156" i="1"/>
  <c r="AQ99" i="1"/>
  <c r="AC215" i="1"/>
  <c r="AB193" i="1"/>
  <c r="X178" i="1"/>
  <c r="AC159" i="1"/>
  <c r="AC144" i="1"/>
  <c r="Y122" i="1"/>
  <c r="X82" i="1"/>
  <c r="W20" i="1"/>
  <c r="AR321" i="1"/>
  <c r="W319" i="1"/>
  <c r="U243" i="1"/>
  <c r="U204" i="1"/>
  <c r="W179" i="1"/>
  <c r="AA193" i="1"/>
  <c r="AC174" i="1"/>
  <c r="Z159" i="1"/>
  <c r="AC119" i="1"/>
  <c r="AC99" i="1"/>
  <c r="AC80" i="1"/>
  <c r="W11" i="1"/>
  <c r="W30" i="1"/>
  <c r="W150" i="1"/>
  <c r="V117" i="1"/>
  <c r="AC7" i="1"/>
  <c r="AB213" i="1"/>
  <c r="AA174" i="1"/>
  <c r="Y159" i="1"/>
  <c r="Y99" i="1"/>
  <c r="AB80" i="1"/>
  <c r="W32" i="1"/>
  <c r="AQ332" i="1"/>
  <c r="U196" i="1"/>
  <c r="U175" i="1"/>
  <c r="U150" i="1"/>
  <c r="V121" i="1"/>
  <c r="AR117" i="1"/>
  <c r="W80" i="1"/>
  <c r="W70" i="1"/>
  <c r="AB7" i="1"/>
  <c r="X237" i="1"/>
  <c r="AA192" i="1"/>
  <c r="Z174" i="1"/>
  <c r="X136" i="1"/>
  <c r="AC115" i="1"/>
  <c r="Z80" i="1"/>
  <c r="AQ274" i="1"/>
  <c r="AR167" i="1"/>
  <c r="AQ157" i="1"/>
  <c r="AR153" i="1"/>
  <c r="U142" i="1"/>
  <c r="AR109" i="1"/>
  <c r="AC236" i="1"/>
  <c r="AB212" i="1"/>
  <c r="Z192" i="1"/>
  <c r="AB172" i="1"/>
  <c r="AB158" i="1"/>
  <c r="AB115" i="1"/>
  <c r="AC97" i="1"/>
  <c r="W28" i="1"/>
  <c r="AQ334" i="1"/>
  <c r="AR305" i="1"/>
  <c r="AR270" i="1"/>
  <c r="U194" i="1"/>
  <c r="V192" i="1"/>
  <c r="U171" i="1"/>
  <c r="AA236" i="1"/>
  <c r="AB208" i="1"/>
  <c r="AA172" i="1"/>
  <c r="AA158" i="1"/>
  <c r="Z134" i="1"/>
  <c r="AA97" i="1"/>
  <c r="AC79" i="1"/>
  <c r="W59" i="1"/>
  <c r="AQ322" i="1"/>
  <c r="AQ283" i="1"/>
  <c r="W136" i="1"/>
  <c r="AB252" i="1"/>
  <c r="AC171" i="1"/>
  <c r="AB114" i="1"/>
  <c r="Z97" i="1"/>
  <c r="Z79" i="1"/>
  <c r="W24" i="1"/>
  <c r="AQ336" i="1"/>
  <c r="AQ219" i="1"/>
  <c r="U188" i="1"/>
  <c r="AQ118" i="1"/>
  <c r="U72" i="1"/>
  <c r="AA232" i="1"/>
  <c r="Y189" i="1"/>
  <c r="AB171" i="1"/>
  <c r="Z130" i="1"/>
  <c r="AA114" i="1"/>
  <c r="X97" i="1"/>
  <c r="AR22" i="1"/>
  <c r="AR32" i="1"/>
  <c r="W42" i="1"/>
  <c r="AB250" i="1"/>
  <c r="AC188" i="1"/>
  <c r="Z171" i="1"/>
  <c r="AR322" i="1"/>
  <c r="U250" i="1"/>
  <c r="V248" i="1"/>
  <c r="AR199" i="1"/>
  <c r="AC230" i="1"/>
  <c r="AB188" i="1"/>
  <c r="AB113" i="1"/>
  <c r="V21" i="1"/>
  <c r="AQ34" i="1"/>
  <c r="AR326" i="1"/>
  <c r="AQ324" i="1"/>
  <c r="AQ205" i="1"/>
  <c r="W180" i="1"/>
  <c r="W93" i="1"/>
  <c r="AB230" i="1"/>
  <c r="AA201" i="1"/>
  <c r="AA188" i="1"/>
  <c r="AC155" i="1"/>
  <c r="AB92" i="1"/>
  <c r="AR52" i="1"/>
  <c r="AQ287" i="1"/>
  <c r="W271" i="1"/>
  <c r="V112" i="1"/>
  <c r="AC247" i="1"/>
  <c r="Y229" i="1"/>
  <c r="Z201" i="1"/>
  <c r="Z188" i="1"/>
  <c r="Z155" i="1"/>
  <c r="AA92" i="1"/>
  <c r="AB74" i="1"/>
  <c r="AQ32" i="1"/>
  <c r="W40" i="1"/>
  <c r="W52" i="1"/>
  <c r="AQ302" i="1"/>
  <c r="W172" i="1"/>
  <c r="AR83" i="1"/>
  <c r="AB247" i="1"/>
  <c r="AC228" i="1"/>
  <c r="Y201" i="1"/>
  <c r="X188" i="1"/>
  <c r="Y155" i="1"/>
  <c r="Z92" i="1"/>
  <c r="Z74" i="1"/>
  <c r="V58" i="1"/>
  <c r="W314" i="1"/>
  <c r="AQ232" i="1"/>
  <c r="X247" i="1"/>
  <c r="Z228" i="1"/>
  <c r="X201" i="1"/>
  <c r="AB165" i="1"/>
  <c r="X92" i="1"/>
  <c r="AR12" i="1"/>
  <c r="AQ247" i="1"/>
  <c r="AQ226" i="1"/>
  <c r="AQ195" i="1"/>
  <c r="AQ162" i="1"/>
  <c r="AC245" i="1"/>
  <c r="Y228" i="1"/>
  <c r="AC199" i="1"/>
  <c r="AB183" i="1"/>
  <c r="AA165" i="1"/>
  <c r="AC126" i="1"/>
  <c r="Z89" i="1"/>
  <c r="AB72" i="1"/>
  <c r="V37" i="1"/>
  <c r="W56" i="1"/>
  <c r="AR310" i="1"/>
  <c r="V216" i="1"/>
  <c r="AQ187" i="1"/>
  <c r="W133" i="1"/>
  <c r="AA245" i="1"/>
  <c r="Y199" i="1"/>
  <c r="AC147" i="1"/>
  <c r="AA126" i="1"/>
  <c r="Y89" i="1"/>
  <c r="W10" i="1"/>
  <c r="V31" i="1"/>
  <c r="W60" i="1"/>
  <c r="W306" i="1"/>
  <c r="V162" i="1"/>
  <c r="AQ137" i="1"/>
  <c r="AR337" i="1"/>
  <c r="Y245" i="1"/>
  <c r="Z225" i="1"/>
  <c r="Z181" i="1"/>
  <c r="AB147" i="1"/>
  <c r="Z124" i="1"/>
  <c r="AA88" i="1"/>
  <c r="AB71" i="1"/>
  <c r="W12" i="1"/>
  <c r="V23" i="1"/>
  <c r="V171" i="1"/>
  <c r="W169" i="1"/>
  <c r="W121" i="1"/>
  <c r="AC194" i="1"/>
  <c r="AA147" i="1"/>
  <c r="Z88" i="1"/>
  <c r="AA71" i="1"/>
  <c r="AQ263" i="1"/>
  <c r="AQ233" i="1"/>
  <c r="V212" i="1"/>
  <c r="AR177" i="1"/>
  <c r="AQ144" i="1"/>
  <c r="Z224" i="1"/>
  <c r="Y179" i="1"/>
  <c r="Z147" i="1"/>
  <c r="AA122" i="1"/>
  <c r="AB102" i="1"/>
  <c r="X88" i="1"/>
  <c r="Z71" i="1"/>
  <c r="X10" i="1"/>
  <c r="AA10" i="1"/>
  <c r="Y10" i="1"/>
  <c r="Z10" i="1"/>
  <c r="AB10" i="1"/>
  <c r="AC10" i="1"/>
  <c r="Y66" i="1"/>
  <c r="Z66" i="1"/>
  <c r="AB66" i="1"/>
  <c r="X66" i="1"/>
  <c r="AA66" i="1"/>
  <c r="AC66" i="1"/>
  <c r="Y246" i="1"/>
  <c r="Z246" i="1"/>
  <c r="AB246" i="1"/>
  <c r="AA246" i="1"/>
  <c r="U246" i="1"/>
  <c r="X180" i="1"/>
  <c r="AA180" i="1"/>
  <c r="AC180" i="1"/>
  <c r="U180" i="1"/>
  <c r="Y180" i="1"/>
  <c r="X15" i="1"/>
  <c r="AA15" i="1"/>
  <c r="AB15" i="1"/>
  <c r="Y15" i="1"/>
  <c r="AC22" i="1"/>
  <c r="X22" i="1"/>
  <c r="Y22" i="1"/>
  <c r="Z22" i="1"/>
  <c r="AA22" i="1"/>
  <c r="Y31" i="1"/>
  <c r="AC31" i="1"/>
  <c r="X31" i="1"/>
  <c r="Z31" i="1"/>
  <c r="AQ52" i="1"/>
  <c r="AQ65" i="1"/>
  <c r="W316" i="1"/>
  <c r="W298" i="1"/>
  <c r="V277" i="1"/>
  <c r="V271" i="1"/>
  <c r="AQ256" i="1"/>
  <c r="AR239" i="1"/>
  <c r="W218" i="1"/>
  <c r="AC154" i="1"/>
  <c r="X154" i="1"/>
  <c r="Z154" i="1"/>
  <c r="AA154" i="1"/>
  <c r="AB154" i="1"/>
  <c r="Z141" i="1"/>
  <c r="AB141" i="1"/>
  <c r="AA141" i="1"/>
  <c r="AQ127" i="1"/>
  <c r="W99" i="1"/>
  <c r="Y81" i="1"/>
  <c r="X81" i="1"/>
  <c r="Z81" i="1"/>
  <c r="AA81" i="1"/>
  <c r="AB81" i="1"/>
  <c r="AC81" i="1"/>
  <c r="U81" i="1"/>
  <c r="W9" i="1"/>
  <c r="V11" i="1"/>
  <c r="V16" i="1"/>
  <c r="AC17" i="1"/>
  <c r="Y17" i="1"/>
  <c r="X17" i="1"/>
  <c r="Z17" i="1"/>
  <c r="AA17" i="1"/>
  <c r="AB17" i="1"/>
  <c r="AR35" i="1"/>
  <c r="V39" i="1"/>
  <c r="V42" i="1"/>
  <c r="V44" i="1"/>
  <c r="Z45" i="1"/>
  <c r="AA45" i="1"/>
  <c r="AB45" i="1"/>
  <c r="AC45" i="1"/>
  <c r="X45" i="1"/>
  <c r="Y45" i="1"/>
  <c r="W54" i="1"/>
  <c r="W63" i="1"/>
  <c r="AR332" i="1"/>
  <c r="AQ318" i="1"/>
  <c r="AR314" i="1"/>
  <c r="V256" i="1"/>
  <c r="U240" i="1"/>
  <c r="X240" i="1"/>
  <c r="AA240" i="1"/>
  <c r="Y240" i="1"/>
  <c r="Z240" i="1"/>
  <c r="U239" i="1"/>
  <c r="AA225" i="1"/>
  <c r="X225" i="1"/>
  <c r="AB225" i="1"/>
  <c r="AC225" i="1"/>
  <c r="X223" i="1"/>
  <c r="Z223" i="1"/>
  <c r="AC223" i="1"/>
  <c r="Y223" i="1"/>
  <c r="AA223" i="1"/>
  <c r="AB223" i="1"/>
  <c r="AC204" i="1"/>
  <c r="X204" i="1"/>
  <c r="Z204" i="1"/>
  <c r="U193" i="1"/>
  <c r="X193" i="1"/>
  <c r="Z193" i="1"/>
  <c r="AC193" i="1"/>
  <c r="X165" i="1"/>
  <c r="Y165" i="1"/>
  <c r="AC165" i="1"/>
  <c r="U163" i="1"/>
  <c r="X163" i="1"/>
  <c r="Z163" i="1"/>
  <c r="AC163" i="1"/>
  <c r="Y163" i="1"/>
  <c r="AA163" i="1"/>
  <c r="AR160" i="1"/>
  <c r="AR147" i="1"/>
  <c r="U129" i="1"/>
  <c r="X75" i="1"/>
  <c r="Y75" i="1"/>
  <c r="Z75" i="1"/>
  <c r="AA75" i="1"/>
  <c r="AB75" i="1"/>
  <c r="AC75" i="1"/>
  <c r="W338" i="1"/>
  <c r="AA7" i="1"/>
  <c r="AA247" i="1"/>
  <c r="AB240" i="1"/>
  <c r="Y231" i="1"/>
  <c r="X224" i="1"/>
  <c r="AB214" i="1"/>
  <c r="AC205" i="1"/>
  <c r="X198" i="1"/>
  <c r="AB180" i="1"/>
  <c r="AA162" i="1"/>
  <c r="Y153" i="1"/>
  <c r="AA132" i="1"/>
  <c r="X122" i="1"/>
  <c r="Z111" i="1"/>
  <c r="W7" i="1"/>
  <c r="V14" i="1"/>
  <c r="AR26" i="1"/>
  <c r="V30" i="1"/>
  <c r="AQ35" i="1"/>
  <c r="AQ54" i="1"/>
  <c r="V63" i="1"/>
  <c r="AQ67" i="1"/>
  <c r="W318" i="1"/>
  <c r="V262" i="1"/>
  <c r="AR244" i="1"/>
  <c r="AC242" i="1"/>
  <c r="Y242" i="1"/>
  <c r="AA242" i="1"/>
  <c r="AB242" i="1"/>
  <c r="V179" i="1"/>
  <c r="AC152" i="1"/>
  <c r="Y152" i="1"/>
  <c r="Z152" i="1"/>
  <c r="AA152" i="1"/>
  <c r="X134" i="1"/>
  <c r="AQ16" i="1"/>
  <c r="U19" i="1"/>
  <c r="AA19" i="1"/>
  <c r="AB19" i="1"/>
  <c r="X19" i="1"/>
  <c r="Y19" i="1"/>
  <c r="Z19" i="1"/>
  <c r="AC19" i="1"/>
  <c r="AA24" i="1"/>
  <c r="X24" i="1"/>
  <c r="AB24" i="1"/>
  <c r="AC24" i="1"/>
  <c r="Z24" i="1"/>
  <c r="AR30" i="1"/>
  <c r="W33" i="1"/>
  <c r="W37" i="1"/>
  <c r="X40" i="1"/>
  <c r="AA40" i="1"/>
  <c r="Z40" i="1"/>
  <c r="AB40" i="1"/>
  <c r="AC40" i="1"/>
  <c r="V46" i="1"/>
  <c r="AC47" i="1"/>
  <c r="Y47" i="1"/>
  <c r="X47" i="1"/>
  <c r="AA47" i="1"/>
  <c r="AB47" i="1"/>
  <c r="Z47" i="1"/>
  <c r="AC52" i="1"/>
  <c r="Z52" i="1"/>
  <c r="X52" i="1"/>
  <c r="Y52" i="1"/>
  <c r="AA52" i="1"/>
  <c r="AB52" i="1"/>
  <c r="V60" i="1"/>
  <c r="Y61" i="1"/>
  <c r="AA61" i="1"/>
  <c r="X61" i="1"/>
  <c r="Z61" i="1"/>
  <c r="AB61" i="1"/>
  <c r="AC61" i="1"/>
  <c r="V67" i="1"/>
  <c r="AR328" i="1"/>
  <c r="AR323" i="1"/>
  <c r="V318" i="1"/>
  <c r="AQ292" i="1"/>
  <c r="AR269" i="1"/>
  <c r="AQ254" i="1"/>
  <c r="W246" i="1"/>
  <c r="Y238" i="1"/>
  <c r="U238" i="1"/>
  <c r="AA238" i="1"/>
  <c r="AB238" i="1"/>
  <c r="Y236" i="1"/>
  <c r="Z236" i="1"/>
  <c r="AB236" i="1"/>
  <c r="U236" i="1"/>
  <c r="U235" i="1"/>
  <c r="AA221" i="1"/>
  <c r="X221" i="1"/>
  <c r="Z221" i="1"/>
  <c r="AB221" i="1"/>
  <c r="W220" i="1"/>
  <c r="U202" i="1"/>
  <c r="AC202" i="1"/>
  <c r="Y202" i="1"/>
  <c r="Z202" i="1"/>
  <c r="AA202" i="1"/>
  <c r="X202" i="1"/>
  <c r="AQ201" i="1"/>
  <c r="V199" i="1"/>
  <c r="U191" i="1"/>
  <c r="Z191" i="1"/>
  <c r="AB191" i="1"/>
  <c r="AA191" i="1"/>
  <c r="AC191" i="1"/>
  <c r="AQ175" i="1"/>
  <c r="U151" i="1"/>
  <c r="W149" i="1"/>
  <c r="U138" i="1"/>
  <c r="AQ106" i="1"/>
  <c r="Y98" i="1"/>
  <c r="Z98" i="1"/>
  <c r="AA98" i="1"/>
  <c r="X98" i="1"/>
  <c r="AB98" i="1"/>
  <c r="AC98" i="1"/>
  <c r="X73" i="1"/>
  <c r="Z73" i="1"/>
  <c r="AC73" i="1"/>
  <c r="AA73" i="1"/>
  <c r="AB73" i="1"/>
  <c r="Y73" i="1"/>
  <c r="Z247" i="1"/>
  <c r="Y239" i="1"/>
  <c r="AB222" i="1"/>
  <c r="AA214" i="1"/>
  <c r="AB205" i="1"/>
  <c r="AC197" i="1"/>
  <c r="Z180" i="1"/>
  <c r="AB152" i="1"/>
  <c r="Z132" i="1"/>
  <c r="AC121" i="1"/>
  <c r="Y167" i="1"/>
  <c r="AA167" i="1"/>
  <c r="U167" i="1"/>
  <c r="X167" i="1"/>
  <c r="Z167" i="1"/>
  <c r="AC167" i="1"/>
  <c r="X143" i="1"/>
  <c r="Z143" i="1"/>
  <c r="AC143" i="1"/>
  <c r="Y143" i="1"/>
  <c r="AB143" i="1"/>
  <c r="V33" i="1"/>
  <c r="V316" i="1"/>
  <c r="Y234" i="1"/>
  <c r="AA234" i="1"/>
  <c r="X200" i="1"/>
  <c r="AA200" i="1"/>
  <c r="AC200" i="1"/>
  <c r="Y200" i="1"/>
  <c r="W199" i="1"/>
  <c r="AA189" i="1"/>
  <c r="AB189" i="1"/>
  <c r="AC189" i="1"/>
  <c r="Z189" i="1"/>
  <c r="AR178" i="1"/>
  <c r="Y176" i="1"/>
  <c r="Z176" i="1"/>
  <c r="AB176" i="1"/>
  <c r="W167" i="1"/>
  <c r="Y137" i="1"/>
  <c r="Z137" i="1"/>
  <c r="AB137" i="1"/>
  <c r="X137" i="1"/>
  <c r="AA137" i="1"/>
  <c r="Y96" i="1"/>
  <c r="Z96" i="1"/>
  <c r="AB96" i="1"/>
  <c r="AA96" i="1"/>
  <c r="X96" i="1"/>
  <c r="AC96" i="1"/>
  <c r="U96" i="1"/>
  <c r="AQ91" i="1"/>
  <c r="AA222" i="1"/>
  <c r="AA205" i="1"/>
  <c r="Z197" i="1"/>
  <c r="AC170" i="1"/>
  <c r="X152" i="1"/>
  <c r="AC141" i="1"/>
  <c r="Y121" i="1"/>
  <c r="AQ46" i="1"/>
  <c r="AR67" i="1"/>
  <c r="AR16" i="1"/>
  <c r="AA49" i="1"/>
  <c r="AB49" i="1"/>
  <c r="AC49" i="1"/>
  <c r="X49" i="1"/>
  <c r="Y49" i="1"/>
  <c r="Z49" i="1"/>
  <c r="W62" i="1"/>
  <c r="AQ306" i="1"/>
  <c r="V303" i="1"/>
  <c r="U251" i="1"/>
  <c r="Y251" i="1"/>
  <c r="W236" i="1"/>
  <c r="AQ206" i="1"/>
  <c r="AR197" i="1"/>
  <c r="AR169" i="1"/>
  <c r="X111" i="1"/>
  <c r="Y111" i="1"/>
  <c r="AA111" i="1"/>
  <c r="AB111" i="1"/>
  <c r="AA69" i="1"/>
  <c r="AB69" i="1"/>
  <c r="X69" i="1"/>
  <c r="Z69" i="1"/>
  <c r="Y69" i="1"/>
  <c r="AC69" i="1"/>
  <c r="AQ338" i="1"/>
  <c r="AC246" i="1"/>
  <c r="Y222" i="1"/>
  <c r="Z205" i="1"/>
  <c r="X197" i="1"/>
  <c r="Z170" i="1"/>
  <c r="AC151" i="1"/>
  <c r="Y141" i="1"/>
  <c r="Y244" i="1"/>
  <c r="Z244" i="1"/>
  <c r="AA244" i="1"/>
  <c r="X244" i="1"/>
  <c r="AB244" i="1"/>
  <c r="Y26" i="1"/>
  <c r="Z26" i="1"/>
  <c r="AB26" i="1"/>
  <c r="X26" i="1"/>
  <c r="AA26" i="1"/>
  <c r="AC26" i="1"/>
  <c r="AQ48" i="1"/>
  <c r="AA54" i="1"/>
  <c r="Z54" i="1"/>
  <c r="AB54" i="1"/>
  <c r="AC54" i="1"/>
  <c r="X54" i="1"/>
  <c r="Y54" i="1"/>
  <c r="AR60" i="1"/>
  <c r="W276" i="1"/>
  <c r="Y217" i="1"/>
  <c r="AA217" i="1"/>
  <c r="X217" i="1"/>
  <c r="W178" i="1"/>
  <c r="AR119" i="1"/>
  <c r="AR102" i="1"/>
  <c r="AQ12" i="1"/>
  <c r="AQ14" i="1"/>
  <c r="V27" i="1"/>
  <c r="X28" i="1"/>
  <c r="Y28" i="1"/>
  <c r="Z28" i="1"/>
  <c r="AC28" i="1"/>
  <c r="AA28" i="1"/>
  <c r="AB28" i="1"/>
  <c r="X33" i="1"/>
  <c r="Z33" i="1"/>
  <c r="AC33" i="1"/>
  <c r="AA33" i="1"/>
  <c r="AB33" i="1"/>
  <c r="Y33" i="1"/>
  <c r="W41" i="1"/>
  <c r="W46" i="1"/>
  <c r="V48" i="1"/>
  <c r="U55" i="1"/>
  <c r="Y56" i="1"/>
  <c r="Z56" i="1"/>
  <c r="AB56" i="1"/>
  <c r="X56" i="1"/>
  <c r="AA56" i="1"/>
  <c r="AQ301" i="1"/>
  <c r="W299" i="1"/>
  <c r="W293" i="1"/>
  <c r="W278" i="1"/>
  <c r="V276" i="1"/>
  <c r="AQ269" i="1"/>
  <c r="AA249" i="1"/>
  <c r="AB249" i="1"/>
  <c r="Z249" i="1"/>
  <c r="AC249" i="1"/>
  <c r="W248" i="1"/>
  <c r="AC232" i="1"/>
  <c r="X232" i="1"/>
  <c r="Y232" i="1"/>
  <c r="AB232" i="1"/>
  <c r="AR214" i="1"/>
  <c r="W197" i="1"/>
  <c r="Y187" i="1"/>
  <c r="Z187" i="1"/>
  <c r="AB187" i="1"/>
  <c r="X187" i="1"/>
  <c r="AR180" i="1"/>
  <c r="AA135" i="1"/>
  <c r="AB135" i="1"/>
  <c r="AC135" i="1"/>
  <c r="Y135" i="1"/>
  <c r="X133" i="1"/>
  <c r="Z133" i="1"/>
  <c r="AC133" i="1"/>
  <c r="AA133" i="1"/>
  <c r="Y133" i="1"/>
  <c r="AB133" i="1"/>
  <c r="V132" i="1"/>
  <c r="AB124" i="1"/>
  <c r="X124" i="1"/>
  <c r="AA124" i="1"/>
  <c r="AC124" i="1"/>
  <c r="AA109" i="1"/>
  <c r="AB109" i="1"/>
  <c r="Y109" i="1"/>
  <c r="Z109" i="1"/>
  <c r="U109" i="1"/>
  <c r="AQ104" i="1"/>
  <c r="U91" i="1"/>
  <c r="V89" i="1"/>
  <c r="AQ89" i="1"/>
  <c r="V338" i="1"/>
  <c r="X246" i="1"/>
  <c r="Z238" i="1"/>
  <c r="Y205" i="1"/>
  <c r="AA195" i="1"/>
  <c r="AB151" i="1"/>
  <c r="X141" i="1"/>
  <c r="AC109" i="1"/>
  <c r="Z64" i="1"/>
  <c r="X43" i="1"/>
  <c r="Z43" i="1"/>
  <c r="AC43" i="1"/>
  <c r="AB43" i="1"/>
  <c r="Y43" i="1"/>
  <c r="AA43" i="1"/>
  <c r="Y117" i="1"/>
  <c r="AA117" i="1"/>
  <c r="AB117" i="1"/>
  <c r="AC117" i="1"/>
  <c r="V18" i="1"/>
  <c r="U48" i="1"/>
  <c r="V332" i="1"/>
  <c r="X7" i="1"/>
  <c r="Z7" i="1"/>
  <c r="W14" i="1"/>
  <c r="W18" i="1"/>
  <c r="V20" i="1"/>
  <c r="Y21" i="1"/>
  <c r="AA21" i="1"/>
  <c r="X21" i="1"/>
  <c r="Z21" i="1"/>
  <c r="AB21" i="1"/>
  <c r="AC21" i="1"/>
  <c r="AQ25" i="1"/>
  <c r="AQ42" i="1"/>
  <c r="AQ44" i="1"/>
  <c r="AQ53" i="1"/>
  <c r="V330" i="1"/>
  <c r="W321" i="1"/>
  <c r="AR317" i="1"/>
  <c r="AR287" i="1"/>
  <c r="V286" i="1"/>
  <c r="V284" i="1"/>
  <c r="W272" i="1"/>
  <c r="X230" i="1"/>
  <c r="AA230" i="1"/>
  <c r="X215" i="1"/>
  <c r="Y215" i="1"/>
  <c r="Z215" i="1"/>
  <c r="AA215" i="1"/>
  <c r="V210" i="1"/>
  <c r="AQ159" i="1"/>
  <c r="U149" i="1"/>
  <c r="AR137" i="1"/>
  <c r="U108" i="1"/>
  <c r="AQ102" i="1"/>
  <c r="X90" i="1"/>
  <c r="AA90" i="1"/>
  <c r="Y90" i="1"/>
  <c r="Z90" i="1"/>
  <c r="AB90" i="1"/>
  <c r="AC90" i="1"/>
  <c r="Y86" i="1"/>
  <c r="Z86" i="1"/>
  <c r="AB86" i="1"/>
  <c r="X86" i="1"/>
  <c r="AA86" i="1"/>
  <c r="AC86" i="1"/>
  <c r="X238" i="1"/>
  <c r="Y230" i="1"/>
  <c r="AC221" i="1"/>
  <c r="AA212" i="1"/>
  <c r="AB204" i="1"/>
  <c r="Y195" i="1"/>
  <c r="AC187" i="1"/>
  <c r="Z177" i="1"/>
  <c r="AC169" i="1"/>
  <c r="AA151" i="1"/>
  <c r="AC140" i="1"/>
  <c r="X109" i="1"/>
  <c r="X38" i="1"/>
  <c r="Y38" i="1"/>
  <c r="AA38" i="1"/>
  <c r="AB38" i="1"/>
  <c r="Z38" i="1"/>
  <c r="AC38" i="1"/>
  <c r="AQ11" i="1"/>
  <c r="AR65" i="1"/>
  <c r="W334" i="1"/>
  <c r="AQ330" i="1"/>
  <c r="V12" i="1"/>
  <c r="W39" i="1"/>
  <c r="W58" i="1"/>
  <c r="AR63" i="1"/>
  <c r="V314" i="1"/>
  <c r="W301" i="1"/>
  <c r="AQ297" i="1"/>
  <c r="AQ261" i="1"/>
  <c r="W233" i="1"/>
  <c r="Y198" i="1"/>
  <c r="Z198" i="1"/>
  <c r="AA198" i="1"/>
  <c r="AC198" i="1"/>
  <c r="Y94" i="1"/>
  <c r="Z94" i="1"/>
  <c r="AA94" i="1"/>
  <c r="AB94" i="1"/>
  <c r="AC94" i="1"/>
  <c r="U9" i="1"/>
  <c r="AA9" i="1"/>
  <c r="AB9" i="1"/>
  <c r="AC9" i="1"/>
  <c r="Z9" i="1"/>
  <c r="X9" i="1"/>
  <c r="Y9" i="1"/>
  <c r="AC12" i="1"/>
  <c r="Z12" i="1"/>
  <c r="X12" i="1"/>
  <c r="Y12" i="1"/>
  <c r="AA12" i="1"/>
  <c r="AB12" i="1"/>
  <c r="U22" i="1"/>
  <c r="AR25" i="1"/>
  <c r="V29" i="1"/>
  <c r="V34" i="1"/>
  <c r="X35" i="1"/>
  <c r="Y35" i="1"/>
  <c r="Z35" i="1"/>
  <c r="AA35" i="1"/>
  <c r="AB35" i="1"/>
  <c r="AC35" i="1"/>
  <c r="AR42" i="1"/>
  <c r="W44" i="1"/>
  <c r="AR48" i="1"/>
  <c r="W53" i="1"/>
  <c r="V57" i="1"/>
  <c r="AB58" i="1"/>
  <c r="AC58" i="1"/>
  <c r="X58" i="1"/>
  <c r="Y58" i="1"/>
  <c r="Z58" i="1"/>
  <c r="AA58" i="1"/>
  <c r="X63" i="1"/>
  <c r="Z63" i="1"/>
  <c r="AC63" i="1"/>
  <c r="Y63" i="1"/>
  <c r="AA63" i="1"/>
  <c r="AB63" i="1"/>
  <c r="W335" i="1"/>
  <c r="W330" i="1"/>
  <c r="AQ319" i="1"/>
  <c r="W315" i="1"/>
  <c r="AR289" i="1"/>
  <c r="AR280" i="1"/>
  <c r="AR257" i="1"/>
  <c r="AB228" i="1"/>
  <c r="AA228" i="1"/>
  <c r="AQ227" i="1"/>
  <c r="X213" i="1"/>
  <c r="Z213" i="1"/>
  <c r="AC213" i="1"/>
  <c r="Y213" i="1"/>
  <c r="U213" i="1"/>
  <c r="U186" i="1"/>
  <c r="V169" i="1"/>
  <c r="W161" i="1"/>
  <c r="W147" i="1"/>
  <c r="AA131" i="1"/>
  <c r="AB131" i="1"/>
  <c r="AC131" i="1"/>
  <c r="X131" i="1"/>
  <c r="Y131" i="1"/>
  <c r="V119" i="1"/>
  <c r="U107" i="1"/>
  <c r="Y107" i="1"/>
  <c r="X107" i="1"/>
  <c r="Z107" i="1"/>
  <c r="AA107" i="1"/>
  <c r="AB107" i="1"/>
  <c r="AA84" i="1"/>
  <c r="X84" i="1"/>
  <c r="Y84" i="1"/>
  <c r="Z84" i="1"/>
  <c r="AQ79" i="1"/>
  <c r="Y221" i="1"/>
  <c r="AA204" i="1"/>
  <c r="AA187" i="1"/>
  <c r="AC56" i="1"/>
  <c r="V8" i="1"/>
  <c r="U10" i="1"/>
  <c r="AR20" i="1"/>
  <c r="W22" i="1"/>
  <c r="W23" i="1"/>
  <c r="W27" i="1"/>
  <c r="X30" i="1"/>
  <c r="AA30" i="1"/>
  <c r="Z30" i="1"/>
  <c r="Y30" i="1"/>
  <c r="AB30" i="1"/>
  <c r="AC30" i="1"/>
  <c r="V36" i="1"/>
  <c r="AC37" i="1"/>
  <c r="Y37" i="1"/>
  <c r="X37" i="1"/>
  <c r="Z37" i="1"/>
  <c r="AA37" i="1"/>
  <c r="AB37" i="1"/>
  <c r="AC42" i="1"/>
  <c r="Y42" i="1"/>
  <c r="Z42" i="1"/>
  <c r="AB42" i="1"/>
  <c r="X42" i="1"/>
  <c r="AA42" i="1"/>
  <c r="V50" i="1"/>
  <c r="Y51" i="1"/>
  <c r="Z51" i="1"/>
  <c r="AA51" i="1"/>
  <c r="AC51" i="1"/>
  <c r="X51" i="1"/>
  <c r="AB51" i="1"/>
  <c r="AQ55" i="1"/>
  <c r="AR333" i="1"/>
  <c r="V321" i="1"/>
  <c r="W308" i="1"/>
  <c r="AQ282" i="1"/>
  <c r="X211" i="1"/>
  <c r="Y211" i="1"/>
  <c r="AR187" i="1"/>
  <c r="X170" i="1"/>
  <c r="AA170" i="1"/>
  <c r="AB170" i="1"/>
  <c r="Y146" i="1"/>
  <c r="Z146" i="1"/>
  <c r="AB146" i="1"/>
  <c r="AA146" i="1"/>
  <c r="Y144" i="1"/>
  <c r="Z144" i="1"/>
  <c r="AA144" i="1"/>
  <c r="X144" i="1"/>
  <c r="X120" i="1"/>
  <c r="AA120" i="1"/>
  <c r="AB120" i="1"/>
  <c r="Y120" i="1"/>
  <c r="Z120" i="1"/>
  <c r="AC118" i="1"/>
  <c r="Z118" i="1"/>
  <c r="AA118" i="1"/>
  <c r="AB118" i="1"/>
  <c r="X105" i="1"/>
  <c r="Z105" i="1"/>
  <c r="AA105" i="1"/>
  <c r="AC105" i="1"/>
  <c r="U103" i="1"/>
  <c r="X103" i="1"/>
  <c r="Z103" i="1"/>
  <c r="AC103" i="1"/>
  <c r="AA103" i="1"/>
  <c r="AB103" i="1"/>
  <c r="AC211" i="1"/>
  <c r="AA186" i="1"/>
  <c r="AC176" i="1"/>
  <c r="X118" i="1"/>
  <c r="X94" i="1"/>
  <c r="AA14" i="1"/>
  <c r="Z14" i="1"/>
  <c r="AB14" i="1"/>
  <c r="AC14" i="1"/>
  <c r="X14" i="1"/>
  <c r="Y14" i="1"/>
  <c r="AQ36" i="1"/>
  <c r="U38" i="1"/>
  <c r="U43" i="1"/>
  <c r="AR55" i="1"/>
  <c r="V59" i="1"/>
  <c r="V62" i="1"/>
  <c r="V64" i="1"/>
  <c r="AB65" i="1"/>
  <c r="Y65" i="1"/>
  <c r="Z65" i="1"/>
  <c r="X65" i="1"/>
  <c r="AA65" i="1"/>
  <c r="AC65" i="1"/>
  <c r="AC67" i="1"/>
  <c r="Y67" i="1"/>
  <c r="AB67" i="1"/>
  <c r="X67" i="1"/>
  <c r="Z67" i="1"/>
  <c r="AA67" i="1"/>
  <c r="AR313" i="1"/>
  <c r="W274" i="1"/>
  <c r="W255" i="1"/>
  <c r="AA209" i="1"/>
  <c r="AB209" i="1"/>
  <c r="U209" i="1"/>
  <c r="Y209" i="1"/>
  <c r="Z209" i="1"/>
  <c r="Y207" i="1"/>
  <c r="X207" i="1"/>
  <c r="AC207" i="1"/>
  <c r="AQ148" i="1"/>
  <c r="AC142" i="1"/>
  <c r="Y142" i="1"/>
  <c r="Z142" i="1"/>
  <c r="AA142" i="1"/>
  <c r="AB142" i="1"/>
  <c r="AR139" i="1"/>
  <c r="AQ135" i="1"/>
  <c r="AR115" i="1"/>
  <c r="AR113" i="1"/>
  <c r="X101" i="1"/>
  <c r="Y101" i="1"/>
  <c r="U101" i="1"/>
  <c r="Z101" i="1"/>
  <c r="AA101" i="1"/>
  <c r="AC101" i="1"/>
  <c r="AB211" i="1"/>
  <c r="AA176" i="1"/>
  <c r="Z117" i="1"/>
  <c r="AB105" i="1"/>
  <c r="AA48" i="1"/>
  <c r="Y16" i="1"/>
  <c r="Z16" i="1"/>
  <c r="AB16" i="1"/>
  <c r="X16" i="1"/>
  <c r="AA16" i="1"/>
  <c r="AC16" i="1"/>
  <c r="W29" i="1"/>
  <c r="V38" i="1"/>
  <c r="AA39" i="1"/>
  <c r="AB39" i="1"/>
  <c r="X39" i="1"/>
  <c r="Y39" i="1"/>
  <c r="Z39" i="1"/>
  <c r="AA44" i="1"/>
  <c r="X44" i="1"/>
  <c r="Y44" i="1"/>
  <c r="Z44" i="1"/>
  <c r="AB44" i="1"/>
  <c r="AC44" i="1"/>
  <c r="W48" i="1"/>
  <c r="AR50" i="1"/>
  <c r="AR53" i="1"/>
  <c r="W57" i="1"/>
  <c r="X60" i="1"/>
  <c r="AA60" i="1"/>
  <c r="Y60" i="1"/>
  <c r="Z60" i="1"/>
  <c r="AC60" i="1"/>
  <c r="AB60" i="1"/>
  <c r="V66" i="1"/>
  <c r="V335" i="1"/>
  <c r="V310" i="1"/>
  <c r="V280" i="1"/>
  <c r="V259" i="1"/>
  <c r="W232" i="1"/>
  <c r="Y226" i="1"/>
  <c r="Z226" i="1"/>
  <c r="AB226" i="1"/>
  <c r="X226" i="1"/>
  <c r="U226" i="1"/>
  <c r="W209" i="1"/>
  <c r="W202" i="1"/>
  <c r="X153" i="1"/>
  <c r="Z153" i="1"/>
  <c r="AC153" i="1"/>
  <c r="AA153" i="1"/>
  <c r="U117" i="1"/>
  <c r="AQ115" i="1"/>
  <c r="U78" i="1"/>
  <c r="X78" i="1"/>
  <c r="Y78" i="1"/>
  <c r="AA78" i="1"/>
  <c r="AC78" i="1"/>
  <c r="Y76" i="1"/>
  <c r="Z76" i="1"/>
  <c r="AB76" i="1"/>
  <c r="AA76" i="1"/>
  <c r="AC76" i="1"/>
  <c r="X76" i="1"/>
  <c r="AC251" i="1"/>
  <c r="AC244" i="1"/>
  <c r="AB218" i="1"/>
  <c r="AA211" i="1"/>
  <c r="X176" i="1"/>
  <c r="AB138" i="1"/>
  <c r="X117" i="1"/>
  <c r="Y105" i="1"/>
  <c r="W8" i="1"/>
  <c r="V10" i="1"/>
  <c r="X23" i="1"/>
  <c r="Z23" i="1"/>
  <c r="AC23" i="1"/>
  <c r="Y23" i="1"/>
  <c r="AA23" i="1"/>
  <c r="AB23" i="1"/>
  <c r="W31" i="1"/>
  <c r="V32" i="1"/>
  <c r="W36" i="1"/>
  <c r="Y46" i="1"/>
  <c r="Z46" i="1"/>
  <c r="AB46" i="1"/>
  <c r="AC46" i="1"/>
  <c r="X46" i="1"/>
  <c r="AA46" i="1"/>
  <c r="V53" i="1"/>
  <c r="AQ66" i="1"/>
  <c r="AR329" i="1"/>
  <c r="V306" i="1"/>
  <c r="AR298" i="1"/>
  <c r="V295" i="1"/>
  <c r="AQ293" i="1"/>
  <c r="AQ289" i="1"/>
  <c r="AR285" i="1"/>
  <c r="U241" i="1"/>
  <c r="AB241" i="1"/>
  <c r="AA239" i="1"/>
  <c r="AB239" i="1"/>
  <c r="AC239" i="1"/>
  <c r="Z239" i="1"/>
  <c r="U224" i="1"/>
  <c r="AB224" i="1"/>
  <c r="AQ183" i="1"/>
  <c r="AC162" i="1"/>
  <c r="X162" i="1"/>
  <c r="Z162" i="1"/>
  <c r="AB162" i="1"/>
  <c r="U152" i="1"/>
  <c r="X140" i="1"/>
  <c r="AA140" i="1"/>
  <c r="Y140" i="1"/>
  <c r="Z140" i="1"/>
  <c r="U140" i="1"/>
  <c r="V137" i="1"/>
  <c r="AR133" i="1"/>
  <c r="AA129" i="1"/>
  <c r="AB129" i="1"/>
  <c r="AC129" i="1"/>
  <c r="X129" i="1"/>
  <c r="Z129" i="1"/>
  <c r="AQ128" i="1"/>
  <c r="AR122" i="1"/>
  <c r="Y116" i="1"/>
  <c r="Z116" i="1"/>
  <c r="AB116" i="1"/>
  <c r="X116" i="1"/>
  <c r="AC116" i="1"/>
  <c r="U116" i="1"/>
  <c r="W92" i="1"/>
  <c r="AB251" i="1"/>
  <c r="AA218" i="1"/>
  <c r="Z211" i="1"/>
  <c r="AC184" i="1"/>
  <c r="AC175" i="1"/>
  <c r="AB167" i="1"/>
  <c r="AA116" i="1"/>
  <c r="Y40" i="1"/>
  <c r="AB18" i="1"/>
  <c r="AC18" i="1"/>
  <c r="X18" i="1"/>
  <c r="Y18" i="1"/>
  <c r="Z18" i="1"/>
  <c r="AA18" i="1"/>
  <c r="V61" i="1"/>
  <c r="V304" i="1"/>
  <c r="AA235" i="1"/>
  <c r="AB235" i="1"/>
  <c r="AC235" i="1"/>
  <c r="U222" i="1"/>
  <c r="AC222" i="1"/>
  <c r="Z222" i="1"/>
  <c r="U203" i="1"/>
  <c r="X203" i="1"/>
  <c r="Z203" i="1"/>
  <c r="AC203" i="1"/>
  <c r="AA203" i="1"/>
  <c r="AB203" i="1"/>
  <c r="X190" i="1"/>
  <c r="AA190" i="1"/>
  <c r="Y190" i="1"/>
  <c r="Z190" i="1"/>
  <c r="AB190" i="1"/>
  <c r="AC190" i="1"/>
  <c r="U177" i="1"/>
  <c r="Y177" i="1"/>
  <c r="AA177" i="1"/>
  <c r="AB177" i="1"/>
  <c r="AC177" i="1"/>
  <c r="Y151" i="1"/>
  <c r="Z151" i="1"/>
  <c r="Y138" i="1"/>
  <c r="AC138" i="1"/>
  <c r="X138" i="1"/>
  <c r="Z138" i="1"/>
  <c r="AA251" i="1"/>
  <c r="Y235" i="1"/>
  <c r="Z218" i="1"/>
  <c r="Z210" i="1"/>
  <c r="AB175" i="1"/>
  <c r="AC137" i="1"/>
  <c r="AB78" i="1"/>
  <c r="AC39" i="1"/>
  <c r="W66" i="1"/>
  <c r="V333" i="1"/>
  <c r="V326" i="1"/>
  <c r="AQ315" i="1"/>
  <c r="W313" i="1"/>
  <c r="AQ291" i="1"/>
  <c r="AR228" i="1"/>
  <c r="X220" i="1"/>
  <c r="AA220" i="1"/>
  <c r="AB220" i="1"/>
  <c r="Y220" i="1"/>
  <c r="U220" i="1"/>
  <c r="Z220" i="1"/>
  <c r="V146" i="1"/>
  <c r="W137" i="1"/>
  <c r="U127" i="1"/>
  <c r="Y127" i="1"/>
  <c r="AA127" i="1"/>
  <c r="AB127" i="1"/>
  <c r="AC127" i="1"/>
  <c r="X127" i="1"/>
  <c r="Z127" i="1"/>
  <c r="Z251" i="1"/>
  <c r="Z242" i="1"/>
  <c r="X235" i="1"/>
  <c r="AC226" i="1"/>
  <c r="Y218" i="1"/>
  <c r="Z78" i="1"/>
  <c r="AB31" i="1"/>
  <c r="Y11" i="1"/>
  <c r="Z11" i="1"/>
  <c r="AA11" i="1"/>
  <c r="AC11" i="1"/>
  <c r="X11" i="1"/>
  <c r="AB11" i="1"/>
  <c r="W43" i="1"/>
  <c r="AR15" i="1"/>
  <c r="X20" i="1"/>
  <c r="AA20" i="1"/>
  <c r="Y20" i="1"/>
  <c r="Z20" i="1"/>
  <c r="AC20" i="1"/>
  <c r="AB20" i="1"/>
  <c r="V26" i="1"/>
  <c r="AC27" i="1"/>
  <c r="Y27" i="1"/>
  <c r="AB27" i="1"/>
  <c r="X27" i="1"/>
  <c r="Z27" i="1"/>
  <c r="AA27" i="1"/>
  <c r="AC32" i="1"/>
  <c r="X32" i="1"/>
  <c r="Y32" i="1"/>
  <c r="Z32" i="1"/>
  <c r="AA32" i="1"/>
  <c r="AB32" i="1"/>
  <c r="V40" i="1"/>
  <c r="Y41" i="1"/>
  <c r="X41" i="1"/>
  <c r="Z41" i="1"/>
  <c r="AA41" i="1"/>
  <c r="AB41" i="1"/>
  <c r="AC41" i="1"/>
  <c r="AQ45" i="1"/>
  <c r="AQ62" i="1"/>
  <c r="V324" i="1"/>
  <c r="W322" i="1"/>
  <c r="AR320" i="1"/>
  <c r="V266" i="1"/>
  <c r="AR258" i="1"/>
  <c r="X233" i="1"/>
  <c r="Z233" i="1"/>
  <c r="AC233" i="1"/>
  <c r="AA233" i="1"/>
  <c r="U233" i="1"/>
  <c r="Y233" i="1"/>
  <c r="Y216" i="1"/>
  <c r="Z216" i="1"/>
  <c r="AB216" i="1"/>
  <c r="X216" i="1"/>
  <c r="AC216" i="1"/>
  <c r="U198" i="1"/>
  <c r="W187" i="1"/>
  <c r="AA175" i="1"/>
  <c r="X175" i="1"/>
  <c r="Y175" i="1"/>
  <c r="V172" i="1"/>
  <c r="U137" i="1"/>
  <c r="AA125" i="1"/>
  <c r="X125" i="1"/>
  <c r="Y125" i="1"/>
  <c r="Z125" i="1"/>
  <c r="AC125" i="1"/>
  <c r="U111" i="1"/>
  <c r="AQ109" i="1"/>
  <c r="X93" i="1"/>
  <c r="Z93" i="1"/>
  <c r="AC93" i="1"/>
  <c r="AA93" i="1"/>
  <c r="AB93" i="1"/>
  <c r="X70" i="1"/>
  <c r="AA70" i="1"/>
  <c r="Z70" i="1"/>
  <c r="Y70" i="1"/>
  <c r="AB70" i="1"/>
  <c r="AC70" i="1"/>
  <c r="X68" i="1"/>
  <c r="Y68" i="1"/>
  <c r="AC68" i="1"/>
  <c r="Z68" i="1"/>
  <c r="AA68" i="1"/>
  <c r="AB68" i="1"/>
  <c r="X251" i="1"/>
  <c r="X242" i="1"/>
  <c r="AC234" i="1"/>
  <c r="AA226" i="1"/>
  <c r="X218" i="1"/>
  <c r="AC209" i="1"/>
  <c r="Z135" i="1"/>
  <c r="AB125" i="1"/>
  <c r="Y103" i="1"/>
  <c r="AA31" i="1"/>
  <c r="AQ279" i="1"/>
  <c r="V232" i="1"/>
  <c r="AQ230" i="1"/>
  <c r="AR230" i="1"/>
  <c r="Y197" i="1"/>
  <c r="AA197" i="1"/>
  <c r="AB197" i="1"/>
  <c r="U173" i="1"/>
  <c r="X173" i="1"/>
  <c r="Z173" i="1"/>
  <c r="AC173" i="1"/>
  <c r="Y173" i="1"/>
  <c r="AA173" i="1"/>
  <c r="AB173" i="1"/>
  <c r="X160" i="1"/>
  <c r="AA160" i="1"/>
  <c r="AC160" i="1"/>
  <c r="Y160" i="1"/>
  <c r="Z160" i="1"/>
  <c r="AB160" i="1"/>
  <c r="AA149" i="1"/>
  <c r="AB149" i="1"/>
  <c r="Z149" i="1"/>
  <c r="X149" i="1"/>
  <c r="AC149" i="1"/>
  <c r="U123" i="1"/>
  <c r="X123" i="1"/>
  <c r="Z123" i="1"/>
  <c r="AC123" i="1"/>
  <c r="Y123" i="1"/>
  <c r="AA123" i="1"/>
  <c r="AB123" i="1"/>
  <c r="Z91" i="1"/>
  <c r="AB91" i="1"/>
  <c r="AA91" i="1"/>
  <c r="AC91" i="1"/>
  <c r="W90" i="1"/>
  <c r="V80" i="1"/>
  <c r="AC241" i="1"/>
  <c r="AB234" i="1"/>
  <c r="AC217" i="1"/>
  <c r="X209" i="1"/>
  <c r="AB200" i="1"/>
  <c r="AA182" i="1"/>
  <c r="AB164" i="1"/>
  <c r="AC146" i="1"/>
  <c r="X91" i="1"/>
  <c r="Y24" i="1"/>
  <c r="V17" i="1"/>
  <c r="AQ15" i="1"/>
  <c r="V24" i="1"/>
  <c r="V47" i="1"/>
  <c r="W17" i="1"/>
  <c r="V49" i="1"/>
  <c r="X55" i="1"/>
  <c r="AA55" i="1"/>
  <c r="AB55" i="1"/>
  <c r="Y55" i="1"/>
  <c r="Z55" i="1"/>
  <c r="W329" i="1"/>
  <c r="AR311" i="1"/>
  <c r="AQ268" i="1"/>
  <c r="V13" i="1"/>
  <c r="AA29" i="1"/>
  <c r="AB29" i="1"/>
  <c r="X29" i="1"/>
  <c r="Z29" i="1"/>
  <c r="AC29" i="1"/>
  <c r="Y29" i="1"/>
  <c r="W38" i="1"/>
  <c r="X50" i="1"/>
  <c r="AA50" i="1"/>
  <c r="Y50" i="1"/>
  <c r="Z50" i="1"/>
  <c r="AB50" i="1"/>
  <c r="AC50" i="1"/>
  <c r="AC57" i="1"/>
  <c r="Y57" i="1"/>
  <c r="X57" i="1"/>
  <c r="Z57" i="1"/>
  <c r="AA57" i="1"/>
  <c r="AB57" i="1"/>
  <c r="AC62" i="1"/>
  <c r="X62" i="1"/>
  <c r="Y62" i="1"/>
  <c r="Z62" i="1"/>
  <c r="AA62" i="1"/>
  <c r="AB62" i="1"/>
  <c r="V311" i="1"/>
  <c r="AA231" i="1"/>
  <c r="AB231" i="1"/>
  <c r="AC231" i="1"/>
  <c r="Z231" i="1"/>
  <c r="Y186" i="1"/>
  <c r="Z186" i="1"/>
  <c r="AB186" i="1"/>
  <c r="AC186" i="1"/>
  <c r="W177" i="1"/>
  <c r="AQ166" i="1"/>
  <c r="AC108" i="1"/>
  <c r="X108" i="1"/>
  <c r="Z108" i="1"/>
  <c r="Y108" i="1"/>
  <c r="AA108" i="1"/>
  <c r="U87" i="1"/>
  <c r="AC87" i="1"/>
  <c r="Y87" i="1"/>
  <c r="X87" i="1"/>
  <c r="AA87" i="1"/>
  <c r="AB87" i="1"/>
  <c r="AQ76" i="1"/>
  <c r="AA241" i="1"/>
  <c r="Z234" i="1"/>
  <c r="AB217" i="1"/>
  <c r="Z200" i="1"/>
  <c r="Z182" i="1"/>
  <c r="X146" i="1"/>
  <c r="AC134" i="1"/>
  <c r="AB101" i="1"/>
  <c r="AB22" i="1"/>
  <c r="AR10" i="1"/>
  <c r="AB25" i="1"/>
  <c r="Y25" i="1"/>
  <c r="Z25" i="1"/>
  <c r="X25" i="1"/>
  <c r="AA25" i="1"/>
  <c r="AC25" i="1"/>
  <c r="W34" i="1"/>
  <c r="X53" i="1"/>
  <c r="Z53" i="1"/>
  <c r="AC53" i="1"/>
  <c r="Y53" i="1"/>
  <c r="AA53" i="1"/>
  <c r="AB53" i="1"/>
  <c r="AQ26" i="1"/>
  <c r="U42" i="1"/>
  <c r="V52" i="1"/>
  <c r="V54" i="1"/>
  <c r="W64" i="1"/>
  <c r="AQ309" i="1"/>
  <c r="W19" i="1"/>
  <c r="V28" i="1"/>
  <c r="AA34" i="1"/>
  <c r="AC34" i="1"/>
  <c r="Y34" i="1"/>
  <c r="Z34" i="1"/>
  <c r="X34" i="1"/>
  <c r="AB34" i="1"/>
  <c r="AR40" i="1"/>
  <c r="AR43" i="1"/>
  <c r="W47" i="1"/>
  <c r="V56" i="1"/>
  <c r="W336" i="1"/>
  <c r="W266" i="1"/>
  <c r="W230" i="1"/>
  <c r="AC214" i="1"/>
  <c r="X214" i="1"/>
  <c r="Y214" i="1"/>
  <c r="Z214" i="1"/>
  <c r="V196" i="1"/>
  <c r="AR148" i="1"/>
  <c r="AC132" i="1"/>
  <c r="AB132" i="1"/>
  <c r="X132" i="1"/>
  <c r="Y132" i="1"/>
  <c r="AR127" i="1"/>
  <c r="AA121" i="1"/>
  <c r="X121" i="1"/>
  <c r="Z121" i="1"/>
  <c r="AB121" i="1"/>
  <c r="AA164" i="1"/>
  <c r="AQ7" i="1"/>
  <c r="X8" i="1"/>
  <c r="Y8" i="1"/>
  <c r="Z8" i="1"/>
  <c r="AA8" i="1"/>
  <c r="AB8" i="1"/>
  <c r="AC8" i="1"/>
  <c r="W21" i="1"/>
  <c r="V22" i="1"/>
  <c r="W26" i="1"/>
  <c r="U30" i="1"/>
  <c r="U35" i="1"/>
  <c r="Y36" i="1"/>
  <c r="Z36" i="1"/>
  <c r="AB36" i="1"/>
  <c r="AA36" i="1"/>
  <c r="AC36" i="1"/>
  <c r="X36" i="1"/>
  <c r="V43" i="1"/>
  <c r="U51" i="1"/>
  <c r="AQ56" i="1"/>
  <c r="U58" i="1"/>
  <c r="U63" i="1"/>
  <c r="AR330" i="1"/>
  <c r="AR327" i="1"/>
  <c r="W296" i="1"/>
  <c r="AQ294" i="1"/>
  <c r="W290" i="1"/>
  <c r="V285" i="1"/>
  <c r="AR281" i="1"/>
  <c r="V273" i="1"/>
  <c r="AR256" i="1"/>
  <c r="AA229" i="1"/>
  <c r="AB229" i="1"/>
  <c r="AC229" i="1"/>
  <c r="X229" i="1"/>
  <c r="U229" i="1"/>
  <c r="U228" i="1"/>
  <c r="V226" i="1"/>
  <c r="AC212" i="1"/>
  <c r="X212" i="1"/>
  <c r="Z212" i="1"/>
  <c r="AA171" i="1"/>
  <c r="X171" i="1"/>
  <c r="AC158" i="1"/>
  <c r="X158" i="1"/>
  <c r="Z158" i="1"/>
  <c r="W148" i="1"/>
  <c r="U131" i="1"/>
  <c r="Y106" i="1"/>
  <c r="Z106" i="1"/>
  <c r="AB106" i="1"/>
  <c r="AA106" i="1"/>
  <c r="AC106" i="1"/>
  <c r="X106" i="1"/>
  <c r="V105" i="1"/>
  <c r="Z85" i="1"/>
  <c r="AA85" i="1"/>
  <c r="AB85" i="1"/>
  <c r="X85" i="1"/>
  <c r="Y85" i="1"/>
  <c r="AC85" i="1"/>
  <c r="U83" i="1"/>
  <c r="X83" i="1"/>
  <c r="Z83" i="1"/>
  <c r="AC83" i="1"/>
  <c r="AB83" i="1"/>
  <c r="Y83" i="1"/>
  <c r="AA83" i="1"/>
  <c r="Y249" i="1"/>
  <c r="Z241" i="1"/>
  <c r="X234" i="1"/>
  <c r="AC224" i="1"/>
  <c r="Z217" i="1"/>
  <c r="AB207" i="1"/>
  <c r="Y191" i="1"/>
  <c r="Z164" i="1"/>
  <c r="AB134" i="1"/>
  <c r="AB122" i="1"/>
  <c r="AC15" i="1"/>
  <c r="V19" i="1"/>
  <c r="AR38" i="1"/>
  <c r="Y48" i="1"/>
  <c r="AB48" i="1"/>
  <c r="AC48" i="1"/>
  <c r="X48" i="1"/>
  <c r="AQ61" i="1"/>
  <c r="W13" i="1"/>
  <c r="AR45" i="1"/>
  <c r="V9" i="1"/>
  <c r="X13" i="1"/>
  <c r="Z13" i="1"/>
  <c r="AC13" i="1"/>
  <c r="Y13" i="1"/>
  <c r="AA13" i="1"/>
  <c r="AB13" i="1"/>
  <c r="AQ24" i="1"/>
  <c r="U37" i="1"/>
  <c r="W49" i="1"/>
  <c r="V51" i="1"/>
  <c r="AQ58" i="1"/>
  <c r="AA59" i="1"/>
  <c r="AB59" i="1"/>
  <c r="X59" i="1"/>
  <c r="Y59" i="1"/>
  <c r="Z59" i="1"/>
  <c r="AC59" i="1"/>
  <c r="AA64" i="1"/>
  <c r="X64" i="1"/>
  <c r="AB64" i="1"/>
  <c r="AC64" i="1"/>
  <c r="AR325" i="1"/>
  <c r="Y227" i="1"/>
  <c r="AA227" i="1"/>
  <c r="AB227" i="1"/>
  <c r="AC227" i="1"/>
  <c r="X227" i="1"/>
  <c r="Z227" i="1"/>
  <c r="W222" i="1"/>
  <c r="AQ214" i="1"/>
  <c r="AQ212" i="1"/>
  <c r="X210" i="1"/>
  <c r="AA210" i="1"/>
  <c r="AC210" i="1"/>
  <c r="AB210" i="1"/>
  <c r="Z195" i="1"/>
  <c r="AB195" i="1"/>
  <c r="AC195" i="1"/>
  <c r="Y184" i="1"/>
  <c r="Z184" i="1"/>
  <c r="AA184" i="1"/>
  <c r="AB184" i="1"/>
  <c r="AC182" i="1"/>
  <c r="AB182" i="1"/>
  <c r="U182" i="1"/>
  <c r="AA169" i="1"/>
  <c r="AB169" i="1"/>
  <c r="X169" i="1"/>
  <c r="Y169" i="1"/>
  <c r="Y156" i="1"/>
  <c r="Z156" i="1"/>
  <c r="AB156" i="1"/>
  <c r="AA156" i="1"/>
  <c r="AC156" i="1"/>
  <c r="AR151" i="1"/>
  <c r="Z145" i="1"/>
  <c r="AB145" i="1"/>
  <c r="X145" i="1"/>
  <c r="Y145" i="1"/>
  <c r="Y241" i="1"/>
  <c r="AB233" i="1"/>
  <c r="AA224" i="1"/>
  <c r="AA216" i="1"/>
  <c r="AA207" i="1"/>
  <c r="X182" i="1"/>
  <c r="Y164" i="1"/>
  <c r="AA145" i="1"/>
  <c r="AA134" i="1"/>
  <c r="Z15" i="1"/>
  <c r="W270" i="1"/>
  <c r="AQ238" i="1"/>
  <c r="AQ200" i="1"/>
  <c r="Y194" i="1"/>
  <c r="Z194" i="1"/>
  <c r="AA194" i="1"/>
  <c r="AQ193" i="1"/>
  <c r="AA185" i="1"/>
  <c r="AB185" i="1"/>
  <c r="AC185" i="1"/>
  <c r="X183" i="1"/>
  <c r="Z183" i="1"/>
  <c r="AC183" i="1"/>
  <c r="AA183" i="1"/>
  <c r="X161" i="1"/>
  <c r="Y161" i="1"/>
  <c r="X150" i="1"/>
  <c r="AA150" i="1"/>
  <c r="AC150" i="1"/>
  <c r="Y150" i="1"/>
  <c r="AQ147" i="1"/>
  <c r="X130" i="1"/>
  <c r="AA130" i="1"/>
  <c r="AQ116" i="1"/>
  <c r="X110" i="1"/>
  <c r="AA110" i="1"/>
  <c r="AC110" i="1"/>
  <c r="AQ105" i="1"/>
  <c r="AC82" i="1"/>
  <c r="Z82" i="1"/>
  <c r="AB82" i="1"/>
  <c r="Z185" i="1"/>
  <c r="Y174" i="1"/>
  <c r="X168" i="1"/>
  <c r="AC161" i="1"/>
  <c r="AB155" i="1"/>
  <c r="Z150" i="1"/>
  <c r="Z114" i="1"/>
  <c r="X71" i="1"/>
  <c r="AR251" i="1"/>
  <c r="U245" i="1"/>
  <c r="AB245" i="1"/>
  <c r="X243" i="1"/>
  <c r="Z243" i="1"/>
  <c r="AC243" i="1"/>
  <c r="AA199" i="1"/>
  <c r="AB199" i="1"/>
  <c r="Z199" i="1"/>
  <c r="AC192" i="1"/>
  <c r="Y192" i="1"/>
  <c r="AQ189" i="1"/>
  <c r="AA181" i="1"/>
  <c r="AB181" i="1"/>
  <c r="AC181" i="1"/>
  <c r="U159" i="1"/>
  <c r="AA159" i="1"/>
  <c r="AB159" i="1"/>
  <c r="AQ158" i="1"/>
  <c r="AQ149" i="1"/>
  <c r="W143" i="1"/>
  <c r="AA139" i="1"/>
  <c r="AB139" i="1"/>
  <c r="AC139" i="1"/>
  <c r="V136" i="1"/>
  <c r="AA119" i="1"/>
  <c r="AB119" i="1"/>
  <c r="X119" i="1"/>
  <c r="Y119" i="1"/>
  <c r="W97" i="1"/>
  <c r="Z95" i="1"/>
  <c r="AB95" i="1"/>
  <c r="W86" i="1"/>
  <c r="Y185" i="1"/>
  <c r="X174" i="1"/>
  <c r="AB161" i="1"/>
  <c r="AA155" i="1"/>
  <c r="Y114" i="1"/>
  <c r="AR249" i="1"/>
  <c r="V247" i="1"/>
  <c r="AR245" i="1"/>
  <c r="AR234" i="1"/>
  <c r="V187" i="1"/>
  <c r="AQ185" i="1"/>
  <c r="Y157" i="1"/>
  <c r="X157" i="1"/>
  <c r="Y148" i="1"/>
  <c r="Z148" i="1"/>
  <c r="AA148" i="1"/>
  <c r="W132" i="1"/>
  <c r="V127" i="1"/>
  <c r="AC104" i="1"/>
  <c r="X104" i="1"/>
  <c r="Z104" i="1"/>
  <c r="AC102" i="1"/>
  <c r="Y102" i="1"/>
  <c r="Z102" i="1"/>
  <c r="AA102" i="1"/>
  <c r="AR88" i="1"/>
  <c r="AA74" i="1"/>
  <c r="AC74" i="1"/>
  <c r="Y74" i="1"/>
  <c r="V73" i="1"/>
  <c r="AQ69" i="1"/>
  <c r="AC248" i="1"/>
  <c r="Y243" i="1"/>
  <c r="AC237" i="1"/>
  <c r="AC196" i="1"/>
  <c r="AA178" i="1"/>
  <c r="Z172" i="1"/>
  <c r="AC148" i="1"/>
  <c r="Y95" i="1"/>
  <c r="V296" i="1"/>
  <c r="AQ290" i="1"/>
  <c r="AQ260" i="1"/>
  <c r="U252" i="1"/>
  <c r="AC252" i="1"/>
  <c r="Y252" i="1"/>
  <c r="Z252" i="1"/>
  <c r="AA252" i="1"/>
  <c r="X250" i="1"/>
  <c r="AA250" i="1"/>
  <c r="AC250" i="1"/>
  <c r="Y250" i="1"/>
  <c r="V243" i="1"/>
  <c r="W227" i="1"/>
  <c r="AQ225" i="1"/>
  <c r="AQ216" i="1"/>
  <c r="U208" i="1"/>
  <c r="AC208" i="1"/>
  <c r="X208" i="1"/>
  <c r="Z208" i="1"/>
  <c r="AA179" i="1"/>
  <c r="AB179" i="1"/>
  <c r="AC179" i="1"/>
  <c r="X179" i="1"/>
  <c r="AQ178" i="1"/>
  <c r="V168" i="1"/>
  <c r="AQ165" i="1"/>
  <c r="W163" i="1"/>
  <c r="AQ152" i="1"/>
  <c r="V128" i="1"/>
  <c r="AQ125" i="1"/>
  <c r="U115" i="1"/>
  <c r="X115" i="1"/>
  <c r="Y115" i="1"/>
  <c r="V114" i="1"/>
  <c r="U89" i="1"/>
  <c r="AA89" i="1"/>
  <c r="AB89" i="1"/>
  <c r="AC89" i="1"/>
  <c r="AC72" i="1"/>
  <c r="X72" i="1"/>
  <c r="Y72" i="1"/>
  <c r="Z72" i="1"/>
  <c r="Y208" i="1"/>
  <c r="AC201" i="1"/>
  <c r="Z178" i="1"/>
  <c r="Y172" i="1"/>
  <c r="AB148" i="1"/>
  <c r="AC136" i="1"/>
  <c r="AC130" i="1"/>
  <c r="AB112" i="1"/>
  <c r="X95" i="1"/>
  <c r="AC88" i="1"/>
  <c r="AA82" i="1"/>
  <c r="AR303" i="1"/>
  <c r="W286" i="1"/>
  <c r="Y248" i="1"/>
  <c r="Z248" i="1"/>
  <c r="AA248" i="1"/>
  <c r="Y237" i="1"/>
  <c r="AB237" i="1"/>
  <c r="AA219" i="1"/>
  <c r="AB219" i="1"/>
  <c r="X219" i="1"/>
  <c r="Y219" i="1"/>
  <c r="Y206" i="1"/>
  <c r="Z206" i="1"/>
  <c r="AB206" i="1"/>
  <c r="AA206" i="1"/>
  <c r="AC206" i="1"/>
  <c r="V178" i="1"/>
  <c r="Y166" i="1"/>
  <c r="Z166" i="1"/>
  <c r="AB166" i="1"/>
  <c r="X166" i="1"/>
  <c r="AC166" i="1"/>
  <c r="V154" i="1"/>
  <c r="Y126" i="1"/>
  <c r="Z126" i="1"/>
  <c r="AB126" i="1"/>
  <c r="V125" i="1"/>
  <c r="AQ123" i="1"/>
  <c r="U113" i="1"/>
  <c r="X113" i="1"/>
  <c r="Z113" i="1"/>
  <c r="AC113" i="1"/>
  <c r="Y113" i="1"/>
  <c r="X100" i="1"/>
  <c r="AA100" i="1"/>
  <c r="AC100" i="1"/>
  <c r="Y100" i="1"/>
  <c r="V99" i="1"/>
  <c r="U88" i="1"/>
  <c r="U71" i="1"/>
  <c r="X248" i="1"/>
  <c r="Z237" i="1"/>
  <c r="AC219" i="1"/>
  <c r="AB201" i="1"/>
  <c r="Y178" i="1"/>
  <c r="X172" i="1"/>
  <c r="X148" i="1"/>
  <c r="AB130" i="1"/>
  <c r="AB88" i="1"/>
  <c r="Y82" i="1"/>
  <c r="Y196" i="1"/>
  <c r="Z196" i="1"/>
  <c r="AB196" i="1"/>
  <c r="AA196" i="1"/>
  <c r="V177" i="1"/>
  <c r="V151" i="1"/>
  <c r="Y136" i="1"/>
  <c r="Z136" i="1"/>
  <c r="AB136" i="1"/>
  <c r="AQ122" i="1"/>
  <c r="AC112" i="1"/>
  <c r="X112" i="1"/>
  <c r="Z112" i="1"/>
  <c r="W107" i="1"/>
  <c r="AA99" i="1"/>
  <c r="AB99" i="1"/>
  <c r="Z99" i="1"/>
  <c r="AQ96" i="1"/>
  <c r="AQ85" i="1"/>
  <c r="W83" i="1"/>
  <c r="Z245" i="1"/>
  <c r="AB192" i="1"/>
  <c r="X181" i="1"/>
  <c r="AB168" i="1"/>
  <c r="AA157" i="1"/>
  <c r="X139" i="1"/>
  <c r="AA115" i="1"/>
  <c r="AB97" i="1"/>
  <c r="AC71" i="1"/>
  <c r="AQ78" i="1"/>
  <c r="V337" i="1"/>
  <c r="AA79" i="1"/>
  <c r="AB79" i="1"/>
  <c r="AC77" i="1"/>
  <c r="Y77" i="1"/>
  <c r="U92" i="1"/>
  <c r="X80" i="1"/>
  <c r="AA80" i="1"/>
  <c r="AQ75" i="1"/>
  <c r="Y92" i="1"/>
  <c r="X79" i="1"/>
  <c r="AQ337" i="1"/>
  <c r="AR338" i="1"/>
  <c r="AR341" i="1"/>
  <c r="W337" i="1"/>
  <c r="AQ240" i="1"/>
  <c r="AR240" i="1"/>
  <c r="V240" i="1"/>
  <c r="W240" i="1"/>
  <c r="W213" i="1"/>
  <c r="AQ213" i="1"/>
  <c r="AR213" i="1"/>
  <c r="W304" i="1"/>
  <c r="V297" i="1"/>
  <c r="AR294" i="1"/>
  <c r="W289" i="1"/>
  <c r="AQ284" i="1"/>
  <c r="AR259" i="1"/>
  <c r="AQ258" i="1"/>
  <c r="V252" i="1"/>
  <c r="AQ252" i="1"/>
  <c r="V246" i="1"/>
  <c r="AQ246" i="1"/>
  <c r="AQ229" i="1"/>
  <c r="AR203" i="1"/>
  <c r="W203" i="1"/>
  <c r="W198" i="1"/>
  <c r="AR198" i="1"/>
  <c r="AR170" i="1"/>
  <c r="W170" i="1"/>
  <c r="V142" i="1"/>
  <c r="W142" i="1"/>
  <c r="W333" i="1"/>
  <c r="V320" i="1"/>
  <c r="AQ320" i="1"/>
  <c r="AQ314" i="1"/>
  <c r="V301" i="1"/>
  <c r="AQ295" i="1"/>
  <c r="V290" i="1"/>
  <c r="V289" i="1"/>
  <c r="W279" i="1"/>
  <c r="AR267" i="1"/>
  <c r="AQ259" i="1"/>
  <c r="AQ255" i="1"/>
  <c r="V249" i="1"/>
  <c r="AQ249" i="1"/>
  <c r="AR238" i="1"/>
  <c r="V221" i="1"/>
  <c r="W221" i="1"/>
  <c r="AQ221" i="1"/>
  <c r="V200" i="1"/>
  <c r="AQ126" i="1"/>
  <c r="AQ328" i="1"/>
  <c r="AR318" i="1"/>
  <c r="AQ312" i="1"/>
  <c r="AQ280" i="1"/>
  <c r="AR241" i="1"/>
  <c r="V198" i="1"/>
  <c r="AQ71" i="1"/>
  <c r="V71" i="1"/>
  <c r="AQ326" i="1"/>
  <c r="AQ310" i="1"/>
  <c r="AQ308" i="1"/>
  <c r="AQ264" i="1"/>
  <c r="V258" i="1"/>
  <c r="W320" i="1"/>
  <c r="AR309" i="1"/>
  <c r="V305" i="1"/>
  <c r="AQ305" i="1"/>
  <c r="W297" i="1"/>
  <c r="V294" i="1"/>
  <c r="AR292" i="1"/>
  <c r="W287" i="1"/>
  <c r="V282" i="1"/>
  <c r="AR274" i="1"/>
  <c r="AQ273" i="1"/>
  <c r="V267" i="1"/>
  <c r="AQ267" i="1"/>
  <c r="W264" i="1"/>
  <c r="AQ250" i="1"/>
  <c r="V213" i="1"/>
  <c r="AQ173" i="1"/>
  <c r="AR173" i="1"/>
  <c r="AQ278" i="1"/>
  <c r="V278" i="1"/>
  <c r="V328" i="1"/>
  <c r="AQ325" i="1"/>
  <c r="W317" i="1"/>
  <c r="V312" i="1"/>
  <c r="V308" i="1"/>
  <c r="AR295" i="1"/>
  <c r="W295" i="1"/>
  <c r="W291" i="1"/>
  <c r="AR291" i="1"/>
  <c r="AQ270" i="1"/>
  <c r="V264" i="1"/>
  <c r="W261" i="1"/>
  <c r="W250" i="1"/>
  <c r="AQ335" i="1"/>
  <c r="AQ329" i="1"/>
  <c r="AQ321" i="1"/>
  <c r="V309" i="1"/>
  <c r="AQ303" i="1"/>
  <c r="W302" i="1"/>
  <c r="AR302" i="1"/>
  <c r="AQ298" i="1"/>
  <c r="V298" i="1"/>
  <c r="W294" i="1"/>
  <c r="AQ276" i="1"/>
  <c r="V270" i="1"/>
  <c r="W267" i="1"/>
  <c r="V261" i="1"/>
  <c r="W253" i="1"/>
  <c r="AR253" i="1"/>
  <c r="AR250" i="1"/>
  <c r="AR247" i="1"/>
  <c r="V238" i="1"/>
  <c r="AQ236" i="1"/>
  <c r="AR189" i="1"/>
  <c r="AR335" i="1"/>
  <c r="AR334" i="1"/>
  <c r="AQ317" i="1"/>
  <c r="AQ313" i="1"/>
  <c r="AR306" i="1"/>
  <c r="AR296" i="1"/>
  <c r="V287" i="1"/>
  <c r="AR284" i="1"/>
  <c r="W284" i="1"/>
  <c r="V283" i="1"/>
  <c r="V250" i="1"/>
  <c r="AQ244" i="1"/>
  <c r="AQ211" i="1"/>
  <c r="V211" i="1"/>
  <c r="U207" i="1"/>
  <c r="V206" i="1"/>
  <c r="AQ202" i="1"/>
  <c r="W188" i="1"/>
  <c r="W183" i="1"/>
  <c r="U77" i="1"/>
  <c r="V224" i="1"/>
  <c r="W224" i="1"/>
  <c r="AQ224" i="1"/>
  <c r="AR224" i="1"/>
  <c r="AR219" i="1"/>
  <c r="AQ129" i="1"/>
  <c r="AR129" i="1"/>
  <c r="W129" i="1"/>
  <c r="W326" i="1"/>
  <c r="V325" i="1"/>
  <c r="V302" i="1"/>
  <c r="V299" i="1"/>
  <c r="AQ299" i="1"/>
  <c r="W283" i="1"/>
  <c r="W280" i="1"/>
  <c r="AR265" i="1"/>
  <c r="W265" i="1"/>
  <c r="W262" i="1"/>
  <c r="V253" i="1"/>
  <c r="AQ253" i="1"/>
  <c r="V244" i="1"/>
  <c r="AR242" i="1"/>
  <c r="W242" i="1"/>
  <c r="W241" i="1"/>
  <c r="V233" i="1"/>
  <c r="AR233" i="1"/>
  <c r="W214" i="1"/>
  <c r="AR191" i="1"/>
  <c r="V191" i="1"/>
  <c r="AQ191" i="1"/>
  <c r="W191" i="1"/>
  <c r="AR176" i="1"/>
  <c r="V176" i="1"/>
  <c r="W176" i="1"/>
  <c r="AQ176" i="1"/>
  <c r="W325" i="1"/>
  <c r="AQ296" i="1"/>
  <c r="V279" i="1"/>
  <c r="W310" i="1"/>
  <c r="V334" i="1"/>
  <c r="V322" i="1"/>
  <c r="W309" i="1"/>
  <c r="W292" i="1"/>
  <c r="V291" i="1"/>
  <c r="AR288" i="1"/>
  <c r="W288" i="1"/>
  <c r="W277" i="1"/>
  <c r="AR277" i="1"/>
  <c r="W256" i="1"/>
  <c r="AR248" i="1"/>
  <c r="W247" i="1"/>
  <c r="V241" i="1"/>
  <c r="W239" i="1"/>
  <c r="V236" i="1"/>
  <c r="V222" i="1"/>
  <c r="U215" i="1"/>
  <c r="AQ199" i="1"/>
  <c r="V164" i="1"/>
  <c r="AQ164" i="1"/>
  <c r="AR103" i="1"/>
  <c r="W103" i="1"/>
  <c r="AQ103" i="1"/>
  <c r="V313" i="1"/>
  <c r="AQ286" i="1"/>
  <c r="V219" i="1"/>
  <c r="W219" i="1"/>
  <c r="V217" i="1"/>
  <c r="W217" i="1"/>
  <c r="AQ217" i="1"/>
  <c r="AR217" i="1"/>
  <c r="AR207" i="1"/>
  <c r="V207" i="1"/>
  <c r="AQ204" i="1"/>
  <c r="W204" i="1"/>
  <c r="W303" i="1"/>
  <c r="AR282" i="1"/>
  <c r="U192" i="1"/>
  <c r="AR331" i="1"/>
  <c r="AR301" i="1"/>
  <c r="AR300" i="1"/>
  <c r="AQ277" i="1"/>
  <c r="U249" i="1"/>
  <c r="V242" i="1"/>
  <c r="AQ242" i="1"/>
  <c r="AR316" i="1"/>
  <c r="AR307" i="1"/>
  <c r="AQ285" i="1"/>
  <c r="AR263" i="1"/>
  <c r="V257" i="1"/>
  <c r="AQ257" i="1"/>
  <c r="AQ251" i="1"/>
  <c r="AQ248" i="1"/>
  <c r="AQ245" i="1"/>
  <c r="AR220" i="1"/>
  <c r="AQ323" i="1"/>
  <c r="AR319" i="1"/>
  <c r="V319" i="1"/>
  <c r="AQ316" i="1"/>
  <c r="AR315" i="1"/>
  <c r="AR308" i="1"/>
  <c r="W281" i="1"/>
  <c r="V274" i="1"/>
  <c r="V268" i="1"/>
  <c r="AR255" i="1"/>
  <c r="AR254" i="1"/>
  <c r="W254" i="1"/>
  <c r="AQ234" i="1"/>
  <c r="U232" i="1"/>
  <c r="AR225" i="1"/>
  <c r="AR194" i="1"/>
  <c r="W194" i="1"/>
  <c r="AR182" i="1"/>
  <c r="W182" i="1"/>
  <c r="AQ331" i="1"/>
  <c r="T331" i="1" s="1"/>
  <c r="AR304" i="1"/>
  <c r="AQ300" i="1"/>
  <c r="AR293" i="1"/>
  <c r="AR279" i="1"/>
  <c r="AR266" i="1"/>
  <c r="AR235" i="1"/>
  <c r="AQ231" i="1"/>
  <c r="AR218" i="1"/>
  <c r="W210" i="1"/>
  <c r="AR210" i="1"/>
  <c r="AQ194" i="1"/>
  <c r="AR336" i="1"/>
  <c r="AQ333" i="1"/>
  <c r="W323" i="1"/>
  <c r="V307" i="1"/>
  <c r="AQ307" i="1"/>
  <c r="V292" i="1"/>
  <c r="AQ281" i="1"/>
  <c r="V272" i="1"/>
  <c r="AQ272" i="1"/>
  <c r="W269" i="1"/>
  <c r="V263" i="1"/>
  <c r="AR260" i="1"/>
  <c r="W257" i="1"/>
  <c r="AR243" i="1"/>
  <c r="W243" i="1"/>
  <c r="V237" i="1"/>
  <c r="W237" i="1"/>
  <c r="AQ237" i="1"/>
  <c r="AR237" i="1"/>
  <c r="W234" i="1"/>
  <c r="V220" i="1"/>
  <c r="AQ220" i="1"/>
  <c r="AR215" i="1"/>
  <c r="W215" i="1"/>
  <c r="V197" i="1"/>
  <c r="AQ197" i="1"/>
  <c r="W332" i="1"/>
  <c r="W331" i="1"/>
  <c r="W328" i="1"/>
  <c r="AR324" i="1"/>
  <c r="W324" i="1"/>
  <c r="V323" i="1"/>
  <c r="V315" i="1"/>
  <c r="AQ311" i="1"/>
  <c r="W300" i="1"/>
  <c r="AR286" i="1"/>
  <c r="AR283" i="1"/>
  <c r="V281" i="1"/>
  <c r="AR278" i="1"/>
  <c r="AR275" i="1"/>
  <c r="W275" i="1"/>
  <c r="V260" i="1"/>
  <c r="V254" i="1"/>
  <c r="W251" i="1"/>
  <c r="V234" i="1"/>
  <c r="W228" i="1"/>
  <c r="U183" i="1"/>
  <c r="V182" i="1"/>
  <c r="AQ182" i="1"/>
  <c r="V331" i="1"/>
  <c r="W307" i="1"/>
  <c r="AQ304" i="1"/>
  <c r="V300" i="1"/>
  <c r="AR297" i="1"/>
  <c r="W273" i="1"/>
  <c r="AR273" i="1"/>
  <c r="AQ266" i="1"/>
  <c r="W263" i="1"/>
  <c r="W258" i="1"/>
  <c r="AR252" i="1"/>
  <c r="W252" i="1"/>
  <c r="V251" i="1"/>
  <c r="U244" i="1"/>
  <c r="AR229" i="1"/>
  <c r="W229" i="1"/>
  <c r="W207" i="1"/>
  <c r="AR200" i="1"/>
  <c r="W200" i="1"/>
  <c r="U156" i="1"/>
  <c r="V336" i="1"/>
  <c r="AR290" i="1"/>
  <c r="V269" i="1"/>
  <c r="AQ243" i="1"/>
  <c r="AQ223" i="1"/>
  <c r="U211" i="1"/>
  <c r="AQ153" i="1"/>
  <c r="AR141" i="1"/>
  <c r="W141" i="1"/>
  <c r="U124" i="1"/>
  <c r="AQ155" i="1"/>
  <c r="U147" i="1"/>
  <c r="AR120" i="1"/>
  <c r="W120" i="1"/>
  <c r="V108" i="1"/>
  <c r="AR108" i="1"/>
  <c r="AQ84" i="1"/>
  <c r="V84" i="1"/>
  <c r="U248" i="1"/>
  <c r="U237" i="1"/>
  <c r="V235" i="1"/>
  <c r="AQ235" i="1"/>
  <c r="AR231" i="1"/>
  <c r="AR223" i="1"/>
  <c r="V204" i="1"/>
  <c r="U199" i="1"/>
  <c r="W185" i="1"/>
  <c r="AR185" i="1"/>
  <c r="AQ177" i="1"/>
  <c r="AR158" i="1"/>
  <c r="V129" i="1"/>
  <c r="AR126" i="1"/>
  <c r="V126" i="1"/>
  <c r="W126" i="1"/>
  <c r="U104" i="1"/>
  <c r="V100" i="1"/>
  <c r="AR95" i="1"/>
  <c r="W95" i="1"/>
  <c r="W77" i="1"/>
  <c r="AR77" i="1"/>
  <c r="AR201" i="1"/>
  <c r="V201" i="1"/>
  <c r="V194" i="1"/>
  <c r="AQ170" i="1"/>
  <c r="AR163" i="1"/>
  <c r="V161" i="1"/>
  <c r="W158" i="1"/>
  <c r="W146" i="1"/>
  <c r="W135" i="1"/>
  <c r="AR135" i="1"/>
  <c r="W108" i="1"/>
  <c r="V103" i="1"/>
  <c r="U97" i="1"/>
  <c r="AR82" i="1"/>
  <c r="W82" i="1"/>
  <c r="V265" i="1"/>
  <c r="W226" i="1"/>
  <c r="V215" i="1"/>
  <c r="AQ215" i="1"/>
  <c r="W212" i="1"/>
  <c r="AQ208" i="1"/>
  <c r="W205" i="1"/>
  <c r="V317" i="1"/>
  <c r="AQ288" i="1"/>
  <c r="W282" i="1"/>
  <c r="AR271" i="1"/>
  <c r="AR261" i="1"/>
  <c r="V255" i="1"/>
  <c r="W245" i="1"/>
  <c r="AR236" i="1"/>
  <c r="V231" i="1"/>
  <c r="V218" i="1"/>
  <c r="AQ198" i="1"/>
  <c r="V188" i="1"/>
  <c r="AQ188" i="1"/>
  <c r="AR183" i="1"/>
  <c r="U179" i="1"/>
  <c r="V170" i="1"/>
  <c r="AR159" i="1"/>
  <c r="V158" i="1"/>
  <c r="W153" i="1"/>
  <c r="AQ120" i="1"/>
  <c r="AR106" i="1"/>
  <c r="W106" i="1"/>
  <c r="AQ95" i="1"/>
  <c r="V87" i="1"/>
  <c r="AR209" i="1"/>
  <c r="AQ196" i="1"/>
  <c r="V185" i="1"/>
  <c r="AQ172" i="1"/>
  <c r="U160" i="1"/>
  <c r="AQ154" i="1"/>
  <c r="V138" i="1"/>
  <c r="AQ138" i="1"/>
  <c r="AR130" i="1"/>
  <c r="V120" i="1"/>
  <c r="V95" i="1"/>
  <c r="AR93" i="1"/>
  <c r="W72" i="1"/>
  <c r="U70" i="1"/>
  <c r="W231" i="1"/>
  <c r="W208" i="1"/>
  <c r="U184" i="1"/>
  <c r="U169" i="1"/>
  <c r="V135" i="1"/>
  <c r="W127" i="1"/>
  <c r="AR107" i="1"/>
  <c r="V82" i="1"/>
  <c r="W79" i="1"/>
  <c r="AQ271" i="1"/>
  <c r="V288" i="1"/>
  <c r="AQ241" i="1"/>
  <c r="AR232" i="1"/>
  <c r="W223" i="1"/>
  <c r="AR216" i="1"/>
  <c r="W216" i="1"/>
  <c r="V208" i="1"/>
  <c r="W201" i="1"/>
  <c r="W195" i="1"/>
  <c r="W189" i="1"/>
  <c r="V186" i="1"/>
  <c r="V183" i="1"/>
  <c r="AQ180" i="1"/>
  <c r="AQ171" i="1"/>
  <c r="W171" i="1"/>
  <c r="AQ169" i="1"/>
  <c r="V159" i="1"/>
  <c r="AR157" i="1"/>
  <c r="V150" i="1"/>
  <c r="U143" i="1"/>
  <c r="W138" i="1"/>
  <c r="U134" i="1"/>
  <c r="U119" i="1"/>
  <c r="U94" i="1"/>
  <c r="V90" i="1"/>
  <c r="AQ72" i="1"/>
  <c r="W69" i="1"/>
  <c r="W260" i="1"/>
  <c r="U217" i="1"/>
  <c r="V327" i="1"/>
  <c r="W312" i="1"/>
  <c r="AR272" i="1"/>
  <c r="U230" i="1"/>
  <c r="V228" i="1"/>
  <c r="V227" i="1"/>
  <c r="V223" i="1"/>
  <c r="V209" i="1"/>
  <c r="AQ209" i="1"/>
  <c r="W192" i="1"/>
  <c r="AQ192" i="1"/>
  <c r="AR168" i="1"/>
  <c r="W168" i="1"/>
  <c r="AQ142" i="1"/>
  <c r="W139" i="1"/>
  <c r="V133" i="1"/>
  <c r="AQ130" i="1"/>
  <c r="AR128" i="1"/>
  <c r="AQ121" i="1"/>
  <c r="AQ119" i="1"/>
  <c r="W109" i="1"/>
  <c r="V106" i="1"/>
  <c r="AQ101" i="1"/>
  <c r="V101" i="1"/>
  <c r="V98" i="1"/>
  <c r="W98" i="1"/>
  <c r="AQ98" i="1"/>
  <c r="AR98" i="1"/>
  <c r="V93" i="1"/>
  <c r="V77" i="1"/>
  <c r="U73" i="1"/>
  <c r="AR118" i="1"/>
  <c r="W118" i="1"/>
  <c r="U200" i="1"/>
  <c r="AQ139" i="1"/>
  <c r="W128" i="1"/>
  <c r="V118" i="1"/>
  <c r="AR110" i="1"/>
  <c r="W110" i="1"/>
  <c r="AQ107" i="1"/>
  <c r="AR91" i="1"/>
  <c r="W91" i="1"/>
  <c r="AR181" i="1"/>
  <c r="W181" i="1"/>
  <c r="AR172" i="1"/>
  <c r="AR166" i="1"/>
  <c r="W166" i="1"/>
  <c r="AR154" i="1"/>
  <c r="W154" i="1"/>
  <c r="AR96" i="1"/>
  <c r="V96" i="1"/>
  <c r="W96" i="1"/>
  <c r="U85" i="1"/>
  <c r="AR75" i="1"/>
  <c r="W75" i="1"/>
  <c r="AQ163" i="1"/>
  <c r="AQ145" i="1"/>
  <c r="AR145" i="1"/>
  <c r="AQ132" i="1"/>
  <c r="AR131" i="1"/>
  <c r="W131" i="1"/>
  <c r="AR123" i="1"/>
  <c r="AR116" i="1"/>
  <c r="W116" i="1"/>
  <c r="AQ114" i="1"/>
  <c r="W113" i="1"/>
  <c r="AQ113" i="1"/>
  <c r="AQ108" i="1"/>
  <c r="AQ88" i="1"/>
  <c r="W88" i="1"/>
  <c r="U76" i="1"/>
  <c r="AR268" i="1"/>
  <c r="V229" i="1"/>
  <c r="U218" i="1"/>
  <c r="AR193" i="1"/>
  <c r="AQ181" i="1"/>
  <c r="V181" i="1"/>
  <c r="W175" i="1"/>
  <c r="AR175" i="1"/>
  <c r="AR155" i="1"/>
  <c r="U146" i="1"/>
  <c r="AR143" i="1"/>
  <c r="AQ110" i="1"/>
  <c r="AR99" i="1"/>
  <c r="U170" i="1"/>
  <c r="AQ160" i="1"/>
  <c r="V160" i="1"/>
  <c r="V145" i="1"/>
  <c r="AQ131" i="1"/>
  <c r="V131" i="1"/>
  <c r="W125" i="1"/>
  <c r="AR125" i="1"/>
  <c r="AR97" i="1"/>
  <c r="AR264" i="1"/>
  <c r="W238" i="1"/>
  <c r="U231" i="1"/>
  <c r="W225" i="1"/>
  <c r="AQ218" i="1"/>
  <c r="AQ210" i="1"/>
  <c r="AQ203" i="1"/>
  <c r="AR188" i="1"/>
  <c r="U185" i="1"/>
  <c r="V184" i="1"/>
  <c r="AQ184" i="1"/>
  <c r="AQ167" i="1"/>
  <c r="V166" i="1"/>
  <c r="W160" i="1"/>
  <c r="AR152" i="1"/>
  <c r="W152" i="1"/>
  <c r="W151" i="1"/>
  <c r="U145" i="1"/>
  <c r="U136" i="1"/>
  <c r="V122" i="1"/>
  <c r="U120" i="1"/>
  <c r="W117" i="1"/>
  <c r="V110" i="1"/>
  <c r="V102" i="1"/>
  <c r="AQ97" i="1"/>
  <c r="AQ94" i="1"/>
  <c r="AR73" i="1"/>
  <c r="W73" i="1"/>
  <c r="AR222" i="1"/>
  <c r="W196" i="1"/>
  <c r="V193" i="1"/>
  <c r="V175" i="1"/>
  <c r="U153" i="1"/>
  <c r="U144" i="1"/>
  <c r="V143" i="1"/>
  <c r="AQ143" i="1"/>
  <c r="AR138" i="1"/>
  <c r="U135" i="1"/>
  <c r="V134" i="1"/>
  <c r="AQ134" i="1"/>
  <c r="AQ117" i="1"/>
  <c r="V116" i="1"/>
  <c r="AR92" i="1"/>
  <c r="V91" i="1"/>
  <c r="U79" i="1"/>
  <c r="U165" i="1"/>
  <c r="AR164" i="1"/>
  <c r="W164" i="1"/>
  <c r="AR105" i="1"/>
  <c r="W105" i="1"/>
  <c r="AQ82" i="1"/>
  <c r="V78" i="1"/>
  <c r="W78" i="1"/>
  <c r="AR78" i="1"/>
  <c r="U69" i="1"/>
  <c r="V68" i="1"/>
  <c r="W68" i="1"/>
  <c r="AQ68" i="1"/>
  <c r="AR68" i="1"/>
  <c r="V225" i="1"/>
  <c r="U205" i="1"/>
  <c r="W173" i="1"/>
  <c r="U168" i="1"/>
  <c r="W157" i="1"/>
  <c r="U133" i="1"/>
  <c r="W122" i="1"/>
  <c r="W119" i="1"/>
  <c r="AR114" i="1"/>
  <c r="W114" i="1"/>
  <c r="W102" i="1"/>
  <c r="U93" i="1"/>
  <c r="AR89" i="1"/>
  <c r="W89" i="1"/>
  <c r="W87" i="1"/>
  <c r="AR87" i="1"/>
  <c r="AR84" i="1"/>
  <c r="AQ81" i="1"/>
  <c r="V81" i="1"/>
  <c r="W259" i="1"/>
  <c r="W249" i="1"/>
  <c r="AR226" i="1"/>
  <c r="AQ207" i="1"/>
  <c r="AR132" i="1"/>
  <c r="AQ327" i="1"/>
  <c r="W268" i="1"/>
  <c r="W244" i="1"/>
  <c r="W235" i="1"/>
  <c r="V230" i="1"/>
  <c r="AQ228" i="1"/>
  <c r="U225" i="1"/>
  <c r="AQ222" i="1"/>
  <c r="V214" i="1"/>
  <c r="U212" i="1"/>
  <c r="AR211" i="1"/>
  <c r="W211" i="1"/>
  <c r="AR205" i="1"/>
  <c r="AR204" i="1"/>
  <c r="V203" i="1"/>
  <c r="U195" i="1"/>
  <c r="W193" i="1"/>
  <c r="AQ179" i="1"/>
  <c r="AR179" i="1"/>
  <c r="U178" i="1"/>
  <c r="U174" i="1"/>
  <c r="AQ168" i="1"/>
  <c r="V167" i="1"/>
  <c r="U157" i="1"/>
  <c r="W155" i="1"/>
  <c r="V148" i="1"/>
  <c r="AQ146" i="1"/>
  <c r="AQ133" i="1"/>
  <c r="W123" i="1"/>
  <c r="U118" i="1"/>
  <c r="AQ93" i="1"/>
  <c r="AQ92" i="1"/>
  <c r="V92" i="1"/>
  <c r="U90" i="1"/>
  <c r="V173" i="1"/>
  <c r="AQ161" i="1"/>
  <c r="AR156" i="1"/>
  <c r="AR144" i="1"/>
  <c r="W144" i="1"/>
  <c r="V123" i="1"/>
  <c r="AQ111" i="1"/>
  <c r="U80" i="1"/>
  <c r="V75" i="1"/>
  <c r="AR206" i="1"/>
  <c r="V205" i="1"/>
  <c r="AQ190" i="1"/>
  <c r="U154" i="1"/>
  <c r="AQ140" i="1"/>
  <c r="V107" i="1"/>
  <c r="AR104" i="1"/>
  <c r="AQ100" i="1"/>
  <c r="V85" i="1"/>
  <c r="AR79" i="1"/>
  <c r="V69" i="1"/>
  <c r="AR246" i="1"/>
  <c r="V245" i="1"/>
  <c r="W190" i="1"/>
  <c r="W165" i="1"/>
  <c r="AR162" i="1"/>
  <c r="V144" i="1"/>
  <c r="W140" i="1"/>
  <c r="W115" i="1"/>
  <c r="AR112" i="1"/>
  <c r="AR101" i="1"/>
  <c r="W101" i="1"/>
  <c r="W100" i="1"/>
  <c r="AR90" i="1"/>
  <c r="AR76" i="1"/>
  <c r="U74" i="1"/>
  <c r="AR70" i="1"/>
  <c r="V195" i="1"/>
  <c r="V190" i="1"/>
  <c r="AR186" i="1"/>
  <c r="AR174" i="1"/>
  <c r="W174" i="1"/>
  <c r="W156" i="1"/>
  <c r="V153" i="1"/>
  <c r="AQ141" i="1"/>
  <c r="V140" i="1"/>
  <c r="AR136" i="1"/>
  <c r="AR124" i="1"/>
  <c r="W124" i="1"/>
  <c r="V111" i="1"/>
  <c r="V104" i="1"/>
  <c r="AR86" i="1"/>
  <c r="U84" i="1"/>
  <c r="V79" i="1"/>
  <c r="W206" i="1"/>
  <c r="AR202" i="1"/>
  <c r="AR192" i="1"/>
  <c r="AR171" i="1"/>
  <c r="V165" i="1"/>
  <c r="V157" i="1"/>
  <c r="AR150" i="1"/>
  <c r="V149" i="1"/>
  <c r="AR121" i="1"/>
  <c r="V115" i="1"/>
  <c r="V97" i="1"/>
  <c r="AR94" i="1"/>
  <c r="AQ90" i="1"/>
  <c r="V83" i="1"/>
  <c r="AR80" i="1"/>
  <c r="AQ70" i="1"/>
  <c r="AR276" i="1"/>
  <c r="V275" i="1"/>
  <c r="AR262" i="1"/>
  <c r="V239" i="1"/>
  <c r="AR221" i="1"/>
  <c r="V174" i="1"/>
  <c r="U148" i="1"/>
  <c r="W145" i="1"/>
  <c r="AR142" i="1"/>
  <c r="V124" i="1"/>
  <c r="U110" i="1"/>
  <c r="AQ87" i="1"/>
  <c r="AQ77" i="1"/>
  <c r="W76" i="1"/>
  <c r="U164" i="1"/>
  <c r="W162" i="1"/>
  <c r="AQ150" i="1"/>
  <c r="V141" i="1"/>
  <c r="U114" i="1"/>
  <c r="W112" i="1"/>
  <c r="V94" i="1"/>
  <c r="V86" i="1"/>
  <c r="AQ80" i="1"/>
  <c r="AR74" i="1"/>
  <c r="AR71" i="1"/>
  <c r="V70" i="1"/>
  <c r="AR184" i="1"/>
  <c r="W184" i="1"/>
  <c r="V163" i="1"/>
  <c r="AQ151" i="1"/>
  <c r="AR146" i="1"/>
  <c r="AR134" i="1"/>
  <c r="W134" i="1"/>
  <c r="V113" i="1"/>
  <c r="V109" i="1"/>
  <c r="U105" i="1"/>
  <c r="U100" i="1"/>
  <c r="AR81" i="1"/>
  <c r="AQ74" i="1"/>
  <c r="AR72" i="1"/>
  <c r="AQ275" i="1"/>
  <c r="AQ239" i="1"/>
  <c r="AR212" i="1"/>
  <c r="AR190" i="1"/>
  <c r="V189" i="1"/>
  <c r="AQ186" i="1"/>
  <c r="AQ174" i="1"/>
  <c r="AR161" i="1"/>
  <c r="V155" i="1"/>
  <c r="V147" i="1"/>
  <c r="AR140" i="1"/>
  <c r="V139" i="1"/>
  <c r="AQ136" i="1"/>
  <c r="AQ124" i="1"/>
  <c r="AR111" i="1"/>
  <c r="W111" i="1"/>
  <c r="AR100" i="1"/>
  <c r="V88" i="1"/>
  <c r="AQ86" i="1"/>
  <c r="AR85" i="1"/>
  <c r="W85" i="1"/>
  <c r="V72" i="1"/>
  <c r="AR69" i="1"/>
  <c r="W81" i="1"/>
  <c r="W71" i="1"/>
  <c r="W104" i="1"/>
  <c r="W94" i="1"/>
  <c r="W84" i="1"/>
  <c r="W74" i="1"/>
  <c r="V74" i="1"/>
  <c r="V15" i="1"/>
  <c r="V55" i="1"/>
  <c r="U26" i="1"/>
  <c r="AQ27" i="1"/>
  <c r="W45" i="1"/>
  <c r="W55" i="1"/>
  <c r="AQ57" i="1"/>
  <c r="W65" i="1"/>
  <c r="AR7" i="1"/>
  <c r="AR37" i="1"/>
  <c r="AR47" i="1"/>
  <c r="AR57" i="1"/>
  <c r="AR46" i="1"/>
  <c r="AR56" i="1"/>
  <c r="AR66" i="1"/>
  <c r="W15" i="1"/>
  <c r="U16" i="1"/>
  <c r="W25" i="1"/>
  <c r="AQ47" i="1"/>
  <c r="AR17" i="1"/>
  <c r="AQ8" i="1"/>
  <c r="W16" i="1"/>
  <c r="AQ18" i="1"/>
  <c r="AQ28" i="1"/>
  <c r="AQ38" i="1"/>
  <c r="U67" i="1"/>
  <c r="V25" i="1"/>
  <c r="V45" i="1"/>
  <c r="V65" i="1"/>
  <c r="AQ17" i="1"/>
  <c r="W35" i="1"/>
  <c r="U36" i="1"/>
  <c r="AQ37" i="1"/>
  <c r="U46" i="1"/>
  <c r="U56" i="1"/>
  <c r="U66" i="1"/>
  <c r="AR27" i="1"/>
  <c r="V7" i="1"/>
  <c r="AR8" i="1"/>
  <c r="AR18" i="1"/>
  <c r="AR28" i="1"/>
  <c r="AR58" i="1"/>
  <c r="AQ9" i="1"/>
  <c r="AQ19" i="1"/>
  <c r="AQ29" i="1"/>
  <c r="AQ39" i="1"/>
  <c r="AQ49" i="1"/>
  <c r="AQ59" i="1"/>
  <c r="W67" i="1"/>
  <c r="AR36" i="1"/>
  <c r="AR39" i="1"/>
  <c r="AR59" i="1"/>
  <c r="AQ10" i="1"/>
  <c r="AQ30" i="1"/>
  <c r="AQ40" i="1"/>
  <c r="AQ50" i="1"/>
  <c r="AQ60" i="1"/>
  <c r="AR29" i="1"/>
  <c r="AR49" i="1"/>
  <c r="AQ20" i="1"/>
  <c r="V35" i="1"/>
  <c r="AR9" i="1"/>
  <c r="AR19" i="1"/>
  <c r="AQ21" i="1"/>
  <c r="AQ31" i="1"/>
  <c r="AQ41" i="1"/>
  <c r="AQ51" i="1"/>
  <c r="AR21" i="1"/>
  <c r="AR31" i="1"/>
  <c r="AR41" i="1"/>
  <c r="AR51" i="1"/>
  <c r="AR61" i="1"/>
  <c r="AQ13" i="1"/>
  <c r="AQ23" i="1"/>
  <c r="AQ33" i="1"/>
  <c r="AQ43" i="1"/>
  <c r="AQ63" i="1"/>
  <c r="AR13" i="1"/>
  <c r="AR23" i="1"/>
  <c r="AR33" i="1"/>
  <c r="AQ64" i="1"/>
  <c r="AR14" i="1"/>
  <c r="AR24" i="1"/>
  <c r="AR34" i="1"/>
  <c r="AR44" i="1"/>
  <c r="AR54" i="1"/>
  <c r="AR64" i="1"/>
  <c r="T165" i="1" l="1"/>
  <c r="T83" i="1"/>
  <c r="T305" i="1"/>
  <c r="T113" i="1"/>
  <c r="T91" i="1"/>
  <c r="T199" i="1"/>
  <c r="T317" i="1"/>
  <c r="T147" i="1"/>
  <c r="T166" i="1"/>
  <c r="T53" i="1"/>
  <c r="T62" i="1"/>
  <c r="T67" i="1"/>
  <c r="T127" i="1"/>
  <c r="T328" i="1"/>
  <c r="T178" i="1"/>
  <c r="T117" i="1"/>
  <c r="T153" i="1"/>
  <c r="T201" i="1"/>
  <c r="T219" i="1"/>
  <c r="T159" i="1"/>
  <c r="T227" i="1"/>
  <c r="T73" i="1"/>
  <c r="T183" i="1"/>
  <c r="T323" i="1"/>
  <c r="T11" i="1"/>
  <c r="T22" i="1"/>
  <c r="T14" i="1"/>
  <c r="T139" i="1"/>
  <c r="T137" i="1"/>
  <c r="T167" i="1"/>
  <c r="T283" i="1"/>
  <c r="T99" i="1"/>
  <c r="T7" i="1"/>
  <c r="T54" i="1"/>
  <c r="T332" i="1"/>
  <c r="T287" i="1"/>
  <c r="T239" i="1"/>
  <c r="T105" i="1"/>
  <c r="T180" i="1"/>
  <c r="T106" i="1"/>
  <c r="T299" i="1"/>
  <c r="T85" i="1"/>
  <c r="T88" i="1"/>
  <c r="T322" i="1"/>
  <c r="T297" i="1"/>
  <c r="T123" i="1"/>
  <c r="T279" i="1"/>
  <c r="T119" i="1"/>
  <c r="T274" i="1"/>
  <c r="T24" i="1"/>
  <c r="T156" i="1"/>
  <c r="T193" i="1"/>
  <c r="T257" i="1"/>
  <c r="T292" i="1"/>
  <c r="T15" i="1"/>
  <c r="T262" i="1"/>
  <c r="T82" i="1"/>
  <c r="T206" i="1"/>
  <c r="T36" i="1"/>
  <c r="T112" i="1"/>
  <c r="T208" i="1"/>
  <c r="T270" i="1"/>
  <c r="T310" i="1"/>
  <c r="T214" i="1"/>
  <c r="T315" i="1"/>
  <c r="T175" i="1"/>
  <c r="T44" i="1"/>
  <c r="T162" i="1"/>
  <c r="T319" i="1"/>
  <c r="T301" i="1"/>
  <c r="T338" i="1"/>
  <c r="T46" i="1"/>
  <c r="T96" i="1"/>
  <c r="T333" i="1"/>
  <c r="T263" i="1"/>
  <c r="T334" i="1"/>
  <c r="T104" i="1"/>
  <c r="T152" i="1"/>
  <c r="T89" i="1"/>
  <c r="T261" i="1"/>
  <c r="T177" i="1"/>
  <c r="T294" i="1"/>
  <c r="T157" i="1"/>
  <c r="T196" i="1"/>
  <c r="T108" i="1"/>
  <c r="T336" i="1"/>
  <c r="T285" i="1"/>
  <c r="T265" i="1"/>
  <c r="T321" i="1"/>
  <c r="T10" i="1"/>
  <c r="T76" i="1"/>
  <c r="T133" i="1"/>
  <c r="T222" i="1"/>
  <c r="T160" i="1"/>
  <c r="T254" i="1"/>
  <c r="T329" i="1"/>
  <c r="T149" i="1"/>
  <c r="T109" i="1"/>
  <c r="T61" i="1"/>
  <c r="T212" i="1"/>
  <c r="T228" i="1"/>
  <c r="T290" i="1"/>
  <c r="T32" i="1"/>
  <c r="T247" i="1"/>
  <c r="T244" i="1"/>
  <c r="T226" i="1"/>
  <c r="T20" i="1"/>
  <c r="T144" i="1"/>
  <c r="T68" i="1"/>
  <c r="T218" i="1"/>
  <c r="T293" i="1"/>
  <c r="T277" i="1"/>
  <c r="T291" i="1"/>
  <c r="T122" i="1"/>
  <c r="T115" i="1"/>
  <c r="T128" i="1"/>
  <c r="T324" i="1"/>
  <c r="T233" i="1"/>
  <c r="T289" i="1"/>
  <c r="T188" i="1"/>
  <c r="T164" i="1"/>
  <c r="T258" i="1"/>
  <c r="T337" i="1"/>
  <c r="T35" i="1"/>
  <c r="T63" i="1"/>
  <c r="T60" i="1"/>
  <c r="T232" i="1"/>
  <c r="T245" i="1"/>
  <c r="T282" i="1"/>
  <c r="T280" i="1"/>
  <c r="T148" i="1"/>
  <c r="T52" i="1"/>
  <c r="T124" i="1"/>
  <c r="T125" i="1"/>
  <c r="T268" i="1"/>
  <c r="T241" i="1"/>
  <c r="T302" i="1"/>
  <c r="T312" i="1"/>
  <c r="T185" i="1"/>
  <c r="T25" i="1"/>
  <c r="T26" i="1"/>
  <c r="T77" i="1"/>
  <c r="T43" i="1"/>
  <c r="T50" i="1"/>
  <c r="T81" i="1"/>
  <c r="T33" i="1"/>
  <c r="T40" i="1"/>
  <c r="T66" i="1"/>
  <c r="T151" i="1"/>
  <c r="T79" i="1"/>
  <c r="T205" i="1"/>
  <c r="T118" i="1"/>
  <c r="T251" i="1"/>
  <c r="T306" i="1"/>
  <c r="T318" i="1"/>
  <c r="T314" i="1"/>
  <c r="T30" i="1"/>
  <c r="T92" i="1"/>
  <c r="T135" i="1"/>
  <c r="T158" i="1"/>
  <c r="T320" i="1"/>
  <c r="T195" i="1"/>
  <c r="T187" i="1"/>
  <c r="T249" i="1"/>
  <c r="T250" i="1"/>
  <c r="T102" i="1"/>
  <c r="T260" i="1"/>
  <c r="T275" i="1"/>
  <c r="T243" i="1"/>
  <c r="T29" i="1"/>
  <c r="T38" i="1"/>
  <c r="T70" i="1"/>
  <c r="T34" i="1"/>
  <c r="T19" i="1"/>
  <c r="T203" i="1"/>
  <c r="T311" i="1"/>
  <c r="T238" i="1"/>
  <c r="T230" i="1"/>
  <c r="T12" i="1"/>
  <c r="T327" i="1"/>
  <c r="T94" i="1"/>
  <c r="T107" i="1"/>
  <c r="T255" i="1"/>
  <c r="T55" i="1"/>
  <c r="T207" i="1"/>
  <c r="T132" i="1"/>
  <c r="T141" i="1"/>
  <c r="T326" i="1"/>
  <c r="T200" i="1"/>
  <c r="T134" i="1"/>
  <c r="T163" i="1"/>
  <c r="T298" i="1"/>
  <c r="T248" i="1"/>
  <c r="T56" i="1"/>
  <c r="T23" i="1"/>
  <c r="T13" i="1"/>
  <c r="T271" i="1"/>
  <c r="T269" i="1"/>
  <c r="T65" i="1"/>
  <c r="T8" i="1"/>
  <c r="T220" i="1"/>
  <c r="T225" i="1"/>
  <c r="T253" i="1"/>
  <c r="T325" i="1"/>
  <c r="T252" i="1"/>
  <c r="T313" i="1"/>
  <c r="T303" i="1"/>
  <c r="T47" i="1"/>
  <c r="T86" i="1"/>
  <c r="T98" i="1"/>
  <c r="T234" i="1"/>
  <c r="T296" i="1"/>
  <c r="T48" i="1"/>
  <c r="T111" i="1"/>
  <c r="T169" i="1"/>
  <c r="T266" i="1"/>
  <c r="T194" i="1"/>
  <c r="T224" i="1"/>
  <c r="T150" i="1"/>
  <c r="T90" i="1"/>
  <c r="T116" i="1"/>
  <c r="T288" i="1"/>
  <c r="T223" i="1"/>
  <c r="T189" i="1"/>
  <c r="T256" i="1"/>
  <c r="T120" i="1"/>
  <c r="T309" i="1"/>
  <c r="T231" i="1"/>
  <c r="T242" i="1"/>
  <c r="T173" i="1"/>
  <c r="T121" i="1"/>
  <c r="T215" i="1"/>
  <c r="T42" i="1"/>
  <c r="T316" i="1"/>
  <c r="T58" i="1"/>
  <c r="T69" i="1"/>
  <c r="T59" i="1"/>
  <c r="T182" i="1"/>
  <c r="T174" i="1"/>
  <c r="T45" i="1"/>
  <c r="T51" i="1"/>
  <c r="T78" i="1"/>
  <c r="T216" i="1"/>
  <c r="T267" i="1"/>
  <c r="T41" i="1"/>
  <c r="T186" i="1"/>
  <c r="T143" i="1"/>
  <c r="T142" i="1"/>
  <c r="T281" i="1"/>
  <c r="T259" i="1"/>
  <c r="T16" i="1"/>
  <c r="T190" i="1"/>
  <c r="T75" i="1"/>
  <c r="T308" i="1"/>
  <c r="T197" i="1"/>
  <c r="T330" i="1"/>
  <c r="T72" i="1"/>
  <c r="T138" i="1"/>
  <c r="T97" i="1"/>
  <c r="T80" i="1"/>
  <c r="T100" i="1"/>
  <c r="T129" i="1"/>
  <c r="T335" i="1"/>
  <c r="T278" i="1"/>
  <c r="T273" i="1"/>
  <c r="T192" i="1"/>
  <c r="T74" i="1"/>
  <c r="T168" i="1"/>
  <c r="T145" i="1"/>
  <c r="T209" i="1"/>
  <c r="T264" i="1"/>
  <c r="T213" i="1"/>
  <c r="T87" i="1"/>
  <c r="T210" i="1"/>
  <c r="T154" i="1"/>
  <c r="T170" i="1"/>
  <c r="T272" i="1"/>
  <c r="T286" i="1"/>
  <c r="T229" i="1"/>
  <c r="T161" i="1"/>
  <c r="T126" i="1"/>
  <c r="T295" i="1"/>
  <c r="T246" i="1"/>
  <c r="T300" i="1"/>
  <c r="T136" i="1"/>
  <c r="T179" i="1"/>
  <c r="T110" i="1"/>
  <c r="T172" i="1"/>
  <c r="T198" i="1"/>
  <c r="T155" i="1"/>
  <c r="T307" i="1"/>
  <c r="T276" i="1"/>
  <c r="T221" i="1"/>
  <c r="T240" i="1"/>
  <c r="T140" i="1"/>
  <c r="T101" i="1"/>
  <c r="T235" i="1"/>
  <c r="T103" i="1"/>
  <c r="T176" i="1"/>
  <c r="T204" i="1"/>
  <c r="T93" i="1"/>
  <c r="T71" i="1"/>
  <c r="T202" i="1"/>
  <c r="T217" i="1"/>
  <c r="T191" i="1"/>
  <c r="T284" i="1"/>
  <c r="T95" i="1"/>
  <c r="T114" i="1"/>
  <c r="T130" i="1"/>
  <c r="T304" i="1"/>
  <c r="T237" i="1"/>
  <c r="T184" i="1"/>
  <c r="T131" i="1"/>
  <c r="T181" i="1"/>
  <c r="T146" i="1"/>
  <c r="T84" i="1"/>
  <c r="T211" i="1"/>
  <c r="T236" i="1"/>
  <c r="T171" i="1"/>
  <c r="T64" i="1"/>
  <c r="T9" i="1"/>
  <c r="T31" i="1"/>
  <c r="T37" i="1"/>
  <c r="T57" i="1"/>
  <c r="T49" i="1"/>
  <c r="T28" i="1"/>
  <c r="T27" i="1"/>
  <c r="T39" i="1"/>
  <c r="T17" i="1"/>
  <c r="T21" i="1"/>
  <c r="T18" i="1"/>
  <c r="H4" i="1" l="1"/>
  <c r="O4" i="1"/>
  <c r="I4" i="1"/>
  <c r="C4" i="1"/>
  <c r="G4" i="1"/>
  <c r="F4" i="1"/>
  <c r="E4" i="1"/>
  <c r="D4" i="1"/>
  <c r="K4" i="1"/>
</calcChain>
</file>

<file path=xl/sharedStrings.xml><?xml version="1.0" encoding="utf-8"?>
<sst xmlns="http://schemas.openxmlformats.org/spreadsheetml/2006/main" count="1250" uniqueCount="567">
  <si>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</si>
  <si>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</si>
  <si>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</si>
  <si>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</si>
  <si>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</si>
  <si>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</si>
  <si>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</si>
  <si>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</si>
  <si>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</si>
  <si>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</si>
  <si>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</si>
  <si>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</si>
  <si>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</si>
  <si>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</si>
  <si>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</si>
  <si>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</si>
  <si>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csi</t>
  </si>
  <si>
    <t>fss</t>
  </si>
  <si>
    <t>bentonite_predicted_kg1</t>
  </si>
  <si>
    <t>B</t>
  </si>
  <si>
    <t>C</t>
  </si>
  <si>
    <t>D</t>
  </si>
  <si>
    <t>A</t>
  </si>
  <si>
    <t>Target Values</t>
  </si>
  <si>
    <t>Coefficient</t>
  </si>
  <si>
    <t>Weight</t>
  </si>
  <si>
    <t>Correlation</t>
  </si>
  <si>
    <t>CORE</t>
  </si>
  <si>
    <t>Mean</t>
  </si>
  <si>
    <t>SMR</t>
  </si>
  <si>
    <t>Offet</t>
  </si>
  <si>
    <t>new sand coefficient</t>
  </si>
  <si>
    <t>COEFF</t>
  </si>
  <si>
    <t>Coeff</t>
  </si>
  <si>
    <t>Final Prediction</t>
  </si>
  <si>
    <t>Actual Bentonite</t>
  </si>
  <si>
    <t>P1</t>
  </si>
  <si>
    <t>P2</t>
  </si>
  <si>
    <t>Bent Actual</t>
  </si>
  <si>
    <t>Bent Pred</t>
  </si>
  <si>
    <t>MB CLAY</t>
  </si>
  <si>
    <t>GCS</t>
  </si>
  <si>
    <t>Moisture</t>
  </si>
  <si>
    <t>LOI</t>
  </si>
  <si>
    <t>Dateshift</t>
  </si>
  <si>
    <t>11.34</t>
  </si>
  <si>
    <t>0.0</t>
  </si>
  <si>
    <t>93.31</t>
  </si>
  <si>
    <t>8.29</t>
  </si>
  <si>
    <t>38.59</t>
  </si>
  <si>
    <t>26.61</t>
  </si>
  <si>
    <t>55.52</t>
  </si>
  <si>
    <t>3.73</t>
  </si>
  <si>
    <t>3.4</t>
  </si>
  <si>
    <t>145.53</t>
  </si>
  <si>
    <t>11.36</t>
  </si>
  <si>
    <t>102.89</t>
  </si>
  <si>
    <t>8.0</t>
  </si>
  <si>
    <t>38.39</t>
  </si>
  <si>
    <t>26.88</t>
  </si>
  <si>
    <t>55.84</t>
  </si>
  <si>
    <t>3.61</t>
  </si>
  <si>
    <t>3.31</t>
  </si>
  <si>
    <t>146.3</t>
  </si>
  <si>
    <t>14.35</t>
  </si>
  <si>
    <t>70.32</t>
  </si>
  <si>
    <t>7.9</t>
  </si>
  <si>
    <t>38.43</t>
  </si>
  <si>
    <t>26.68</t>
  </si>
  <si>
    <t>55.75</t>
  </si>
  <si>
    <t>3.64</t>
  </si>
  <si>
    <t>3.33</t>
  </si>
  <si>
    <t>149.66</t>
  </si>
  <si>
    <t>13.95</t>
  </si>
  <si>
    <t>69.45</t>
  </si>
  <si>
    <t>8.04</t>
  </si>
  <si>
    <t>38.69</t>
  </si>
  <si>
    <t>26.41</t>
  </si>
  <si>
    <t>55.69</t>
  </si>
  <si>
    <t>3.39</t>
  </si>
  <si>
    <t>148.76</t>
  </si>
  <si>
    <t>15.69</t>
  </si>
  <si>
    <t>79.03</t>
  </si>
  <si>
    <t>8.06</t>
  </si>
  <si>
    <t>38.87</t>
  </si>
  <si>
    <t>26.53</t>
  </si>
  <si>
    <t>55.12</t>
  </si>
  <si>
    <t>3.72</t>
  </si>
  <si>
    <t>150.78</t>
  </si>
  <si>
    <t>104.27</t>
  </si>
  <si>
    <t>38.71</t>
  </si>
  <si>
    <t>26.65</t>
  </si>
  <si>
    <t>55.23</t>
  </si>
  <si>
    <t>3.7</t>
  </si>
  <si>
    <t>3.35</t>
  </si>
  <si>
    <t>148.92</t>
  </si>
  <si>
    <t>11.35</t>
  </si>
  <si>
    <t>97.42</t>
  </si>
  <si>
    <t>8.2</t>
  </si>
  <si>
    <t>38.77</t>
  </si>
  <si>
    <t>26.37</t>
  </si>
  <si>
    <t>3.77</t>
  </si>
  <si>
    <t>150.0</t>
  </si>
  <si>
    <t>11.38</t>
  </si>
  <si>
    <t>111.09</t>
  </si>
  <si>
    <t>8.45</t>
  </si>
  <si>
    <t>38.6</t>
  </si>
  <si>
    <t>4.01</t>
  </si>
  <si>
    <t>3.45</t>
  </si>
  <si>
    <t>145.93</t>
  </si>
  <si>
    <t>11.4</t>
  </si>
  <si>
    <t>10.09</t>
  </si>
  <si>
    <r>
      <t xml:space="preserve">111.31 </t>
    </r>
    <r>
      <rPr>
        <b/>
        <sz val="14"/>
        <color rgb="FF00FF00"/>
        <rFont val="Calibri"/>
      </rPr>
      <t>↑</t>
    </r>
  </si>
  <si>
    <r>
      <t xml:space="preserve">8.54 </t>
    </r>
    <r>
      <rPr>
        <b/>
        <sz val="14"/>
        <color rgb="FF00FF00"/>
        <rFont val="Calibri"/>
      </rPr>
      <t>↑</t>
    </r>
  </si>
  <si>
    <t>38.38</t>
  </si>
  <si>
    <t>26.57</t>
  </si>
  <si>
    <t>55.19</t>
  </si>
  <si>
    <t>4.04</t>
  </si>
  <si>
    <t>146.69</t>
  </si>
  <si>
    <t>11.37</t>
  </si>
  <si>
    <t>104.86</t>
  </si>
  <si>
    <t>8.27</t>
  </si>
  <si>
    <t>38.5</t>
  </si>
  <si>
    <t>26.14</t>
  </si>
  <si>
    <t>55.17</t>
  </si>
  <si>
    <t>4.02</t>
  </si>
  <si>
    <t>3.42</t>
  </si>
  <si>
    <t>147.84</t>
  </si>
  <si>
    <t>2.16</t>
  </si>
  <si>
    <t>95.34</t>
  </si>
  <si>
    <t>8.16</t>
  </si>
  <si>
    <t>38.7</t>
  </si>
  <si>
    <t>26.35</t>
  </si>
  <si>
    <t>54.85</t>
  </si>
  <si>
    <t>3.43</t>
  </si>
  <si>
    <t>147.09</t>
  </si>
  <si>
    <t>19.4</t>
  </si>
  <si>
    <t>95.13</t>
  </si>
  <si>
    <t>7.97</t>
  </si>
  <si>
    <r>
      <t xml:space="preserve">56.28 </t>
    </r>
    <r>
      <rPr>
        <b/>
        <sz val="14"/>
        <color rgb="FF00FF00"/>
        <rFont val="Calibri"/>
      </rPr>
      <t>↑</t>
    </r>
  </si>
  <si>
    <t>3.91</t>
  </si>
  <si>
    <r>
      <t xml:space="preserve">3.3 </t>
    </r>
    <r>
      <rPr>
        <b/>
        <sz val="14"/>
        <color rgb="FFFF0000"/>
        <rFont val="Calibri"/>
      </rPr>
      <t>↓</t>
    </r>
  </si>
  <si>
    <t>149.4</t>
  </si>
  <si>
    <t>14.9</t>
  </si>
  <si>
    <t>69.21</t>
  </si>
  <si>
    <t>7.95</t>
  </si>
  <si>
    <t>38.36</t>
  </si>
  <si>
    <t>26.6</t>
  </si>
  <si>
    <t>56.26</t>
  </si>
  <si>
    <t>3.34</t>
  </si>
  <si>
    <t>148.89</t>
  </si>
  <si>
    <t>20.48</t>
  </si>
  <si>
    <t>87.21</t>
  </si>
  <si>
    <t>8.15</t>
  </si>
  <si>
    <t>39.0</t>
  </si>
  <si>
    <t>26.56</t>
  </si>
  <si>
    <t>55.73</t>
  </si>
  <si>
    <t>3.38</t>
  </si>
  <si>
    <t>150.03</t>
  </si>
  <si>
    <t>11.31</t>
  </si>
  <si>
    <t>79.97</t>
  </si>
  <si>
    <t>8.09</t>
  </si>
  <si>
    <t>38.8</t>
  </si>
  <si>
    <t>26.67</t>
  </si>
  <si>
    <t>55.3</t>
  </si>
  <si>
    <t>147.57</t>
  </si>
  <si>
    <t>91.87</t>
  </si>
  <si>
    <t>8.19</t>
  </si>
  <si>
    <t>38.75</t>
  </si>
  <si>
    <t>26.46</t>
  </si>
  <si>
    <t>55.22</t>
  </si>
  <si>
    <t>3.76</t>
  </si>
  <si>
    <t>3.41</t>
  </si>
  <si>
    <t>149.01</t>
  </si>
  <si>
    <t>14.88</t>
  </si>
  <si>
    <t>69.13</t>
  </si>
  <si>
    <r>
      <t xml:space="preserve">8.04 </t>
    </r>
    <r>
      <rPr>
        <b/>
        <sz val="14"/>
        <color rgb="FFFF0000"/>
        <rFont val="Calibri"/>
      </rPr>
      <t>↓</t>
    </r>
  </si>
  <si>
    <t>38.9</t>
  </si>
  <si>
    <t>26.45</t>
  </si>
  <si>
    <t>3.8</t>
  </si>
  <si>
    <t>149.36</t>
  </si>
  <si>
    <t>11.33</t>
  </si>
  <si>
    <t>88.68</t>
  </si>
  <si>
    <t>8.17</t>
  </si>
  <si>
    <t>55.58</t>
  </si>
  <si>
    <t>3.93</t>
  </si>
  <si>
    <t>146.42</t>
  </si>
  <si>
    <t>10.5</t>
  </si>
  <si>
    <t>84.69</t>
  </si>
  <si>
    <t>8.41</t>
  </si>
  <si>
    <t>38.65</t>
  </si>
  <si>
    <t>26.17</t>
  </si>
  <si>
    <t>55.34</t>
  </si>
  <si>
    <t>3.99</t>
  </si>
  <si>
    <t>3.49</t>
  </si>
  <si>
    <t>146.43</t>
  </si>
  <si>
    <t>9.42</t>
  </si>
  <si>
    <t>89.14</t>
  </si>
  <si>
    <t>8.53</t>
  </si>
  <si>
    <t>38.91</t>
  </si>
  <si>
    <t>26.51</t>
  </si>
  <si>
    <t>56.19</t>
  </si>
  <si>
    <r>
      <t xml:space="preserve">3.52 </t>
    </r>
    <r>
      <rPr>
        <b/>
        <sz val="14"/>
        <color rgb="FF00FF00"/>
        <rFont val="Calibri"/>
      </rPr>
      <t>↑</t>
    </r>
  </si>
  <si>
    <t>142.73</t>
  </si>
  <si>
    <t>11.42</t>
  </si>
  <si>
    <t>18.02</t>
  </si>
  <si>
    <t>111.48</t>
  </si>
  <si>
    <r>
      <t xml:space="preserve">8.76 </t>
    </r>
    <r>
      <rPr>
        <b/>
        <sz val="14"/>
        <color rgb="FF00FF00"/>
        <rFont val="Calibri"/>
      </rPr>
      <t>↑</t>
    </r>
  </si>
  <si>
    <t>38.34</t>
  </si>
  <si>
    <t>26.31</t>
  </si>
  <si>
    <t>56.42</t>
  </si>
  <si>
    <t>4.27</t>
  </si>
  <si>
    <t>3.51</t>
  </si>
  <si>
    <t>142.81</t>
  </si>
  <si>
    <t>17.94</t>
  </si>
  <si>
    <t>88.3</t>
  </si>
  <si>
    <t>8.36</t>
  </si>
  <si>
    <t>38.46</t>
  </si>
  <si>
    <t>26.08</t>
  </si>
  <si>
    <t>4.26</t>
  </si>
  <si>
    <t>3.47</t>
  </si>
  <si>
    <t>144.44</t>
  </si>
  <si>
    <t>11.32</t>
  </si>
  <si>
    <t>7.33</t>
  </si>
  <si>
    <t>75.14</t>
  </si>
  <si>
    <t>26.47</t>
  </si>
  <si>
    <t>57.06</t>
  </si>
  <si>
    <t>142.23</t>
  </si>
  <si>
    <t>12.15</t>
  </si>
  <si>
    <t>97.34</t>
  </si>
  <si>
    <t>38.56</t>
  </si>
  <si>
    <t>26.32</t>
  </si>
  <si>
    <t>57.47</t>
  </si>
  <si>
    <t>4.16</t>
  </si>
  <si>
    <t>3.37</t>
  </si>
  <si>
    <t>146.27</t>
  </si>
  <si>
    <t>11.88</t>
  </si>
  <si>
    <t>77.12</t>
  </si>
  <si>
    <t>8.14</t>
  </si>
  <si>
    <t>38.45</t>
  </si>
  <si>
    <t>26.25</t>
  </si>
  <si>
    <t>57.48</t>
  </si>
  <si>
    <t>4.24</t>
  </si>
  <si>
    <t>145.56</t>
  </si>
  <si>
    <t>79.4</t>
  </si>
  <si>
    <t>56.13</t>
  </si>
  <si>
    <t>4.07</t>
  </si>
  <si>
    <t>144.06</t>
  </si>
  <si>
    <t>11.41</t>
  </si>
  <si>
    <t>16.18</t>
  </si>
  <si>
    <t>111.44</t>
  </si>
  <si>
    <t>38.64</t>
  </si>
  <si>
    <t>26.34</t>
  </si>
  <si>
    <t>56.36</t>
  </si>
  <si>
    <t>3.95</t>
  </si>
  <si>
    <t>18.0</t>
  </si>
  <si>
    <t>107.26</t>
  </si>
  <si>
    <t>8.84</t>
  </si>
  <si>
    <t>38.81</t>
  </si>
  <si>
    <t>25.83</t>
  </si>
  <si>
    <t>56.6</t>
  </si>
  <si>
    <t>4.18</t>
  </si>
  <si>
    <t>3.57</t>
  </si>
  <si>
    <t>144.32</t>
  </si>
  <si>
    <t>11.39</t>
  </si>
  <si>
    <t>6.68</t>
  </si>
  <si>
    <t>111.23</t>
  </si>
  <si>
    <t>8.5</t>
  </si>
  <si>
    <t>53.85</t>
  </si>
  <si>
    <t>4.03</t>
  </si>
  <si>
    <t>145.01</t>
  </si>
  <si>
    <t>98.98</t>
  </si>
  <si>
    <t>7.96</t>
  </si>
  <si>
    <t>26.54</t>
  </si>
  <si>
    <t>55.27</t>
  </si>
  <si>
    <t>147.16</t>
  </si>
  <si>
    <t>13.52</t>
  </si>
  <si>
    <t>71.06</t>
  </si>
  <si>
    <r>
      <t xml:space="preserve">7.89 </t>
    </r>
    <r>
      <rPr>
        <b/>
        <sz val="14"/>
        <color rgb="FFFF0000"/>
        <rFont val="Calibri"/>
      </rPr>
      <t>↓</t>
    </r>
  </si>
  <si>
    <t>38.4</t>
  </si>
  <si>
    <t>56.66</t>
  </si>
  <si>
    <t>3.97</t>
  </si>
  <si>
    <t>146.36</t>
  </si>
  <si>
    <t>17.91</t>
  </si>
  <si>
    <t>87.42</t>
  </si>
  <si>
    <t>38.68</t>
  </si>
  <si>
    <t>26.28</t>
  </si>
  <si>
    <t>55.9</t>
  </si>
  <si>
    <t>148.79</t>
  </si>
  <si>
    <t>102.52</t>
  </si>
  <si>
    <t>38.41</t>
  </si>
  <si>
    <t>26.5</t>
  </si>
  <si>
    <t>56.01</t>
  </si>
  <si>
    <r>
      <t xml:space="preserve">3.89 </t>
    </r>
    <r>
      <rPr>
        <b/>
        <sz val="14"/>
        <color rgb="FFFF0000"/>
        <rFont val="Calibri"/>
      </rPr>
      <t>↓</t>
    </r>
  </si>
  <si>
    <t>145.57</t>
  </si>
  <si>
    <t>85.0</t>
  </si>
  <si>
    <t>38.24</t>
  </si>
  <si>
    <t>26.66</t>
  </si>
  <si>
    <t>56.0</t>
  </si>
  <si>
    <r>
      <t xml:space="preserve">3.97 </t>
    </r>
    <r>
      <rPr>
        <b/>
        <sz val="14"/>
        <color rgb="FFFF0000"/>
        <rFont val="Calibri"/>
      </rPr>
      <t>↓</t>
    </r>
  </si>
  <si>
    <t>141.48</t>
  </si>
  <si>
    <t>7.81</t>
  </si>
  <si>
    <t>109.8</t>
  </si>
  <si>
    <t>8.25</t>
  </si>
  <si>
    <t>38.63</t>
  </si>
  <si>
    <t>26.15</t>
  </si>
  <si>
    <t>55.13</t>
  </si>
  <si>
    <t>148.58</t>
  </si>
  <si>
    <t>103.51</t>
  </si>
  <si>
    <t>8.22</t>
  </si>
  <si>
    <t>26.36</t>
  </si>
  <si>
    <t>55.39</t>
  </si>
  <si>
    <t>145.08</t>
  </si>
  <si>
    <t>2.65</t>
  </si>
  <si>
    <t>109.3</t>
  </si>
  <si>
    <t>26.16</t>
  </si>
  <si>
    <t>4.05</t>
  </si>
  <si>
    <t>146.67</t>
  </si>
  <si>
    <t>1.63</t>
  </si>
  <si>
    <t>111.13</t>
  </si>
  <si>
    <r>
      <t xml:space="preserve">8.47 </t>
    </r>
    <r>
      <rPr>
        <b/>
        <sz val="14"/>
        <color rgb="FF00FF00"/>
        <rFont val="Calibri"/>
      </rPr>
      <t>↑</t>
    </r>
  </si>
  <si>
    <t>38.54</t>
  </si>
  <si>
    <t>26.7</t>
  </si>
  <si>
    <t>54.57</t>
  </si>
  <si>
    <t>144.72</t>
  </si>
  <si>
    <t>2.27</t>
  </si>
  <si>
    <t>98.28</t>
  </si>
  <si>
    <t>8.24</t>
  </si>
  <si>
    <t>56.22</t>
  </si>
  <si>
    <t>147.02</t>
  </si>
  <si>
    <t>11.3</t>
  </si>
  <si>
    <t>75.23</t>
  </si>
  <si>
    <t>26.44</t>
  </si>
  <si>
    <t>144.81</t>
  </si>
  <si>
    <t>79.24</t>
  </si>
  <si>
    <t>26.48</t>
  </si>
  <si>
    <t>56.48</t>
  </si>
  <si>
    <t>146.63</t>
  </si>
  <si>
    <t>12.82</t>
  </si>
  <si>
    <t>74.35</t>
  </si>
  <si>
    <t>7.89</t>
  </si>
  <si>
    <t>26.74</t>
  </si>
  <si>
    <t>56.43</t>
  </si>
  <si>
    <r>
      <t xml:space="preserve">3.73 </t>
    </r>
    <r>
      <rPr>
        <b/>
        <sz val="14"/>
        <color rgb="FFFF0000"/>
        <rFont val="Calibri"/>
      </rPr>
      <t>↓</t>
    </r>
  </si>
  <si>
    <r>
      <t xml:space="preserve">3.32 </t>
    </r>
    <r>
      <rPr>
        <b/>
        <sz val="14"/>
        <color rgb="FFFF0000"/>
        <rFont val="Calibri"/>
      </rPr>
      <t>↓</t>
    </r>
  </si>
  <si>
    <t>147.92</t>
  </si>
  <si>
    <t>78.1</t>
  </si>
  <si>
    <t>38.27</t>
  </si>
  <si>
    <t>26.62</t>
  </si>
  <si>
    <t>56.41</t>
  </si>
  <si>
    <t>3.75</t>
  </si>
  <si>
    <t>147.62</t>
  </si>
  <si>
    <t>8.68</t>
  </si>
  <si>
    <t>26.83</t>
  </si>
  <si>
    <t>3.86</t>
  </si>
  <si>
    <t>142.41</t>
  </si>
  <si>
    <t>17.96</t>
  </si>
  <si>
    <t>97.08</t>
  </si>
  <si>
    <t>8.59</t>
  </si>
  <si>
    <r>
      <t xml:space="preserve">26.03 </t>
    </r>
    <r>
      <rPr>
        <b/>
        <sz val="14"/>
        <color rgb="FFFF0000"/>
        <rFont val="Calibri"/>
      </rPr>
      <t>↓</t>
    </r>
  </si>
  <si>
    <t>57.11</t>
  </si>
  <si>
    <t>4.11</t>
  </si>
  <si>
    <t>144.66</t>
  </si>
  <si>
    <r>
      <t xml:space="preserve">106.62 </t>
    </r>
    <r>
      <rPr>
        <b/>
        <sz val="14"/>
        <color rgb="FF00FF00"/>
        <rFont val="Calibri"/>
      </rPr>
      <t>↑</t>
    </r>
  </si>
  <si>
    <r>
      <t xml:space="preserve">8.64 </t>
    </r>
    <r>
      <rPr>
        <b/>
        <sz val="14"/>
        <color rgb="FF00FF00"/>
        <rFont val="Calibri"/>
      </rPr>
      <t>↑</t>
    </r>
  </si>
  <si>
    <t>26.04</t>
  </si>
  <si>
    <t>56.55</t>
  </si>
  <si>
    <t>4.25</t>
  </si>
  <si>
    <t>142.56</t>
  </si>
  <si>
    <t>100.16</t>
  </si>
  <si>
    <t>8.39</t>
  </si>
  <si>
    <t>56.76</t>
  </si>
  <si>
    <t>3.44</t>
  </si>
  <si>
    <t>141.44</t>
  </si>
  <si>
    <t>72.34</t>
  </si>
  <si>
    <t>26.59</t>
  </si>
  <si>
    <r>
      <t xml:space="preserve">56.92 </t>
    </r>
    <r>
      <rPr>
        <b/>
        <sz val="14"/>
        <color rgb="FF00FF00"/>
        <rFont val="Calibri"/>
      </rPr>
      <t>↑</t>
    </r>
  </si>
  <si>
    <t>143.19</t>
  </si>
  <si>
    <t>22.77</t>
  </si>
  <si>
    <t>71.99</t>
  </si>
  <si>
    <t>3.65</t>
  </si>
  <si>
    <t>3.3</t>
  </si>
  <si>
    <t>148.45</t>
  </si>
  <si>
    <t>17.03</t>
  </si>
  <si>
    <r>
      <t xml:space="preserve">69.16 </t>
    </r>
    <r>
      <rPr>
        <b/>
        <sz val="14"/>
        <color rgb="FFFF0000"/>
        <rFont val="Calibri"/>
      </rPr>
      <t>↓</t>
    </r>
  </si>
  <si>
    <t>7.87</t>
  </si>
  <si>
    <t>56.75</t>
  </si>
  <si>
    <t>3.66</t>
  </si>
  <si>
    <r>
      <t xml:space="preserve">3.29 </t>
    </r>
    <r>
      <rPr>
        <b/>
        <sz val="14"/>
        <color rgb="FFFF0000"/>
        <rFont val="Calibri"/>
      </rPr>
      <t>↓</t>
    </r>
  </si>
  <si>
    <t>146.83</t>
  </si>
  <si>
    <r>
      <t xml:space="preserve">11.32 </t>
    </r>
    <r>
      <rPr>
        <b/>
        <sz val="14"/>
        <color rgb="FFFF0000"/>
        <rFont val="Calibri"/>
      </rPr>
      <t>↓</t>
    </r>
  </si>
  <si>
    <r>
      <t xml:space="preserve">82.43 </t>
    </r>
    <r>
      <rPr>
        <b/>
        <sz val="14"/>
        <color rgb="FFFF0000"/>
        <rFont val="Calibri"/>
      </rPr>
      <t>↓</t>
    </r>
  </si>
  <si>
    <r>
      <t xml:space="preserve">7.87 </t>
    </r>
    <r>
      <rPr>
        <b/>
        <sz val="14"/>
        <color rgb="FFFF0000"/>
        <rFont val="Calibri"/>
      </rPr>
      <t>↓</t>
    </r>
  </si>
  <si>
    <t>26.86</t>
  </si>
  <si>
    <r>
      <t xml:space="preserve">3.58 </t>
    </r>
    <r>
      <rPr>
        <b/>
        <sz val="14"/>
        <color rgb="FFFF0000"/>
        <rFont val="Calibri"/>
      </rPr>
      <t>↓</t>
    </r>
  </si>
  <si>
    <t>3.32</t>
  </si>
  <si>
    <t>148.84</t>
  </si>
  <si>
    <r>
      <t xml:space="preserve">11.35 </t>
    </r>
    <r>
      <rPr>
        <b/>
        <sz val="14"/>
        <color rgb="FFFF0000"/>
        <rFont val="Calibri"/>
      </rPr>
      <t>↓</t>
    </r>
  </si>
  <si>
    <t>97.01</t>
  </si>
  <si>
    <r>
      <t xml:space="preserve">3.79 </t>
    </r>
    <r>
      <rPr>
        <b/>
        <sz val="14"/>
        <color rgb="FFFF0000"/>
        <rFont val="Calibri"/>
      </rPr>
      <t>↓</t>
    </r>
  </si>
  <si>
    <t>147.9</t>
  </si>
  <si>
    <t>101.03</t>
  </si>
  <si>
    <t>38.42</t>
  </si>
  <si>
    <t>26.4</t>
  </si>
  <si>
    <t>145.94</t>
  </si>
  <si>
    <t>106.62</t>
  </si>
  <si>
    <t>8.47</t>
  </si>
  <si>
    <r>
      <t xml:space="preserve">38.78 </t>
    </r>
    <r>
      <rPr>
        <b/>
        <sz val="14"/>
        <color rgb="FF00FF00"/>
        <rFont val="Calibri"/>
      </rPr>
      <t>↑</t>
    </r>
  </si>
  <si>
    <t>55.93</t>
  </si>
  <si>
    <t>3.96</t>
  </si>
  <si>
    <r>
      <t xml:space="preserve">3.47 </t>
    </r>
    <r>
      <rPr>
        <b/>
        <sz val="14"/>
        <color rgb="FF00FF00"/>
        <rFont val="Calibri"/>
      </rPr>
      <t>↑</t>
    </r>
  </si>
  <si>
    <t>144.07</t>
  </si>
  <si>
    <t>18.01</t>
  </si>
  <si>
    <t>111.39</t>
  </si>
  <si>
    <t>38.55</t>
  </si>
  <si>
    <t>25.97</t>
  </si>
  <si>
    <t>4.12</t>
  </si>
  <si>
    <r>
      <t xml:space="preserve">3.45 </t>
    </r>
    <r>
      <rPr>
        <b/>
        <sz val="14"/>
        <color rgb="FF00FF00"/>
        <rFont val="Calibri"/>
      </rPr>
      <t>↑</t>
    </r>
  </si>
  <si>
    <t>146.57</t>
  </si>
  <si>
    <t>14.09</t>
  </si>
  <si>
    <t>2.68</t>
  </si>
  <si>
    <t>74.86</t>
  </si>
  <si>
    <r>
      <t xml:space="preserve">57.11 </t>
    </r>
    <r>
      <rPr>
        <b/>
        <sz val="14"/>
        <color rgb="FF00FF00"/>
        <rFont val="Calibri"/>
      </rPr>
      <t>↑</t>
    </r>
  </si>
  <si>
    <t>4.15</t>
  </si>
  <si>
    <t>146.68</t>
  </si>
  <si>
    <t>89.63</t>
  </si>
  <si>
    <t>7.93</t>
  </si>
  <si>
    <t>38.37</t>
  </si>
  <si>
    <t>146.09</t>
  </si>
  <si>
    <t>20.98</t>
  </si>
  <si>
    <t>7.78</t>
  </si>
  <si>
    <t>26.49</t>
  </si>
  <si>
    <t>55.91</t>
  </si>
  <si>
    <t>3.28</t>
  </si>
  <si>
    <t>148.73</t>
  </si>
  <si>
    <t>24.15</t>
  </si>
  <si>
    <t>75.2</t>
  </si>
  <si>
    <t>7.85</t>
  </si>
  <si>
    <t>38.25</t>
  </si>
  <si>
    <t>55.81</t>
  </si>
  <si>
    <t>3.26</t>
  </si>
  <si>
    <t>150.52</t>
  </si>
  <si>
    <t>13.26</t>
  </si>
  <si>
    <t>8.07</t>
  </si>
  <si>
    <t>38.82</t>
  </si>
  <si>
    <t>55.05</t>
  </si>
  <si>
    <t>3.78</t>
  </si>
  <si>
    <t>152.27</t>
  </si>
  <si>
    <t>8.43</t>
  </si>
  <si>
    <t>56.1</t>
  </si>
  <si>
    <t>148.51</t>
  </si>
  <si>
    <t>Customer:</t>
  </si>
  <si>
    <t>Cadillac Casting, Inc.</t>
  </si>
  <si>
    <t>Foundry Line:</t>
  </si>
  <si>
    <t>Foundry Line Group:</t>
  </si>
  <si>
    <t>Group 1</t>
  </si>
  <si>
    <t>From:</t>
  </si>
  <si>
    <t>To:</t>
  </si>
  <si>
    <t>Acceptable Dev(%):</t>
  </si>
  <si>
    <t>Bentonite Dev(%):</t>
  </si>
  <si>
    <t>FSS Dev(%):</t>
  </si>
  <si>
    <t>LCA Dev(%):</t>
  </si>
  <si>
    <t>Water Dev(%):</t>
  </si>
  <si>
    <t>Date</t>
  </si>
  <si>
    <t>Shift</t>
  </si>
  <si>
    <t>Bentonite</t>
  </si>
  <si>
    <t>FSS</t>
  </si>
  <si>
    <t>Water</t>
  </si>
  <si>
    <t>Active Clay</t>
  </si>
  <si>
    <t>Compactability</t>
  </si>
  <si>
    <t>GFN/AFS</t>
  </si>
  <si>
    <t>Permeability</t>
  </si>
  <si>
    <t>Predicted</t>
  </si>
  <si>
    <t>Actual</t>
  </si>
  <si>
    <t>Dev. Actual(%)</t>
  </si>
  <si>
    <t>Dev. Optimum(%)</t>
  </si>
  <si>
    <t>Optimal</t>
  </si>
  <si>
    <t>Model(Low)</t>
  </si>
  <si>
    <t>Model(High)</t>
  </si>
  <si>
    <t>RMSE</t>
  </si>
  <si>
    <t>45555B</t>
  </si>
  <si>
    <t>45555A</t>
  </si>
  <si>
    <t>45554B</t>
  </si>
  <si>
    <t>45554A</t>
  </si>
  <si>
    <t>45553B</t>
  </si>
  <si>
    <t>45553A</t>
  </si>
  <si>
    <t>45552B</t>
  </si>
  <si>
    <t>45552A</t>
  </si>
  <si>
    <t>45551B</t>
  </si>
  <si>
    <t>45551A</t>
  </si>
  <si>
    <t>45549B</t>
  </si>
  <si>
    <t>45549A</t>
  </si>
  <si>
    <t>45548B</t>
  </si>
  <si>
    <t>45548A</t>
  </si>
  <si>
    <t>45547B</t>
  </si>
  <si>
    <t>45547A</t>
  </si>
  <si>
    <t>45544B</t>
  </si>
  <si>
    <t>45544A</t>
  </si>
  <si>
    <t>45541B</t>
  </si>
  <si>
    <t>45541A</t>
  </si>
  <si>
    <t>45540B</t>
  </si>
  <si>
    <t>45540A</t>
  </si>
  <si>
    <t>45539B</t>
  </si>
  <si>
    <t>45539A</t>
  </si>
  <si>
    <t>45538B</t>
  </si>
  <si>
    <t>45538A</t>
  </si>
  <si>
    <t>45533B</t>
  </si>
  <si>
    <t>45533A</t>
  </si>
  <si>
    <t>45532B</t>
  </si>
  <si>
    <t>45532A</t>
  </si>
  <si>
    <t>45531B</t>
  </si>
  <si>
    <t>45531A</t>
  </si>
  <si>
    <t>45530B</t>
  </si>
  <si>
    <t>45530A</t>
  </si>
  <si>
    <t>45526B</t>
  </si>
  <si>
    <t>45526A</t>
  </si>
  <si>
    <t>45525B</t>
  </si>
  <si>
    <t>45525A</t>
  </si>
  <si>
    <t>45524B</t>
  </si>
  <si>
    <t>45524A</t>
  </si>
  <si>
    <t>45523B</t>
  </si>
  <si>
    <t>45523A</t>
  </si>
  <si>
    <t>45520B</t>
  </si>
  <si>
    <t>45520A</t>
  </si>
  <si>
    <t>45519B</t>
  </si>
  <si>
    <t>45519A</t>
  </si>
  <si>
    <t>Std.Dev</t>
  </si>
  <si>
    <t xml:space="preserve">Shfit </t>
  </si>
  <si>
    <t>Prediction</t>
  </si>
  <si>
    <t>Shift Properties</t>
  </si>
  <si>
    <t>7.73</t>
  </si>
  <si>
    <t>115.0</t>
  </si>
  <si>
    <t>38.01</t>
  </si>
  <si>
    <t>26.02</t>
  </si>
  <si>
    <t>56.16</t>
  </si>
  <si>
    <t>3.36</t>
  </si>
  <si>
    <t>144.75</t>
  </si>
  <si>
    <t>10.52</t>
  </si>
  <si>
    <t>0.19</t>
  </si>
  <si>
    <t>8.01</t>
  </si>
  <si>
    <t>37.69</t>
  </si>
  <si>
    <t>54.31</t>
  </si>
  <si>
    <t>143.16</t>
  </si>
  <si>
    <t>5.09</t>
  </si>
  <si>
    <t>4.75</t>
  </si>
  <si>
    <t>109.73</t>
  </si>
  <si>
    <t>8.12</t>
  </si>
  <si>
    <t>25.9</t>
  </si>
  <si>
    <t>3.9</t>
  </si>
  <si>
    <t>145.77</t>
  </si>
  <si>
    <t>5.0</t>
  </si>
  <si>
    <t>37.56</t>
  </si>
  <si>
    <t>26.77</t>
  </si>
  <si>
    <t>4.08</t>
  </si>
  <si>
    <t>141.52</t>
  </si>
  <si>
    <t>1.89</t>
  </si>
  <si>
    <t>114.71</t>
  </si>
  <si>
    <t>25.87</t>
  </si>
  <si>
    <t>145.46</t>
  </si>
  <si>
    <t>38.14</t>
  </si>
  <si>
    <t>26.27</t>
  </si>
  <si>
    <t>137.64</t>
  </si>
  <si>
    <t>7.98</t>
  </si>
  <si>
    <t>8.02</t>
  </si>
  <si>
    <t>25.64</t>
  </si>
  <si>
    <t>56.65</t>
  </si>
  <si>
    <t>142.88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</si>
</sst>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Calibri"/>
    </font>
    <font>
      <b/>
      <sz val="14"/>
      <color rgb="FF00FF00"/>
      <name val="Calibri"/>
    </font>
    <font>
      <b/>
      <sz val="14"/>
      <color rgb="FFFF0000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7DC6F"/>
      </patternFill>
    </fill>
    <fill>
      <patternFill patternType="solid">
        <fgColor rgb="FFF89BAF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0" xfId="1"/>
    <xf numFmtId="0" fontId="2" fillId="3" borderId="0" xfId="1" applyFill="1" applyAlignment="1">
      <alignment wrapText="1"/>
    </xf>
    <xf numFmtId="0" fontId="2" fillId="0" borderId="0" xfId="1" applyAlignment="1">
      <alignment wrapText="1"/>
    </xf>
    <xf numFmtId="0" fontId="3" fillId="0" borderId="0" xfId="1" applyFont="1"/>
    <xf numFmtId="0" fontId="2" fillId="4" borderId="0" xfId="1" applyFill="1"/>
    <xf numFmtId="0" fontId="3" fillId="4" borderId="0" xfId="1" applyFont="1" applyFill="1"/>
    <xf numFmtId="14" fontId="6" fillId="0" borderId="0" xfId="1" applyNumberFormat="1" applyFont="1"/>
    <xf numFmtId="14" fontId="2" fillId="0" borderId="0" xfId="1" applyNumberFormat="1" applyAlignment="1">
      <alignment horizontal="left"/>
    </xf>
    <xf numFmtId="14" fontId="0" fillId="0" borderId="0" xfId="0" applyNumberForma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2" fillId="0" borderId="0" xfId="1"/>
    <xf numFmtId="0" fontId="1" fillId="5" borderId="1" xfId="0" applyFont="1" applyFill="1" applyBorder="1" applyAlignment="1">
      <alignment horizontal="center" vertical="center"/>
    </xf>
    <xf numFmtId="0" fontId="2" fillId="0" borderId="0" xfId="1"/>
    <xf numFmtId="14" fontId="2" fillId="0" borderId="0" xfId="1" applyNumberFormat="1" applyAlignment="1">
      <alignment horizontal="left"/>
    </xf>
    <xf numFmtId="0" fontId="2" fillId="0" borderId="0" xfId="1"/>
    <xf numFmtId="0" fontId="2" fillId="3" borderId="0" xfId="1" applyFill="1" applyAlignment="1">
      <alignment wrapText="1"/>
    </xf>
    <xf numFmtId="0" fontId="2" fillId="0" borderId="0" xfId="1" applyAlignment="1">
      <alignment wrapText="1"/>
    </xf>
    <xf numFmtId="0" fontId="2" fillId="4" borderId="0" xfId="1" applyFill="1"/>
    <xf numFmtId="0" fontId="3" fillId="4" borderId="0" xfId="1" applyFont="1" applyFill="1"/>
    <xf numFmtId="14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6" borderId="0" xfId="0" applyFill="1"/>
    <xf numFmtId="1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7" borderId="0" xfId="0" applyFill="1"/>
  </cellXfs>
  <cellStyles count="2">
    <cellStyle name="Normal" xfId="0" builtinId="0"/>
    <cellStyle name="Normal 2" xfId="1" xr:uid="{A4D57C01-DC14-49F6-B90A-24562AD1471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%20Area\workspace\sadmix%20code\Sand%20mix%20Final\Analysis\Cadillac\Results%202%20good%20with%20props.xlsx" TargetMode="External"/><Relationship Id="rId1" Type="http://schemas.openxmlformats.org/officeDocument/2006/relationships/externalLinkPath" Target="Results%202%20good%20with%20pro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Sheet2"/>
      <sheetName val="Sheet3"/>
    </sheetNames>
    <sheetDataSet>
      <sheetData sheetId="0"/>
      <sheetData sheetId="1"/>
      <sheetData sheetId="2">
        <row r="7">
          <cell r="C7" t="str">
            <v>45519A</v>
          </cell>
          <cell r="D7" t="str">
            <v>11.34</v>
          </cell>
          <cell r="E7">
            <v>15.56</v>
          </cell>
          <cell r="F7">
            <v>37.21</v>
          </cell>
          <cell r="G7" t="str">
            <v>0.0</v>
          </cell>
          <cell r="H7">
            <v>0</v>
          </cell>
          <cell r="J7" t="str">
            <v>93.31</v>
          </cell>
          <cell r="K7">
            <v>67.81</v>
          </cell>
          <cell r="L7">
            <v>27.32</v>
          </cell>
          <cell r="M7" t="str">
            <v>8.29</v>
          </cell>
          <cell r="N7">
            <v>8</v>
          </cell>
          <cell r="O7">
            <v>3.49</v>
          </cell>
          <cell r="P7">
            <v>1.84</v>
          </cell>
          <cell r="Q7" t="str">
            <v>38.59</v>
          </cell>
          <cell r="R7">
            <v>37.67</v>
          </cell>
          <cell r="S7">
            <v>2.38</v>
          </cell>
          <cell r="T7">
            <v>2.86</v>
          </cell>
          <cell r="U7" t="str">
            <v>26.61</v>
          </cell>
          <cell r="V7">
            <v>27.77</v>
          </cell>
          <cell r="W7">
            <v>4.3499999999999996</v>
          </cell>
          <cell r="X7">
            <v>5.95</v>
          </cell>
          <cell r="Y7" t="str">
            <v>55.52</v>
          </cell>
          <cell r="Z7">
            <v>55.72</v>
          </cell>
          <cell r="AA7">
            <v>0.36</v>
          </cell>
          <cell r="AB7">
            <v>1.18</v>
          </cell>
          <cell r="AC7" t="str">
            <v>3.73</v>
          </cell>
          <cell r="AD7">
            <v>3.63</v>
          </cell>
          <cell r="AE7">
            <v>2.68</v>
          </cell>
          <cell r="AF7">
            <v>4.72</v>
          </cell>
          <cell r="AG7" t="str">
            <v>3.4</v>
          </cell>
          <cell r="AH7">
            <v>3.23</v>
          </cell>
          <cell r="AI7">
            <v>4.99</v>
          </cell>
          <cell r="AJ7">
            <v>4.99</v>
          </cell>
          <cell r="AK7" t="str">
            <v>145.53</v>
          </cell>
          <cell r="AL7">
            <v>140.33000000000001</v>
          </cell>
          <cell r="AM7">
            <v>3.57</v>
          </cell>
          <cell r="AN7">
            <v>7.81</v>
          </cell>
        </row>
        <row r="8">
          <cell r="C8" t="str">
            <v>45519B</v>
          </cell>
          <cell r="D8" t="str">
            <v>11.36</v>
          </cell>
          <cell r="E8">
            <v>15.31</v>
          </cell>
          <cell r="F8">
            <v>34.770000000000003</v>
          </cell>
          <cell r="G8" t="str">
            <v>0.0</v>
          </cell>
          <cell r="H8">
            <v>0</v>
          </cell>
          <cell r="J8" t="str">
            <v>102.89</v>
          </cell>
          <cell r="K8">
            <v>82.91</v>
          </cell>
          <cell r="L8">
            <v>19.41</v>
          </cell>
          <cell r="M8" t="str">
            <v>8.0</v>
          </cell>
          <cell r="N8">
            <v>7.89</v>
          </cell>
          <cell r="O8">
            <v>1.37</v>
          </cell>
          <cell r="P8">
            <v>3.19</v>
          </cell>
          <cell r="Q8" t="str">
            <v>38.39</v>
          </cell>
          <cell r="R8">
            <v>39.25</v>
          </cell>
          <cell r="S8">
            <v>2.2400000000000002</v>
          </cell>
          <cell r="T8">
            <v>1.21</v>
          </cell>
          <cell r="U8" t="str">
            <v>26.88</v>
          </cell>
          <cell r="V8">
            <v>26.62</v>
          </cell>
          <cell r="W8">
            <v>0.96</v>
          </cell>
          <cell r="X8">
            <v>1.56</v>
          </cell>
          <cell r="Y8" t="str">
            <v>55.84</v>
          </cell>
          <cell r="Z8">
            <v>55.74</v>
          </cell>
          <cell r="AA8">
            <v>0.17</v>
          </cell>
          <cell r="AB8">
            <v>1.21</v>
          </cell>
          <cell r="AC8" t="str">
            <v>3.61</v>
          </cell>
          <cell r="AD8">
            <v>3.58</v>
          </cell>
          <cell r="AE8">
            <v>0.83</v>
          </cell>
          <cell r="AF8">
            <v>6.03</v>
          </cell>
          <cell r="AG8" t="str">
            <v>3.31</v>
          </cell>
          <cell r="AH8">
            <v>3.24</v>
          </cell>
          <cell r="AI8">
            <v>2.11</v>
          </cell>
          <cell r="AJ8">
            <v>4.7</v>
          </cell>
          <cell r="AK8" t="str">
            <v>146.3</v>
          </cell>
          <cell r="AL8">
            <v>146.25</v>
          </cell>
          <cell r="AM8">
            <v>0.03</v>
          </cell>
          <cell r="AN8">
            <v>3.92</v>
          </cell>
        </row>
        <row r="9">
          <cell r="C9" t="str">
            <v>45519C</v>
          </cell>
          <cell r="D9" t="str">
            <v>14.35</v>
          </cell>
          <cell r="E9">
            <v>15.86</v>
          </cell>
          <cell r="F9">
            <v>10.52</v>
          </cell>
          <cell r="G9" t="str">
            <v>0.0</v>
          </cell>
          <cell r="H9">
            <v>0</v>
          </cell>
          <cell r="J9" t="str">
            <v>70.32</v>
          </cell>
          <cell r="K9">
            <v>98.33</v>
          </cell>
          <cell r="L9">
            <v>39.83</v>
          </cell>
          <cell r="M9" t="str">
            <v>7.9</v>
          </cell>
          <cell r="N9">
            <v>8.1999999999999993</v>
          </cell>
          <cell r="O9">
            <v>3.79</v>
          </cell>
          <cell r="P9">
            <v>0.61</v>
          </cell>
          <cell r="Q9" t="str">
            <v>38.43</v>
          </cell>
          <cell r="R9">
            <v>39</v>
          </cell>
          <cell r="S9">
            <v>1.48</v>
          </cell>
          <cell r="T9">
            <v>0.56000000000000005</v>
          </cell>
          <cell r="U9" t="str">
            <v>26.68</v>
          </cell>
          <cell r="V9">
            <v>25.44</v>
          </cell>
          <cell r="W9">
            <v>4.6399999999999997</v>
          </cell>
          <cell r="X9">
            <v>2.93</v>
          </cell>
          <cell r="Y9" t="str">
            <v>55.75</v>
          </cell>
          <cell r="Z9">
            <v>55.74</v>
          </cell>
          <cell r="AA9">
            <v>0.01</v>
          </cell>
          <cell r="AB9">
            <v>1.21</v>
          </cell>
          <cell r="AC9" t="str">
            <v>3.64</v>
          </cell>
          <cell r="AD9">
            <v>3.58</v>
          </cell>
          <cell r="AE9">
            <v>1.64</v>
          </cell>
          <cell r="AF9">
            <v>6.03</v>
          </cell>
          <cell r="AG9" t="str">
            <v>3.33</v>
          </cell>
          <cell r="AH9">
            <v>3.37</v>
          </cell>
          <cell r="AI9">
            <v>1.2</v>
          </cell>
          <cell r="AJ9">
            <v>0.88</v>
          </cell>
          <cell r="AK9" t="str">
            <v>149.66</v>
          </cell>
          <cell r="AL9">
            <v>149</v>
          </cell>
          <cell r="AM9">
            <v>0.44</v>
          </cell>
          <cell r="AN9">
            <v>2.12</v>
          </cell>
        </row>
        <row r="10">
          <cell r="C10" t="str">
            <v>45520A</v>
          </cell>
          <cell r="D10" t="str">
            <v>13.95</v>
          </cell>
          <cell r="E10">
            <v>20.079999999999998</v>
          </cell>
          <cell r="F10">
            <v>43.94</v>
          </cell>
          <cell r="G10" t="str">
            <v>0.0</v>
          </cell>
          <cell r="H10">
            <v>0</v>
          </cell>
          <cell r="J10" t="str">
            <v>69.45</v>
          </cell>
          <cell r="K10">
            <v>74.790000000000006</v>
          </cell>
          <cell r="L10">
            <v>7.68</v>
          </cell>
          <cell r="M10" t="str">
            <v>8.04</v>
          </cell>
          <cell r="N10">
            <v>8.08</v>
          </cell>
          <cell r="O10">
            <v>0.49</v>
          </cell>
          <cell r="P10">
            <v>0.85</v>
          </cell>
          <cell r="Q10" t="str">
            <v>38.69</v>
          </cell>
          <cell r="R10">
            <v>37.67</v>
          </cell>
          <cell r="S10">
            <v>2.63</v>
          </cell>
          <cell r="T10">
            <v>2.86</v>
          </cell>
          <cell r="U10" t="str">
            <v>26.41</v>
          </cell>
          <cell r="V10">
            <v>25.77</v>
          </cell>
          <cell r="W10">
            <v>2.42</v>
          </cell>
          <cell r="X10">
            <v>1.67</v>
          </cell>
          <cell r="Y10" t="str">
            <v>55.69</v>
          </cell>
          <cell r="Z10">
            <v>55</v>
          </cell>
          <cell r="AA10">
            <v>1.23</v>
          </cell>
          <cell r="AB10">
            <v>0.12</v>
          </cell>
          <cell r="AC10" t="str">
            <v>3.73</v>
          </cell>
          <cell r="AD10">
            <v>3.58</v>
          </cell>
          <cell r="AE10">
            <v>4.0199999999999996</v>
          </cell>
          <cell r="AF10">
            <v>6.03</v>
          </cell>
          <cell r="AG10" t="str">
            <v>3.39</v>
          </cell>
          <cell r="AH10">
            <v>3.34</v>
          </cell>
          <cell r="AI10">
            <v>1.47</v>
          </cell>
          <cell r="AJ10">
            <v>1.76</v>
          </cell>
          <cell r="AK10" t="str">
            <v>148.76</v>
          </cell>
          <cell r="AL10">
            <v>144.33000000000001</v>
          </cell>
          <cell r="AM10">
            <v>2.97</v>
          </cell>
          <cell r="AN10">
            <v>5.18</v>
          </cell>
        </row>
        <row r="11">
          <cell r="C11" t="str">
            <v>45520B</v>
          </cell>
          <cell r="D11" t="str">
            <v>15.69</v>
          </cell>
          <cell r="E11">
            <v>18.809999999999999</v>
          </cell>
          <cell r="F11">
            <v>19.88</v>
          </cell>
          <cell r="G11" t="str">
            <v>0.0</v>
          </cell>
          <cell r="H11">
            <v>0</v>
          </cell>
          <cell r="J11" t="str">
            <v>79.03</v>
          </cell>
          <cell r="K11">
            <v>75.8</v>
          </cell>
          <cell r="L11">
            <v>4.08</v>
          </cell>
          <cell r="M11" t="str">
            <v>8.06</v>
          </cell>
          <cell r="N11">
            <v>8.1</v>
          </cell>
          <cell r="O11">
            <v>0.49</v>
          </cell>
          <cell r="P11">
            <v>0.61</v>
          </cell>
          <cell r="Q11" t="str">
            <v>38.87</v>
          </cell>
          <cell r="R11">
            <v>37.67</v>
          </cell>
          <cell r="S11">
            <v>3.08</v>
          </cell>
          <cell r="T11">
            <v>2.86</v>
          </cell>
          <cell r="U11" t="str">
            <v>26.53</v>
          </cell>
          <cell r="V11">
            <v>27.27</v>
          </cell>
          <cell r="W11">
            <v>2.78</v>
          </cell>
          <cell r="X11">
            <v>4.04</v>
          </cell>
          <cell r="Y11" t="str">
            <v>55.12</v>
          </cell>
          <cell r="Z11">
            <v>55</v>
          </cell>
          <cell r="AA11">
            <v>0.21</v>
          </cell>
          <cell r="AB11">
            <v>0.12</v>
          </cell>
          <cell r="AC11" t="str">
            <v>3.72</v>
          </cell>
          <cell r="AD11">
            <v>3.7</v>
          </cell>
          <cell r="AE11">
            <v>0.53</v>
          </cell>
          <cell r="AF11">
            <v>2.88</v>
          </cell>
          <cell r="AG11" t="str">
            <v>3.39</v>
          </cell>
          <cell r="AH11">
            <v>3.34</v>
          </cell>
          <cell r="AI11">
            <v>1.47</v>
          </cell>
          <cell r="AJ11">
            <v>1.76</v>
          </cell>
          <cell r="AK11" t="str">
            <v>150.78</v>
          </cell>
          <cell r="AL11">
            <v>142</v>
          </cell>
          <cell r="AM11">
            <v>5.82</v>
          </cell>
          <cell r="AN11">
            <v>6.72</v>
          </cell>
        </row>
        <row r="12">
          <cell r="C12" t="str">
            <v>45520C</v>
          </cell>
          <cell r="D12" t="str">
            <v>11.36</v>
          </cell>
          <cell r="E12">
            <v>16.03</v>
          </cell>
          <cell r="F12">
            <v>41.1</v>
          </cell>
          <cell r="G12" t="str">
            <v>0.0</v>
          </cell>
          <cell r="H12">
            <v>0</v>
          </cell>
          <cell r="J12" t="str">
            <v>104.27</v>
          </cell>
          <cell r="K12">
            <v>84.93</v>
          </cell>
          <cell r="L12">
            <v>18.54</v>
          </cell>
          <cell r="M12" t="str">
            <v>8.06</v>
          </cell>
          <cell r="N12">
            <v>8.4499999999999993</v>
          </cell>
          <cell r="O12">
            <v>4.83</v>
          </cell>
          <cell r="P12">
            <v>3.68</v>
          </cell>
          <cell r="Q12" t="str">
            <v>38.71</v>
          </cell>
          <cell r="R12">
            <v>39.200000000000003</v>
          </cell>
          <cell r="S12">
            <v>1.26</v>
          </cell>
          <cell r="T12">
            <v>1.08</v>
          </cell>
          <cell r="U12" t="str">
            <v>26.65</v>
          </cell>
          <cell r="V12">
            <v>26.6</v>
          </cell>
          <cell r="W12">
            <v>0.18</v>
          </cell>
          <cell r="X12">
            <v>1.48</v>
          </cell>
          <cell r="Y12" t="str">
            <v>55.23</v>
          </cell>
          <cell r="Z12">
            <v>55</v>
          </cell>
          <cell r="AA12">
            <v>0.41</v>
          </cell>
          <cell r="AB12">
            <v>0.12</v>
          </cell>
          <cell r="AC12" t="str">
            <v>3.7</v>
          </cell>
          <cell r="AD12">
            <v>3.7</v>
          </cell>
          <cell r="AE12">
            <v>0</v>
          </cell>
          <cell r="AF12">
            <v>2.88</v>
          </cell>
          <cell r="AG12" t="str">
            <v>3.35</v>
          </cell>
          <cell r="AH12">
            <v>3.44</v>
          </cell>
          <cell r="AI12">
            <v>2.68</v>
          </cell>
          <cell r="AJ12">
            <v>1.17</v>
          </cell>
          <cell r="AK12" t="str">
            <v>148.92</v>
          </cell>
          <cell r="AL12">
            <v>150.6</v>
          </cell>
          <cell r="AM12">
            <v>1.1200000000000001</v>
          </cell>
          <cell r="AN12">
            <v>1.07</v>
          </cell>
        </row>
        <row r="13">
          <cell r="C13" t="str">
            <v>45523A</v>
          </cell>
          <cell r="D13" t="str">
            <v>11.35</v>
          </cell>
          <cell r="E13">
            <v>15.37</v>
          </cell>
          <cell r="F13">
            <v>35.409999999999997</v>
          </cell>
          <cell r="G13" t="str">
            <v>0.0</v>
          </cell>
          <cell r="H13">
            <v>0</v>
          </cell>
          <cell r="J13" t="str">
            <v>97.42</v>
          </cell>
          <cell r="K13">
            <v>67.959999999999994</v>
          </cell>
          <cell r="L13">
            <v>30.24</v>
          </cell>
          <cell r="M13" t="str">
            <v>8.2</v>
          </cell>
          <cell r="N13">
            <v>8.43</v>
          </cell>
          <cell r="O13">
            <v>2.8</v>
          </cell>
          <cell r="P13">
            <v>3.43</v>
          </cell>
          <cell r="Q13" t="str">
            <v>38.77</v>
          </cell>
          <cell r="R13">
            <v>37.17</v>
          </cell>
          <cell r="S13">
            <v>4.12</v>
          </cell>
          <cell r="T13">
            <v>4.1500000000000004</v>
          </cell>
          <cell r="U13" t="str">
            <v>26.37</v>
          </cell>
          <cell r="V13">
            <v>28.38</v>
          </cell>
          <cell r="W13">
            <v>7.62</v>
          </cell>
          <cell r="X13">
            <v>8.27</v>
          </cell>
          <cell r="Y13" t="str">
            <v>55.12</v>
          </cell>
          <cell r="Z13">
            <v>55.77</v>
          </cell>
          <cell r="AA13">
            <v>1.17</v>
          </cell>
          <cell r="AB13">
            <v>1.27</v>
          </cell>
          <cell r="AC13" t="str">
            <v>3.77</v>
          </cell>
          <cell r="AD13">
            <v>3.96</v>
          </cell>
          <cell r="AE13">
            <v>5.03</v>
          </cell>
          <cell r="AF13">
            <v>3.93</v>
          </cell>
          <cell r="AG13" t="str">
            <v>3.4</v>
          </cell>
          <cell r="AH13">
            <v>3.51</v>
          </cell>
          <cell r="AI13">
            <v>3.23</v>
          </cell>
          <cell r="AJ13">
            <v>3.23</v>
          </cell>
          <cell r="AK13" t="str">
            <v>150.0</v>
          </cell>
          <cell r="AL13">
            <v>142.16999999999999</v>
          </cell>
          <cell r="AM13">
            <v>5.22</v>
          </cell>
          <cell r="AN13">
            <v>6.6</v>
          </cell>
        </row>
        <row r="14">
          <cell r="C14" t="str">
            <v>45523B</v>
          </cell>
          <cell r="D14" t="str">
            <v>11.38</v>
          </cell>
          <cell r="E14">
            <v>13.68</v>
          </cell>
          <cell r="F14">
            <v>20.21</v>
          </cell>
          <cell r="G14" t="str">
            <v>0.0</v>
          </cell>
          <cell r="H14">
            <v>0</v>
          </cell>
          <cell r="J14" t="str">
            <v>111.09</v>
          </cell>
          <cell r="K14">
            <v>77.75</v>
          </cell>
          <cell r="L14">
            <v>30.01</v>
          </cell>
          <cell r="M14" t="str">
            <v>8.45</v>
          </cell>
          <cell r="N14">
            <v>8.5</v>
          </cell>
          <cell r="O14">
            <v>0.59</v>
          </cell>
          <cell r="P14">
            <v>4.29</v>
          </cell>
          <cell r="Q14" t="str">
            <v>38.6</v>
          </cell>
          <cell r="R14">
            <v>39</v>
          </cell>
          <cell r="S14">
            <v>1.03</v>
          </cell>
          <cell r="T14">
            <v>0.56000000000000005</v>
          </cell>
          <cell r="U14" t="str">
            <v>26.41</v>
          </cell>
          <cell r="V14">
            <v>27</v>
          </cell>
          <cell r="W14">
            <v>2.23</v>
          </cell>
          <cell r="X14">
            <v>3.01</v>
          </cell>
          <cell r="Y14" t="str">
            <v>55.84</v>
          </cell>
          <cell r="Z14">
            <v>54.98</v>
          </cell>
          <cell r="AA14">
            <v>1.54</v>
          </cell>
          <cell r="AB14">
            <v>0.16</v>
          </cell>
          <cell r="AC14" t="str">
            <v>4.01</v>
          </cell>
          <cell r="AD14">
            <v>4.04</v>
          </cell>
          <cell r="AE14">
            <v>0.74</v>
          </cell>
          <cell r="AF14">
            <v>6.03</v>
          </cell>
          <cell r="AG14" t="str">
            <v>3.45</v>
          </cell>
          <cell r="AH14">
            <v>3.65</v>
          </cell>
          <cell r="AI14">
            <v>5.79</v>
          </cell>
          <cell r="AJ14">
            <v>7.35</v>
          </cell>
          <cell r="AK14" t="str">
            <v>145.93</v>
          </cell>
          <cell r="AL14">
            <v>147</v>
          </cell>
          <cell r="AM14">
            <v>0.73</v>
          </cell>
          <cell r="AN14">
            <v>3.43</v>
          </cell>
        </row>
        <row r="15">
          <cell r="C15" t="str">
            <v>45523C</v>
          </cell>
          <cell r="D15" t="str">
            <v>11.4</v>
          </cell>
          <cell r="E15">
            <v>11.08</v>
          </cell>
          <cell r="F15">
            <v>2.8</v>
          </cell>
          <cell r="G15" t="str">
            <v>10.09</v>
          </cell>
          <cell r="H15">
            <v>0</v>
          </cell>
          <cell r="I15">
            <v>100</v>
          </cell>
          <cell r="J15" t="str">
            <v>111.31 ↑</v>
          </cell>
          <cell r="K15">
            <v>75.959999999999994</v>
          </cell>
          <cell r="L15">
            <v>31.75</v>
          </cell>
          <cell r="M15" t="str">
            <v>8.54 ↑</v>
          </cell>
          <cell r="N15">
            <v>8.57</v>
          </cell>
          <cell r="O15">
            <v>0.35</v>
          </cell>
          <cell r="P15">
            <v>5.15</v>
          </cell>
          <cell r="Q15" t="str">
            <v>38.38</v>
          </cell>
          <cell r="R15">
            <v>38.71</v>
          </cell>
          <cell r="S15">
            <v>0.85</v>
          </cell>
          <cell r="T15">
            <v>0.18</v>
          </cell>
          <cell r="U15" t="str">
            <v>26.57</v>
          </cell>
          <cell r="V15">
            <v>26.92</v>
          </cell>
          <cell r="W15">
            <v>1.31</v>
          </cell>
          <cell r="X15">
            <v>2.7</v>
          </cell>
          <cell r="Y15" t="str">
            <v>55.19</v>
          </cell>
          <cell r="Z15">
            <v>54.98</v>
          </cell>
          <cell r="AA15">
            <v>0.38</v>
          </cell>
          <cell r="AB15">
            <v>0.16</v>
          </cell>
          <cell r="AC15" t="str">
            <v>4.04</v>
          </cell>
          <cell r="AD15">
            <v>4.04</v>
          </cell>
          <cell r="AE15">
            <v>0</v>
          </cell>
          <cell r="AF15">
            <v>6.03</v>
          </cell>
          <cell r="AG15" t="str">
            <v>3.45</v>
          </cell>
          <cell r="AH15">
            <v>3.44</v>
          </cell>
          <cell r="AI15">
            <v>0.28000000000000003</v>
          </cell>
          <cell r="AJ15">
            <v>1.17</v>
          </cell>
          <cell r="AK15" t="str">
            <v>146.69</v>
          </cell>
          <cell r="AL15">
            <v>149.29</v>
          </cell>
          <cell r="AM15">
            <v>1.77</v>
          </cell>
          <cell r="AN15">
            <v>1.93</v>
          </cell>
        </row>
        <row r="16">
          <cell r="C16" t="str">
            <v>45524A</v>
          </cell>
          <cell r="D16" t="str">
            <v>11.37</v>
          </cell>
          <cell r="E16">
            <v>12.64</v>
          </cell>
          <cell r="F16">
            <v>11.16</v>
          </cell>
          <cell r="G16" t="str">
            <v>0.0</v>
          </cell>
          <cell r="H16">
            <v>0</v>
          </cell>
          <cell r="J16" t="str">
            <v>104.86</v>
          </cell>
          <cell r="K16">
            <v>93.97</v>
          </cell>
          <cell r="L16">
            <v>10.38</v>
          </cell>
          <cell r="M16" t="str">
            <v>8.27</v>
          </cell>
          <cell r="N16">
            <v>8.15</v>
          </cell>
          <cell r="O16">
            <v>1.45</v>
          </cell>
          <cell r="P16">
            <v>0</v>
          </cell>
          <cell r="Q16" t="str">
            <v>38.5</v>
          </cell>
          <cell r="R16">
            <v>38.25</v>
          </cell>
          <cell r="S16">
            <v>0.64</v>
          </cell>
          <cell r="T16">
            <v>1.36</v>
          </cell>
          <cell r="U16" t="str">
            <v>26.14</v>
          </cell>
          <cell r="V16">
            <v>26.4</v>
          </cell>
          <cell r="W16">
            <v>0.99</v>
          </cell>
          <cell r="X16">
            <v>0.72</v>
          </cell>
          <cell r="Y16" t="str">
            <v>55.17</v>
          </cell>
          <cell r="Z16">
            <v>54.44</v>
          </cell>
          <cell r="AA16">
            <v>1.32</v>
          </cell>
          <cell r="AB16">
            <v>1.1399999999999999</v>
          </cell>
          <cell r="AC16" t="str">
            <v>4.02</v>
          </cell>
          <cell r="AD16">
            <v>4.0599999999999996</v>
          </cell>
          <cell r="AE16">
            <v>0.99</v>
          </cell>
          <cell r="AF16">
            <v>6.56</v>
          </cell>
          <cell r="AG16" t="str">
            <v>3.42</v>
          </cell>
          <cell r="AH16">
            <v>3.34</v>
          </cell>
          <cell r="AI16">
            <v>2.33</v>
          </cell>
          <cell r="AJ16">
            <v>1.76</v>
          </cell>
          <cell r="AK16" t="str">
            <v>147.84</v>
          </cell>
          <cell r="AL16">
            <v>140</v>
          </cell>
          <cell r="AM16">
            <v>5.3</v>
          </cell>
          <cell r="AN16">
            <v>8.0299999999999994</v>
          </cell>
        </row>
        <row r="17">
          <cell r="C17" t="str">
            <v>45524B</v>
          </cell>
          <cell r="D17" t="str">
            <v>11.35</v>
          </cell>
          <cell r="E17">
            <v>14.23</v>
          </cell>
          <cell r="F17">
            <v>25.37</v>
          </cell>
          <cell r="G17" t="str">
            <v>2.16</v>
          </cell>
          <cell r="H17">
            <v>0</v>
          </cell>
          <cell r="I17">
            <v>100</v>
          </cell>
          <cell r="J17" t="str">
            <v>95.34</v>
          </cell>
          <cell r="K17">
            <v>73.459999999999994</v>
          </cell>
          <cell r="L17">
            <v>22.94</v>
          </cell>
          <cell r="M17" t="str">
            <v>8.16</v>
          </cell>
          <cell r="N17">
            <v>8.07</v>
          </cell>
          <cell r="O17">
            <v>1.1000000000000001</v>
          </cell>
          <cell r="P17">
            <v>0.98</v>
          </cell>
          <cell r="Q17" t="str">
            <v>38.7</v>
          </cell>
          <cell r="R17">
            <v>38.5</v>
          </cell>
          <cell r="S17">
            <v>0.51</v>
          </cell>
          <cell r="T17">
            <v>0.72</v>
          </cell>
          <cell r="U17" t="str">
            <v>26.35</v>
          </cell>
          <cell r="V17">
            <v>26.9</v>
          </cell>
          <cell r="W17">
            <v>2.08</v>
          </cell>
          <cell r="X17">
            <v>2.63</v>
          </cell>
          <cell r="Y17" t="str">
            <v>54.85</v>
          </cell>
          <cell r="Z17">
            <v>56.44</v>
          </cell>
          <cell r="AA17">
            <v>2.89</v>
          </cell>
          <cell r="AB17">
            <v>2.48</v>
          </cell>
          <cell r="AC17" t="str">
            <v>4.04</v>
          </cell>
          <cell r="AD17">
            <v>4.0599999999999996</v>
          </cell>
          <cell r="AE17">
            <v>0.49</v>
          </cell>
          <cell r="AF17">
            <v>6.56</v>
          </cell>
          <cell r="AG17" t="str">
            <v>3.43</v>
          </cell>
          <cell r="AH17">
            <v>3.28</v>
          </cell>
          <cell r="AI17">
            <v>4.37</v>
          </cell>
          <cell r="AJ17">
            <v>3.52</v>
          </cell>
          <cell r="AK17" t="str">
            <v>147.09</v>
          </cell>
          <cell r="AL17">
            <v>154</v>
          </cell>
          <cell r="AM17">
            <v>4.6900000000000004</v>
          </cell>
          <cell r="AN17">
            <v>1.1599999999999999</v>
          </cell>
        </row>
        <row r="18">
          <cell r="C18" t="str">
            <v>45524C</v>
          </cell>
          <cell r="D18" t="str">
            <v>19.4</v>
          </cell>
          <cell r="E18">
            <v>13.98</v>
          </cell>
          <cell r="F18">
            <v>27.93</v>
          </cell>
          <cell r="G18" t="str">
            <v>0.0</v>
          </cell>
          <cell r="H18">
            <v>0</v>
          </cell>
          <cell r="J18" t="str">
            <v>95.13</v>
          </cell>
          <cell r="K18">
            <v>91.96</v>
          </cell>
          <cell r="L18">
            <v>3.33</v>
          </cell>
          <cell r="M18" t="str">
            <v>7.97</v>
          </cell>
          <cell r="N18">
            <v>8.11</v>
          </cell>
          <cell r="O18">
            <v>1.75</v>
          </cell>
          <cell r="P18">
            <v>0.49</v>
          </cell>
          <cell r="Q18" t="str">
            <v>38.38</v>
          </cell>
          <cell r="R18">
            <v>37.71</v>
          </cell>
          <cell r="S18">
            <v>1.74</v>
          </cell>
          <cell r="T18">
            <v>2.75</v>
          </cell>
          <cell r="U18" t="str">
            <v>26.41</v>
          </cell>
          <cell r="V18">
            <v>26.22</v>
          </cell>
          <cell r="W18">
            <v>0.71</v>
          </cell>
          <cell r="X18">
            <v>0.03</v>
          </cell>
          <cell r="Y18" t="str">
            <v>56.28 ↑</v>
          </cell>
          <cell r="Z18">
            <v>56.43</v>
          </cell>
          <cell r="AA18">
            <v>0.26</v>
          </cell>
          <cell r="AB18">
            <v>2.46</v>
          </cell>
          <cell r="AC18" t="str">
            <v>3.91</v>
          </cell>
          <cell r="AD18">
            <v>3.65</v>
          </cell>
          <cell r="AE18">
            <v>6.64</v>
          </cell>
          <cell r="AF18">
            <v>4.1900000000000004</v>
          </cell>
          <cell r="AG18" t="str">
            <v>3.3 ↓</v>
          </cell>
          <cell r="AH18">
            <v>3.25</v>
          </cell>
          <cell r="AI18">
            <v>1.51</v>
          </cell>
          <cell r="AJ18">
            <v>4.41</v>
          </cell>
          <cell r="AK18" t="str">
            <v>149.4</v>
          </cell>
          <cell r="AL18">
            <v>147.57</v>
          </cell>
          <cell r="AM18">
            <v>1.22</v>
          </cell>
          <cell r="AN18">
            <v>3.06</v>
          </cell>
        </row>
        <row r="19">
          <cell r="C19" t="str">
            <v>45525A</v>
          </cell>
          <cell r="D19" t="str">
            <v>14.9</v>
          </cell>
          <cell r="E19">
            <v>21.47</v>
          </cell>
          <cell r="F19">
            <v>44.09</v>
          </cell>
          <cell r="G19" t="str">
            <v>0.0</v>
          </cell>
          <cell r="H19">
            <v>0</v>
          </cell>
          <cell r="J19" t="str">
            <v>69.21</v>
          </cell>
          <cell r="K19">
            <v>114.27</v>
          </cell>
          <cell r="L19">
            <v>65.099999999999994</v>
          </cell>
          <cell r="M19" t="str">
            <v>7.95</v>
          </cell>
          <cell r="N19">
            <v>7.9</v>
          </cell>
          <cell r="O19">
            <v>0.62</v>
          </cell>
          <cell r="P19">
            <v>3.06</v>
          </cell>
          <cell r="Q19" t="str">
            <v>38.36</v>
          </cell>
          <cell r="R19">
            <v>37.67</v>
          </cell>
          <cell r="S19">
            <v>1.79</v>
          </cell>
          <cell r="T19">
            <v>2.86</v>
          </cell>
          <cell r="U19" t="str">
            <v>26.6</v>
          </cell>
          <cell r="V19">
            <v>25.9</v>
          </cell>
          <cell r="W19">
            <v>2.63</v>
          </cell>
          <cell r="X19">
            <v>1.18</v>
          </cell>
          <cell r="Y19" t="str">
            <v>56.26</v>
          </cell>
          <cell r="Z19">
            <v>55.79</v>
          </cell>
          <cell r="AA19">
            <v>0.83</v>
          </cell>
          <cell r="AB19">
            <v>1.3</v>
          </cell>
          <cell r="AC19" t="str">
            <v>3.73</v>
          </cell>
          <cell r="AD19">
            <v>3.65</v>
          </cell>
          <cell r="AE19">
            <v>2.14</v>
          </cell>
          <cell r="AF19">
            <v>4.1900000000000004</v>
          </cell>
          <cell r="AG19" t="str">
            <v>3.34</v>
          </cell>
          <cell r="AH19">
            <v>3.32</v>
          </cell>
          <cell r="AI19">
            <v>0.59</v>
          </cell>
          <cell r="AJ19">
            <v>2.35</v>
          </cell>
          <cell r="AK19" t="str">
            <v>148.89</v>
          </cell>
          <cell r="AL19">
            <v>142.33000000000001</v>
          </cell>
          <cell r="AM19">
            <v>4.4000000000000004</v>
          </cell>
          <cell r="AN19">
            <v>6.5</v>
          </cell>
        </row>
        <row r="20">
          <cell r="C20" t="str">
            <v>45525B</v>
          </cell>
          <cell r="D20" t="str">
            <v>20.48</v>
          </cell>
          <cell r="E20">
            <v>20.350000000000001</v>
          </cell>
          <cell r="F20">
            <v>0.63</v>
          </cell>
          <cell r="G20" t="str">
            <v>0.0</v>
          </cell>
          <cell r="H20">
            <v>0</v>
          </cell>
          <cell r="J20" t="str">
            <v>87.21</v>
          </cell>
          <cell r="K20">
            <v>63.12</v>
          </cell>
          <cell r="L20">
            <v>27.62</v>
          </cell>
          <cell r="M20" t="str">
            <v>8.15</v>
          </cell>
          <cell r="N20">
            <v>7.96</v>
          </cell>
          <cell r="O20">
            <v>2.33</v>
          </cell>
          <cell r="P20">
            <v>2.33</v>
          </cell>
          <cell r="Q20" t="str">
            <v>39.0</v>
          </cell>
          <cell r="R20">
            <v>38</v>
          </cell>
          <cell r="S20">
            <v>2.56</v>
          </cell>
          <cell r="T20">
            <v>2.0099999999999998</v>
          </cell>
          <cell r="U20" t="str">
            <v>26.56</v>
          </cell>
          <cell r="V20">
            <v>26.9</v>
          </cell>
          <cell r="W20">
            <v>1.28</v>
          </cell>
          <cell r="X20">
            <v>2.63</v>
          </cell>
          <cell r="Y20" t="str">
            <v>55.73</v>
          </cell>
          <cell r="Z20">
            <v>55.09</v>
          </cell>
          <cell r="AA20">
            <v>1.1399999999999999</v>
          </cell>
          <cell r="AB20">
            <v>0.03</v>
          </cell>
          <cell r="AC20" t="str">
            <v>3.73</v>
          </cell>
          <cell r="AD20">
            <v>3.65</v>
          </cell>
          <cell r="AE20">
            <v>2.14</v>
          </cell>
          <cell r="AF20">
            <v>4.1900000000000004</v>
          </cell>
          <cell r="AG20" t="str">
            <v>3.38</v>
          </cell>
          <cell r="AH20">
            <v>3.41</v>
          </cell>
          <cell r="AI20">
            <v>0.88</v>
          </cell>
          <cell r="AJ20">
            <v>0.28999999999999998</v>
          </cell>
          <cell r="AK20" t="str">
            <v>150.03</v>
          </cell>
          <cell r="AL20">
            <v>139</v>
          </cell>
          <cell r="AM20">
            <v>7.35</v>
          </cell>
          <cell r="AN20">
            <v>8.69</v>
          </cell>
        </row>
        <row r="21">
          <cell r="C21" t="str">
            <v>45525C</v>
          </cell>
          <cell r="D21" t="str">
            <v>11.31</v>
          </cell>
          <cell r="E21">
            <v>16.21</v>
          </cell>
          <cell r="F21">
            <v>43.32</v>
          </cell>
          <cell r="G21" t="str">
            <v>0.0</v>
          </cell>
          <cell r="H21">
            <v>0</v>
          </cell>
          <cell r="J21" t="str">
            <v>79.97</v>
          </cell>
          <cell r="K21">
            <v>73.64</v>
          </cell>
          <cell r="L21">
            <v>7.91</v>
          </cell>
          <cell r="M21" t="str">
            <v>8.09</v>
          </cell>
          <cell r="N21">
            <v>8.3000000000000007</v>
          </cell>
          <cell r="O21">
            <v>2.59</v>
          </cell>
          <cell r="P21">
            <v>1.84</v>
          </cell>
          <cell r="Q21" t="str">
            <v>38.8</v>
          </cell>
          <cell r="R21">
            <v>38.5</v>
          </cell>
          <cell r="S21">
            <v>0.77</v>
          </cell>
          <cell r="T21">
            <v>0.72</v>
          </cell>
          <cell r="U21" t="str">
            <v>26.67</v>
          </cell>
          <cell r="V21">
            <v>26.5</v>
          </cell>
          <cell r="W21">
            <v>0.63</v>
          </cell>
          <cell r="X21">
            <v>1.1000000000000001</v>
          </cell>
          <cell r="Y21" t="str">
            <v>55.3</v>
          </cell>
          <cell r="Z21">
            <v>55.08</v>
          </cell>
          <cell r="AA21">
            <v>0.39</v>
          </cell>
          <cell r="AB21">
            <v>0.01</v>
          </cell>
          <cell r="AC21" t="str">
            <v>3.77</v>
          </cell>
          <cell r="AD21">
            <v>3.65</v>
          </cell>
          <cell r="AE21">
            <v>3.18</v>
          </cell>
          <cell r="AF21">
            <v>4.1900000000000004</v>
          </cell>
          <cell r="AG21" t="str">
            <v>3.4</v>
          </cell>
          <cell r="AH21">
            <v>3.43</v>
          </cell>
          <cell r="AI21">
            <v>0.88</v>
          </cell>
          <cell r="AJ21">
            <v>0.88</v>
          </cell>
          <cell r="AK21" t="str">
            <v>147.57</v>
          </cell>
          <cell r="AL21">
            <v>147.5</v>
          </cell>
          <cell r="AM21">
            <v>0.04</v>
          </cell>
          <cell r="AN21">
            <v>3.1</v>
          </cell>
        </row>
        <row r="22">
          <cell r="C22" t="str">
            <v>45526A</v>
          </cell>
          <cell r="D22" t="str">
            <v>11.34</v>
          </cell>
          <cell r="E22">
            <v>21.21</v>
          </cell>
          <cell r="F22">
            <v>87.03</v>
          </cell>
          <cell r="G22" t="str">
            <v>0.0</v>
          </cell>
          <cell r="H22">
            <v>0</v>
          </cell>
          <cell r="J22" t="str">
            <v>91.87</v>
          </cell>
          <cell r="K22">
            <v>79.739999999999995</v>
          </cell>
          <cell r="L22">
            <v>13.2</v>
          </cell>
          <cell r="M22" t="str">
            <v>8.19</v>
          </cell>
          <cell r="N22">
            <v>7.85</v>
          </cell>
          <cell r="O22">
            <v>4.1500000000000004</v>
          </cell>
          <cell r="P22">
            <v>3.68</v>
          </cell>
          <cell r="Q22" t="str">
            <v>38.75</v>
          </cell>
          <cell r="R22">
            <v>39.33</v>
          </cell>
          <cell r="S22">
            <v>1.49</v>
          </cell>
          <cell r="T22">
            <v>1.41</v>
          </cell>
          <cell r="U22" t="str">
            <v>26.46</v>
          </cell>
          <cell r="V22">
            <v>25</v>
          </cell>
          <cell r="W22">
            <v>5.51</v>
          </cell>
          <cell r="X22">
            <v>4.6100000000000003</v>
          </cell>
          <cell r="Y22" t="str">
            <v>55.22</v>
          </cell>
          <cell r="Z22">
            <v>55.08</v>
          </cell>
          <cell r="AA22">
            <v>0.25</v>
          </cell>
          <cell r="AB22">
            <v>0.01</v>
          </cell>
          <cell r="AC22" t="str">
            <v>3.76</v>
          </cell>
          <cell r="AD22">
            <v>3.65</v>
          </cell>
          <cell r="AE22">
            <v>2.92</v>
          </cell>
          <cell r="AF22">
            <v>4.1900000000000004</v>
          </cell>
          <cell r="AG22" t="str">
            <v>3.41</v>
          </cell>
          <cell r="AH22">
            <v>3.37</v>
          </cell>
          <cell r="AI22">
            <v>1.17</v>
          </cell>
          <cell r="AJ22">
            <v>0.88</v>
          </cell>
          <cell r="AK22" t="str">
            <v>149.01</v>
          </cell>
          <cell r="AL22">
            <v>147.33000000000001</v>
          </cell>
          <cell r="AM22">
            <v>1.1200000000000001</v>
          </cell>
          <cell r="AN22">
            <v>3.21</v>
          </cell>
        </row>
        <row r="23">
          <cell r="C23" t="str">
            <v>45526B</v>
          </cell>
          <cell r="D23" t="str">
            <v>14.88</v>
          </cell>
          <cell r="E23">
            <v>19.45</v>
          </cell>
          <cell r="F23">
            <v>30.71</v>
          </cell>
          <cell r="G23" t="str">
            <v>0.0</v>
          </cell>
          <cell r="H23">
            <v>0</v>
          </cell>
          <cell r="J23" t="str">
            <v>69.13</v>
          </cell>
          <cell r="K23">
            <v>67.91</v>
          </cell>
          <cell r="L23">
            <v>1.76</v>
          </cell>
          <cell r="M23" t="str">
            <v>8.04 ↓</v>
          </cell>
          <cell r="N23">
            <v>7.98</v>
          </cell>
          <cell r="O23">
            <v>0.74</v>
          </cell>
          <cell r="P23">
            <v>2.08</v>
          </cell>
          <cell r="Q23" t="str">
            <v>38.9</v>
          </cell>
          <cell r="R23">
            <v>36</v>
          </cell>
          <cell r="S23">
            <v>7.45</v>
          </cell>
          <cell r="T23">
            <v>7.16</v>
          </cell>
          <cell r="U23" t="str">
            <v>26.45</v>
          </cell>
          <cell r="V23">
            <v>27.9</v>
          </cell>
          <cell r="W23">
            <v>5.48</v>
          </cell>
          <cell r="X23">
            <v>6.44</v>
          </cell>
          <cell r="Y23" t="str">
            <v>55.23</v>
          </cell>
          <cell r="Z23">
            <v>55.88</v>
          </cell>
          <cell r="AA23">
            <v>1.17</v>
          </cell>
          <cell r="AB23">
            <v>1.47</v>
          </cell>
          <cell r="AC23" t="str">
            <v>3.8</v>
          </cell>
          <cell r="AD23">
            <v>3.84</v>
          </cell>
          <cell r="AE23">
            <v>1.05</v>
          </cell>
          <cell r="AF23">
            <v>0.78</v>
          </cell>
          <cell r="AG23" t="str">
            <v>3.41</v>
          </cell>
          <cell r="AH23">
            <v>3.42</v>
          </cell>
          <cell r="AI23">
            <v>0.28999999999999998</v>
          </cell>
          <cell r="AJ23">
            <v>0.57999999999999996</v>
          </cell>
          <cell r="AK23" t="str">
            <v>149.36</v>
          </cell>
          <cell r="AL23">
            <v>142</v>
          </cell>
          <cell r="AM23">
            <v>4.92</v>
          </cell>
          <cell r="AN23">
            <v>6.72</v>
          </cell>
        </row>
        <row r="24">
          <cell r="C24" t="str">
            <v>45526C</v>
          </cell>
          <cell r="D24" t="str">
            <v>11.33</v>
          </cell>
          <cell r="E24">
            <v>16.95</v>
          </cell>
          <cell r="F24">
            <v>49.6</v>
          </cell>
          <cell r="G24" t="str">
            <v>0.0</v>
          </cell>
          <cell r="H24">
            <v>0</v>
          </cell>
          <cell r="J24" t="str">
            <v>88.68</v>
          </cell>
          <cell r="K24">
            <v>86.76</v>
          </cell>
          <cell r="L24">
            <v>2.16</v>
          </cell>
          <cell r="M24" t="str">
            <v>8.17</v>
          </cell>
          <cell r="N24">
            <v>8.5500000000000007</v>
          </cell>
          <cell r="O24">
            <v>4.6500000000000004</v>
          </cell>
          <cell r="P24">
            <v>4.9000000000000004</v>
          </cell>
          <cell r="Q24" t="str">
            <v>38.77</v>
          </cell>
          <cell r="R24">
            <v>38.67</v>
          </cell>
          <cell r="S24">
            <v>0.25</v>
          </cell>
          <cell r="T24">
            <v>0.28000000000000003</v>
          </cell>
          <cell r="U24" t="str">
            <v>26.53</v>
          </cell>
          <cell r="V24">
            <v>25.61</v>
          </cell>
          <cell r="W24">
            <v>3.46</v>
          </cell>
          <cell r="X24">
            <v>2.2799999999999998</v>
          </cell>
          <cell r="Y24" t="str">
            <v>55.58</v>
          </cell>
          <cell r="Z24">
            <v>55.24</v>
          </cell>
          <cell r="AA24">
            <v>0.61</v>
          </cell>
          <cell r="AB24">
            <v>0.3</v>
          </cell>
          <cell r="AC24" t="str">
            <v>3.93</v>
          </cell>
          <cell r="AD24">
            <v>3.84</v>
          </cell>
          <cell r="AE24">
            <v>2.29</v>
          </cell>
          <cell r="AF24">
            <v>0.78</v>
          </cell>
          <cell r="AG24" t="str">
            <v>3.41</v>
          </cell>
          <cell r="AH24">
            <v>3.59</v>
          </cell>
          <cell r="AI24">
            <v>5.27</v>
          </cell>
          <cell r="AJ24">
            <v>5.58</v>
          </cell>
          <cell r="AK24" t="str">
            <v>146.42</v>
          </cell>
          <cell r="AL24">
            <v>147.33000000000001</v>
          </cell>
          <cell r="AM24">
            <v>0.62</v>
          </cell>
          <cell r="AN24">
            <v>3.21</v>
          </cell>
        </row>
        <row r="25">
          <cell r="C25" t="str">
            <v>45530A</v>
          </cell>
          <cell r="D25" t="str">
            <v>11.34</v>
          </cell>
          <cell r="E25">
            <v>16.440000000000001</v>
          </cell>
          <cell r="F25">
            <v>44.97</v>
          </cell>
          <cell r="G25" t="str">
            <v>10.5</v>
          </cell>
          <cell r="H25">
            <v>17.75</v>
          </cell>
          <cell r="I25">
            <v>69.040000000000006</v>
          </cell>
          <cell r="J25" t="str">
            <v>84.69</v>
          </cell>
          <cell r="K25">
            <v>73.59</v>
          </cell>
          <cell r="L25">
            <v>13.1</v>
          </cell>
          <cell r="M25" t="str">
            <v>8.41</v>
          </cell>
          <cell r="N25">
            <v>8.41</v>
          </cell>
          <cell r="O25">
            <v>0</v>
          </cell>
          <cell r="P25">
            <v>3.19</v>
          </cell>
          <cell r="Q25" t="str">
            <v>38.65</v>
          </cell>
          <cell r="R25">
            <v>38.4</v>
          </cell>
          <cell r="S25">
            <v>0.64</v>
          </cell>
          <cell r="T25">
            <v>0.97</v>
          </cell>
          <cell r="U25" t="str">
            <v>26.17</v>
          </cell>
          <cell r="V25">
            <v>26.08</v>
          </cell>
          <cell r="W25">
            <v>0.34</v>
          </cell>
          <cell r="X25">
            <v>0.49</v>
          </cell>
          <cell r="Y25" t="str">
            <v>55.34</v>
          </cell>
          <cell r="Z25">
            <v>56.12</v>
          </cell>
          <cell r="AA25">
            <v>1.4</v>
          </cell>
          <cell r="AB25">
            <v>1.9</v>
          </cell>
          <cell r="AC25" t="str">
            <v>3.99</v>
          </cell>
          <cell r="AD25">
            <v>3.75</v>
          </cell>
          <cell r="AE25">
            <v>6.01</v>
          </cell>
          <cell r="AF25">
            <v>1.57</v>
          </cell>
          <cell r="AG25" t="str">
            <v>3.49</v>
          </cell>
          <cell r="AH25">
            <v>3.55</v>
          </cell>
          <cell r="AI25">
            <v>1.71</v>
          </cell>
          <cell r="AJ25">
            <v>4.41</v>
          </cell>
          <cell r="AK25" t="str">
            <v>146.43</v>
          </cell>
          <cell r="AL25">
            <v>134</v>
          </cell>
          <cell r="AM25">
            <v>8.48</v>
          </cell>
          <cell r="AN25">
            <v>11.97</v>
          </cell>
        </row>
        <row r="26">
          <cell r="C26" t="str">
            <v>45530B</v>
          </cell>
          <cell r="D26" t="str">
            <v>11.35</v>
          </cell>
          <cell r="E26">
            <v>11.12</v>
          </cell>
          <cell r="F26">
            <v>2.02</v>
          </cell>
          <cell r="G26" t="str">
            <v>9.42</v>
          </cell>
          <cell r="H26">
            <v>9.81</v>
          </cell>
          <cell r="I26">
            <v>4.1399999999999997</v>
          </cell>
          <cell r="J26" t="str">
            <v>89.14</v>
          </cell>
          <cell r="K26">
            <v>80.28</v>
          </cell>
          <cell r="L26">
            <v>9.93</v>
          </cell>
          <cell r="M26" t="str">
            <v>8.53</v>
          </cell>
          <cell r="N26">
            <v>8.86</v>
          </cell>
          <cell r="O26">
            <v>3.86</v>
          </cell>
          <cell r="P26">
            <v>8.7100000000000009</v>
          </cell>
          <cell r="Q26" t="str">
            <v>38.91</v>
          </cell>
          <cell r="R26">
            <v>41</v>
          </cell>
          <cell r="S26">
            <v>5.37</v>
          </cell>
          <cell r="T26">
            <v>5.72</v>
          </cell>
          <cell r="U26" t="str">
            <v>26.51</v>
          </cell>
          <cell r="V26">
            <v>27.15</v>
          </cell>
          <cell r="W26">
            <v>2.41</v>
          </cell>
          <cell r="X26">
            <v>3.58</v>
          </cell>
          <cell r="Y26" t="str">
            <v>56.19</v>
          </cell>
          <cell r="Z26">
            <v>56.47</v>
          </cell>
          <cell r="AA26">
            <v>0.49</v>
          </cell>
          <cell r="AB26">
            <v>2.54</v>
          </cell>
          <cell r="AC26" t="str">
            <v>3.93</v>
          </cell>
          <cell r="AD26">
            <v>4.29</v>
          </cell>
          <cell r="AE26">
            <v>9.16</v>
          </cell>
          <cell r="AF26">
            <v>12.59</v>
          </cell>
          <cell r="AG26" t="str">
            <v>3.52 ↑</v>
          </cell>
          <cell r="AH26">
            <v>3.68</v>
          </cell>
          <cell r="AI26">
            <v>4.54</v>
          </cell>
          <cell r="AJ26">
            <v>8.23</v>
          </cell>
          <cell r="AK26" t="str">
            <v>142.73</v>
          </cell>
          <cell r="AL26">
            <v>145.5</v>
          </cell>
          <cell r="AM26">
            <v>1.94</v>
          </cell>
          <cell r="AN26">
            <v>4.42</v>
          </cell>
        </row>
        <row r="27">
          <cell r="C27" t="str">
            <v>45530C</v>
          </cell>
          <cell r="D27" t="str">
            <v>11.42</v>
          </cell>
          <cell r="E27">
            <v>9.32</v>
          </cell>
          <cell r="F27">
            <v>18.38</v>
          </cell>
          <cell r="G27" t="str">
            <v>18.02</v>
          </cell>
          <cell r="H27">
            <v>11.4</v>
          </cell>
          <cell r="I27">
            <v>36.729999999999997</v>
          </cell>
          <cell r="J27" t="str">
            <v>111.48</v>
          </cell>
          <cell r="K27">
            <v>87.47</v>
          </cell>
          <cell r="L27">
            <v>21.53</v>
          </cell>
          <cell r="M27" t="str">
            <v>8.76 ↑</v>
          </cell>
          <cell r="N27">
            <v>8.5</v>
          </cell>
          <cell r="O27">
            <v>2.96</v>
          </cell>
          <cell r="P27">
            <v>4.29</v>
          </cell>
          <cell r="Q27" t="str">
            <v>38.34</v>
          </cell>
          <cell r="R27">
            <v>38.33</v>
          </cell>
          <cell r="S27">
            <v>0.02</v>
          </cell>
          <cell r="T27">
            <v>1.1599999999999999</v>
          </cell>
          <cell r="U27" t="str">
            <v>26.31</v>
          </cell>
          <cell r="V27">
            <v>25.75</v>
          </cell>
          <cell r="W27">
            <v>2.12</v>
          </cell>
          <cell r="X27">
            <v>1.75</v>
          </cell>
          <cell r="Y27" t="str">
            <v>56.42</v>
          </cell>
          <cell r="Z27">
            <v>56.46</v>
          </cell>
          <cell r="AA27">
            <v>7.0000000000000007E-2</v>
          </cell>
          <cell r="AB27">
            <v>2.52</v>
          </cell>
          <cell r="AC27" t="str">
            <v>4.27</v>
          </cell>
          <cell r="AD27">
            <v>4.29</v>
          </cell>
          <cell r="AE27">
            <v>0.46</v>
          </cell>
          <cell r="AF27">
            <v>12.59</v>
          </cell>
          <cell r="AG27" t="str">
            <v>3.51</v>
          </cell>
          <cell r="AH27">
            <v>3.58</v>
          </cell>
          <cell r="AI27">
            <v>1.99</v>
          </cell>
          <cell r="AJ27">
            <v>5.29</v>
          </cell>
          <cell r="AK27" t="str">
            <v>142.81</v>
          </cell>
          <cell r="AL27">
            <v>144.83000000000001</v>
          </cell>
          <cell r="AM27">
            <v>1.41</v>
          </cell>
          <cell r="AN27">
            <v>4.8600000000000003</v>
          </cell>
        </row>
        <row r="28">
          <cell r="C28" t="str">
            <v>45531A</v>
          </cell>
          <cell r="D28" t="str">
            <v>11.37</v>
          </cell>
          <cell r="E28">
            <v>15.69</v>
          </cell>
          <cell r="F28">
            <v>37.99</v>
          </cell>
          <cell r="G28" t="str">
            <v>17.94</v>
          </cell>
          <cell r="H28">
            <v>17.27</v>
          </cell>
          <cell r="I28">
            <v>3.73</v>
          </cell>
          <cell r="J28" t="str">
            <v>88.3</v>
          </cell>
          <cell r="K28">
            <v>107.54</v>
          </cell>
          <cell r="L28">
            <v>21.78</v>
          </cell>
          <cell r="M28" t="str">
            <v>8.36</v>
          </cell>
          <cell r="N28">
            <v>8.4</v>
          </cell>
          <cell r="O28">
            <v>0.47</v>
          </cell>
          <cell r="P28">
            <v>3.06</v>
          </cell>
          <cell r="Q28" t="str">
            <v>38.46</v>
          </cell>
          <cell r="R28">
            <v>36</v>
          </cell>
          <cell r="S28">
            <v>6.39</v>
          </cell>
          <cell r="T28">
            <v>7.16</v>
          </cell>
          <cell r="U28" t="str">
            <v>26.08</v>
          </cell>
          <cell r="V28">
            <v>25.46</v>
          </cell>
          <cell r="W28">
            <v>2.37</v>
          </cell>
          <cell r="X28">
            <v>2.86</v>
          </cell>
          <cell r="Y28" t="str">
            <v>56.42</v>
          </cell>
          <cell r="Z28">
            <v>57.09</v>
          </cell>
          <cell r="AA28">
            <v>1.18</v>
          </cell>
          <cell r="AB28">
            <v>3.66</v>
          </cell>
          <cell r="AC28" t="str">
            <v>4.26</v>
          </cell>
          <cell r="AD28">
            <v>4.29</v>
          </cell>
          <cell r="AE28">
            <v>0.7</v>
          </cell>
          <cell r="AF28">
            <v>12.59</v>
          </cell>
          <cell r="AG28" t="str">
            <v>3.47</v>
          </cell>
          <cell r="AH28">
            <v>3.2</v>
          </cell>
          <cell r="AI28">
            <v>7.78</v>
          </cell>
          <cell r="AJ28">
            <v>5.88</v>
          </cell>
          <cell r="AK28" t="str">
            <v>144.44</v>
          </cell>
          <cell r="AL28">
            <v>121</v>
          </cell>
          <cell r="AM28">
            <v>16.22</v>
          </cell>
          <cell r="AN28">
            <v>20.51</v>
          </cell>
        </row>
        <row r="29">
          <cell r="C29" t="str">
            <v>45531B</v>
          </cell>
          <cell r="D29" t="str">
            <v>11.32</v>
          </cell>
          <cell r="E29">
            <v>14.72</v>
          </cell>
          <cell r="F29">
            <v>30.03</v>
          </cell>
          <cell r="G29" t="str">
            <v>7.33</v>
          </cell>
          <cell r="H29">
            <v>17.649999999999999</v>
          </cell>
          <cell r="I29">
            <v>140.79</v>
          </cell>
          <cell r="J29" t="str">
            <v>75.14</v>
          </cell>
          <cell r="K29">
            <v>75.78</v>
          </cell>
          <cell r="L29">
            <v>0.85</v>
          </cell>
          <cell r="M29" t="str">
            <v>8.19</v>
          </cell>
          <cell r="N29">
            <v>8.4499999999999993</v>
          </cell>
          <cell r="O29">
            <v>3.17</v>
          </cell>
          <cell r="P29">
            <v>3.68</v>
          </cell>
          <cell r="Q29" t="str">
            <v>38.59</v>
          </cell>
          <cell r="R29">
            <v>37.799999999999997</v>
          </cell>
          <cell r="S29">
            <v>2.04</v>
          </cell>
          <cell r="T29">
            <v>2.52</v>
          </cell>
          <cell r="U29" t="str">
            <v>26.47</v>
          </cell>
          <cell r="V29">
            <v>27.46</v>
          </cell>
          <cell r="W29">
            <v>3.74</v>
          </cell>
          <cell r="X29">
            <v>4.76</v>
          </cell>
          <cell r="Y29" t="str">
            <v>57.06</v>
          </cell>
          <cell r="Z29">
            <v>57.78</v>
          </cell>
          <cell r="AA29">
            <v>1.26</v>
          </cell>
          <cell r="AB29">
            <v>4.92</v>
          </cell>
          <cell r="AC29" t="str">
            <v>4.26</v>
          </cell>
          <cell r="AD29">
            <v>4.29</v>
          </cell>
          <cell r="AE29">
            <v>0.7</v>
          </cell>
          <cell r="AF29">
            <v>12.59</v>
          </cell>
          <cell r="AG29" t="str">
            <v>3.45</v>
          </cell>
          <cell r="AH29">
            <v>3.38</v>
          </cell>
          <cell r="AI29">
            <v>2.02</v>
          </cell>
          <cell r="AJ29">
            <v>0.57999999999999996</v>
          </cell>
          <cell r="AK29" t="str">
            <v>142.23</v>
          </cell>
          <cell r="AL29">
            <v>144</v>
          </cell>
          <cell r="AM29">
            <v>1.24</v>
          </cell>
          <cell r="AN29">
            <v>5.4</v>
          </cell>
        </row>
        <row r="30">
          <cell r="C30" t="str">
            <v>45531C</v>
          </cell>
          <cell r="D30" t="str">
            <v>12.15</v>
          </cell>
          <cell r="E30">
            <v>13.62</v>
          </cell>
          <cell r="F30">
            <v>12.09</v>
          </cell>
          <cell r="G30" t="str">
            <v>0.0</v>
          </cell>
          <cell r="H30">
            <v>12.74</v>
          </cell>
          <cell r="J30" t="str">
            <v>97.34</v>
          </cell>
          <cell r="K30">
            <v>98.94</v>
          </cell>
          <cell r="L30">
            <v>1.64</v>
          </cell>
          <cell r="M30" t="str">
            <v>8.15</v>
          </cell>
          <cell r="N30">
            <v>8.32</v>
          </cell>
          <cell r="O30">
            <v>2.08</v>
          </cell>
          <cell r="P30">
            <v>2.08</v>
          </cell>
          <cell r="Q30" t="str">
            <v>38.56</v>
          </cell>
          <cell r="R30">
            <v>38.43</v>
          </cell>
          <cell r="S30">
            <v>0.33</v>
          </cell>
          <cell r="T30">
            <v>0.9</v>
          </cell>
          <cell r="U30" t="str">
            <v>26.32</v>
          </cell>
          <cell r="V30">
            <v>26.34</v>
          </cell>
          <cell r="W30">
            <v>7.0000000000000007E-2</v>
          </cell>
          <cell r="X30">
            <v>0.49</v>
          </cell>
          <cell r="Y30" t="str">
            <v>57.47</v>
          </cell>
          <cell r="Z30">
            <v>57.78</v>
          </cell>
          <cell r="AA30">
            <v>0.53</v>
          </cell>
          <cell r="AB30">
            <v>4.92</v>
          </cell>
          <cell r="AC30" t="str">
            <v>4.16</v>
          </cell>
          <cell r="AD30">
            <v>4.29</v>
          </cell>
          <cell r="AE30">
            <v>3.12</v>
          </cell>
          <cell r="AF30">
            <v>12.59</v>
          </cell>
          <cell r="AG30" t="str">
            <v>3.37</v>
          </cell>
          <cell r="AH30">
            <v>3.41</v>
          </cell>
          <cell r="AI30">
            <v>1.18</v>
          </cell>
          <cell r="AJ30">
            <v>0.28999999999999998</v>
          </cell>
          <cell r="AK30" t="str">
            <v>146.27</v>
          </cell>
          <cell r="AL30">
            <v>144.71</v>
          </cell>
          <cell r="AM30">
            <v>1.06</v>
          </cell>
          <cell r="AN30">
            <v>4.93</v>
          </cell>
        </row>
        <row r="31">
          <cell r="C31" t="str">
            <v>45532A</v>
          </cell>
          <cell r="D31" t="str">
            <v>11.88</v>
          </cell>
          <cell r="E31">
            <v>19.82</v>
          </cell>
          <cell r="F31">
            <v>66.83</v>
          </cell>
          <cell r="G31" t="str">
            <v>0.0</v>
          </cell>
          <cell r="H31">
            <v>17.04</v>
          </cell>
          <cell r="J31" t="str">
            <v>77.12</v>
          </cell>
          <cell r="K31">
            <v>86.19</v>
          </cell>
          <cell r="L31">
            <v>11.76</v>
          </cell>
          <cell r="M31" t="str">
            <v>8.14</v>
          </cell>
          <cell r="N31">
            <v>8.33</v>
          </cell>
          <cell r="O31">
            <v>2.33</v>
          </cell>
          <cell r="P31">
            <v>2.2000000000000002</v>
          </cell>
          <cell r="Q31" t="str">
            <v>38.45</v>
          </cell>
          <cell r="R31">
            <v>38</v>
          </cell>
          <cell r="S31">
            <v>1.17</v>
          </cell>
          <cell r="T31">
            <v>2.0099999999999998</v>
          </cell>
          <cell r="U31" t="str">
            <v>26.25</v>
          </cell>
          <cell r="V31">
            <v>25.6</v>
          </cell>
          <cell r="W31">
            <v>2.4700000000000002</v>
          </cell>
          <cell r="X31">
            <v>2.3199999999999998</v>
          </cell>
          <cell r="Y31" t="str">
            <v>57.48</v>
          </cell>
          <cell r="Z31">
            <v>56.04</v>
          </cell>
          <cell r="AA31">
            <v>2.5</v>
          </cell>
          <cell r="AB31">
            <v>1.76</v>
          </cell>
          <cell r="AC31" t="str">
            <v>4.24</v>
          </cell>
          <cell r="AD31">
            <v>4.0199999999999996</v>
          </cell>
          <cell r="AE31">
            <v>5.18</v>
          </cell>
          <cell r="AF31">
            <v>5.51</v>
          </cell>
          <cell r="AG31" t="str">
            <v>3.41</v>
          </cell>
          <cell r="AH31">
            <v>3.41</v>
          </cell>
          <cell r="AI31">
            <v>0</v>
          </cell>
          <cell r="AJ31">
            <v>0.28999999999999998</v>
          </cell>
          <cell r="AK31" t="str">
            <v>145.56</v>
          </cell>
          <cell r="AL31">
            <v>139.33000000000001</v>
          </cell>
          <cell r="AM31">
            <v>4.28</v>
          </cell>
          <cell r="AN31">
            <v>8.4700000000000006</v>
          </cell>
        </row>
        <row r="32">
          <cell r="C32" t="str">
            <v>45532B</v>
          </cell>
          <cell r="D32" t="str">
            <v>11.31</v>
          </cell>
          <cell r="E32">
            <v>20.47</v>
          </cell>
          <cell r="F32">
            <v>80.989999999999995</v>
          </cell>
          <cell r="G32" t="str">
            <v>0.0</v>
          </cell>
          <cell r="H32">
            <v>16.440000000000001</v>
          </cell>
          <cell r="J32" t="str">
            <v>79.4</v>
          </cell>
          <cell r="K32">
            <v>92.98</v>
          </cell>
          <cell r="L32">
            <v>17.100000000000001</v>
          </cell>
          <cell r="M32" t="str">
            <v>8.17</v>
          </cell>
          <cell r="N32">
            <v>8.36</v>
          </cell>
          <cell r="O32">
            <v>2.3199999999999998</v>
          </cell>
          <cell r="P32">
            <v>2.57</v>
          </cell>
          <cell r="Q32" t="str">
            <v>38.71</v>
          </cell>
          <cell r="R32">
            <v>39</v>
          </cell>
          <cell r="S32">
            <v>0.74</v>
          </cell>
          <cell r="T32">
            <v>0.56000000000000005</v>
          </cell>
          <cell r="U32" t="str">
            <v>26.57</v>
          </cell>
          <cell r="V32">
            <v>26.6</v>
          </cell>
          <cell r="W32">
            <v>0.11</v>
          </cell>
          <cell r="X32">
            <v>1.48</v>
          </cell>
          <cell r="Y32" t="str">
            <v>56.13</v>
          </cell>
          <cell r="Z32">
            <v>56.03</v>
          </cell>
          <cell r="AA32">
            <v>0.17</v>
          </cell>
          <cell r="AB32">
            <v>1.74</v>
          </cell>
          <cell r="AC32" t="str">
            <v>4.07</v>
          </cell>
          <cell r="AD32">
            <v>4.0199999999999996</v>
          </cell>
          <cell r="AE32">
            <v>1.22</v>
          </cell>
          <cell r="AF32">
            <v>5.51</v>
          </cell>
          <cell r="AG32" t="str">
            <v>3.43</v>
          </cell>
          <cell r="AH32">
            <v>3.52</v>
          </cell>
          <cell r="AI32">
            <v>2.62</v>
          </cell>
          <cell r="AJ32">
            <v>3.52</v>
          </cell>
          <cell r="AK32" t="str">
            <v>144.06</v>
          </cell>
          <cell r="AL32">
            <v>145</v>
          </cell>
          <cell r="AM32">
            <v>0.65</v>
          </cell>
          <cell r="AN32">
            <v>4.74</v>
          </cell>
        </row>
        <row r="33">
          <cell r="C33" t="str">
            <v>45532C</v>
          </cell>
          <cell r="D33" t="str">
            <v>11.41</v>
          </cell>
          <cell r="E33">
            <v>14.23</v>
          </cell>
          <cell r="F33">
            <v>24.71</v>
          </cell>
          <cell r="G33" t="str">
            <v>16.18</v>
          </cell>
          <cell r="H33">
            <v>17.190000000000001</v>
          </cell>
          <cell r="I33">
            <v>6.24</v>
          </cell>
          <cell r="J33" t="str">
            <v>111.44</v>
          </cell>
          <cell r="K33">
            <v>63.25</v>
          </cell>
          <cell r="L33">
            <v>43.24</v>
          </cell>
          <cell r="M33" t="str">
            <v>8.29</v>
          </cell>
          <cell r="N33">
            <v>9</v>
          </cell>
          <cell r="O33">
            <v>8.56</v>
          </cell>
          <cell r="P33">
            <v>10.42</v>
          </cell>
          <cell r="Q33" t="str">
            <v>38.64</v>
          </cell>
          <cell r="R33">
            <v>39</v>
          </cell>
          <cell r="S33">
            <v>0.93</v>
          </cell>
          <cell r="T33">
            <v>0.56000000000000005</v>
          </cell>
          <cell r="U33" t="str">
            <v>26.34</v>
          </cell>
          <cell r="V33">
            <v>25.85</v>
          </cell>
          <cell r="W33">
            <v>1.86</v>
          </cell>
          <cell r="X33">
            <v>1.37</v>
          </cell>
          <cell r="Y33" t="str">
            <v>56.36</v>
          </cell>
          <cell r="Z33">
            <v>56.84</v>
          </cell>
          <cell r="AA33">
            <v>0.85</v>
          </cell>
          <cell r="AB33">
            <v>3.21</v>
          </cell>
          <cell r="AC33" t="str">
            <v>3.95</v>
          </cell>
          <cell r="AD33">
            <v>4.0199999999999996</v>
          </cell>
          <cell r="AE33">
            <v>1.77</v>
          </cell>
          <cell r="AF33">
            <v>5.51</v>
          </cell>
          <cell r="AG33" t="str">
            <v>3.4</v>
          </cell>
          <cell r="AH33">
            <v>3.78</v>
          </cell>
          <cell r="AI33">
            <v>11.17</v>
          </cell>
          <cell r="AJ33">
            <v>11.17</v>
          </cell>
          <cell r="AK33" t="str">
            <v>149.4</v>
          </cell>
          <cell r="AL33">
            <v>152</v>
          </cell>
          <cell r="AM33">
            <v>1.74</v>
          </cell>
          <cell r="AN33">
            <v>0.15</v>
          </cell>
        </row>
        <row r="34">
          <cell r="C34" t="str">
            <v>45533A</v>
          </cell>
          <cell r="D34" t="str">
            <v>11.41</v>
          </cell>
          <cell r="E34">
            <v>10.57</v>
          </cell>
          <cell r="F34">
            <v>7.36</v>
          </cell>
          <cell r="G34" t="str">
            <v>18.0</v>
          </cell>
          <cell r="H34">
            <v>16.899999999999999</v>
          </cell>
          <cell r="I34">
            <v>6.11</v>
          </cell>
          <cell r="J34" t="str">
            <v>107.26</v>
          </cell>
          <cell r="K34">
            <v>73.11</v>
          </cell>
          <cell r="L34">
            <v>31.83</v>
          </cell>
          <cell r="M34" t="str">
            <v>8.84</v>
          </cell>
          <cell r="N34">
            <v>8.65</v>
          </cell>
          <cell r="O34">
            <v>2.14</v>
          </cell>
          <cell r="P34">
            <v>6.13</v>
          </cell>
          <cell r="Q34" t="str">
            <v>38.81</v>
          </cell>
          <cell r="R34">
            <v>38</v>
          </cell>
          <cell r="S34">
            <v>2.08</v>
          </cell>
          <cell r="T34">
            <v>2.0099999999999998</v>
          </cell>
          <cell r="U34" t="str">
            <v>25.83</v>
          </cell>
          <cell r="V34">
            <v>25.4</v>
          </cell>
          <cell r="W34">
            <v>1.66</v>
          </cell>
          <cell r="X34">
            <v>3.09</v>
          </cell>
          <cell r="Y34" t="str">
            <v>56.6</v>
          </cell>
          <cell r="Z34">
            <v>53.2</v>
          </cell>
          <cell r="AA34">
            <v>6</v>
          </cell>
          <cell r="AB34">
            <v>3.39</v>
          </cell>
          <cell r="AC34" t="str">
            <v>4.18</v>
          </cell>
          <cell r="AD34">
            <v>4.0199999999999996</v>
          </cell>
          <cell r="AE34">
            <v>3.82</v>
          </cell>
          <cell r="AF34">
            <v>5.51</v>
          </cell>
          <cell r="AG34" t="str">
            <v>3.57</v>
          </cell>
          <cell r="AH34">
            <v>3.36</v>
          </cell>
          <cell r="AI34">
            <v>5.88</v>
          </cell>
          <cell r="AJ34">
            <v>1.17</v>
          </cell>
          <cell r="AK34" t="str">
            <v>144.32</v>
          </cell>
          <cell r="AL34">
            <v>148</v>
          </cell>
          <cell r="AM34">
            <v>2.54</v>
          </cell>
          <cell r="AN34">
            <v>2.77</v>
          </cell>
        </row>
        <row r="35">
          <cell r="C35" t="str">
            <v>45533B</v>
          </cell>
          <cell r="D35" t="str">
            <v>11.39</v>
          </cell>
          <cell r="E35">
            <v>11.84</v>
          </cell>
          <cell r="F35">
            <v>3.95</v>
          </cell>
          <cell r="G35" t="str">
            <v>6.68</v>
          </cell>
          <cell r="H35">
            <v>17.89</v>
          </cell>
          <cell r="I35">
            <v>167.81</v>
          </cell>
          <cell r="J35" t="str">
            <v>111.23</v>
          </cell>
          <cell r="K35">
            <v>104.85</v>
          </cell>
          <cell r="L35">
            <v>5.73</v>
          </cell>
          <cell r="M35" t="str">
            <v>8.5</v>
          </cell>
          <cell r="N35">
            <v>8.2799999999999994</v>
          </cell>
          <cell r="O35">
            <v>2.58</v>
          </cell>
          <cell r="P35">
            <v>1.59</v>
          </cell>
          <cell r="Q35" t="str">
            <v>38.56</v>
          </cell>
          <cell r="R35">
            <v>36</v>
          </cell>
          <cell r="S35">
            <v>6.63</v>
          </cell>
          <cell r="T35">
            <v>7.16</v>
          </cell>
          <cell r="U35" t="str">
            <v>26.47</v>
          </cell>
          <cell r="V35">
            <v>26.87</v>
          </cell>
          <cell r="W35">
            <v>1.51</v>
          </cell>
          <cell r="X35">
            <v>2.5099999999999998</v>
          </cell>
          <cell r="Y35" t="str">
            <v>53.85</v>
          </cell>
          <cell r="Z35">
            <v>54.98</v>
          </cell>
          <cell r="AA35">
            <v>2.09</v>
          </cell>
          <cell r="AB35">
            <v>0.16</v>
          </cell>
          <cell r="AC35" t="str">
            <v>4.03</v>
          </cell>
          <cell r="AD35">
            <v>4.0199999999999996</v>
          </cell>
          <cell r="AE35">
            <v>0.24</v>
          </cell>
          <cell r="AF35">
            <v>5.51</v>
          </cell>
          <cell r="AG35" t="str">
            <v>3.49</v>
          </cell>
          <cell r="AH35">
            <v>3.23</v>
          </cell>
          <cell r="AI35">
            <v>7.44</v>
          </cell>
          <cell r="AJ35">
            <v>4.99</v>
          </cell>
          <cell r="AK35" t="str">
            <v>145.01</v>
          </cell>
          <cell r="AL35">
            <v>142.66999999999999</v>
          </cell>
          <cell r="AM35">
            <v>1.61</v>
          </cell>
          <cell r="AN35">
            <v>6.27</v>
          </cell>
        </row>
        <row r="36">
          <cell r="C36" t="str">
            <v>45533C</v>
          </cell>
          <cell r="D36" t="str">
            <v>11.35</v>
          </cell>
          <cell r="E36">
            <v>14.83</v>
          </cell>
          <cell r="F36">
            <v>30.66</v>
          </cell>
          <cell r="G36" t="str">
            <v>0.0</v>
          </cell>
          <cell r="H36">
            <v>9.58</v>
          </cell>
          <cell r="J36" t="str">
            <v>98.98</v>
          </cell>
          <cell r="K36">
            <v>98.92</v>
          </cell>
          <cell r="L36">
            <v>0.06</v>
          </cell>
          <cell r="M36" t="str">
            <v>7.96</v>
          </cell>
          <cell r="N36">
            <v>8.1</v>
          </cell>
          <cell r="O36">
            <v>1.75</v>
          </cell>
          <cell r="P36">
            <v>0.61</v>
          </cell>
          <cell r="Q36" t="str">
            <v>38.38</v>
          </cell>
          <cell r="R36">
            <v>37.71</v>
          </cell>
          <cell r="S36">
            <v>1.74</v>
          </cell>
          <cell r="T36">
            <v>2.75</v>
          </cell>
          <cell r="U36" t="str">
            <v>26.54</v>
          </cell>
          <cell r="V36">
            <v>26.17</v>
          </cell>
          <cell r="W36">
            <v>1.39</v>
          </cell>
          <cell r="X36">
            <v>0.15</v>
          </cell>
          <cell r="Y36" t="str">
            <v>55.27</v>
          </cell>
          <cell r="Z36">
            <v>56.77</v>
          </cell>
          <cell r="AA36">
            <v>2.71</v>
          </cell>
          <cell r="AB36">
            <v>3.08</v>
          </cell>
          <cell r="AC36" t="str">
            <v>3.93</v>
          </cell>
          <cell r="AD36">
            <v>4.0199999999999996</v>
          </cell>
          <cell r="AE36">
            <v>2.29</v>
          </cell>
          <cell r="AF36">
            <v>5.51</v>
          </cell>
          <cell r="AG36" t="str">
            <v>3.34</v>
          </cell>
          <cell r="AH36">
            <v>3.29</v>
          </cell>
          <cell r="AI36">
            <v>1.49</v>
          </cell>
          <cell r="AJ36">
            <v>3.23</v>
          </cell>
          <cell r="AK36" t="str">
            <v>147.16</v>
          </cell>
          <cell r="AL36">
            <v>142.71</v>
          </cell>
          <cell r="AM36">
            <v>3.02</v>
          </cell>
          <cell r="AN36">
            <v>6.25</v>
          </cell>
        </row>
        <row r="37">
          <cell r="C37" t="str">
            <v>45538A</v>
          </cell>
          <cell r="D37" t="str">
            <v>13.52</v>
          </cell>
          <cell r="E37">
            <v>21.41</v>
          </cell>
          <cell r="F37">
            <v>58.35</v>
          </cell>
          <cell r="G37" t="str">
            <v>0.0</v>
          </cell>
          <cell r="H37">
            <v>16.329999999999998</v>
          </cell>
          <cell r="J37" t="str">
            <v>71.06</v>
          </cell>
          <cell r="K37">
            <v>69.78</v>
          </cell>
          <cell r="L37">
            <v>1.8</v>
          </cell>
          <cell r="M37" t="str">
            <v>7.89 ↓</v>
          </cell>
          <cell r="N37">
            <v>8.09</v>
          </cell>
          <cell r="O37">
            <v>2.5299999999999998</v>
          </cell>
          <cell r="P37">
            <v>0.73</v>
          </cell>
          <cell r="Q37" t="str">
            <v>38.4</v>
          </cell>
          <cell r="R37">
            <v>38.67</v>
          </cell>
          <cell r="S37">
            <v>0.7</v>
          </cell>
          <cell r="T37">
            <v>0.28000000000000003</v>
          </cell>
          <cell r="U37" t="str">
            <v>26.65</v>
          </cell>
          <cell r="V37">
            <v>26.23</v>
          </cell>
          <cell r="W37">
            <v>1.57</v>
          </cell>
          <cell r="X37">
            <v>7.0000000000000007E-2</v>
          </cell>
          <cell r="Y37" t="str">
            <v>56.66</v>
          </cell>
          <cell r="Z37">
            <v>55.8</v>
          </cell>
          <cell r="AA37">
            <v>1.51</v>
          </cell>
          <cell r="AB37">
            <v>1.32</v>
          </cell>
          <cell r="AC37" t="str">
            <v>3.97</v>
          </cell>
          <cell r="AD37">
            <v>4.0199999999999996</v>
          </cell>
          <cell r="AE37">
            <v>1.25</v>
          </cell>
          <cell r="AF37">
            <v>5.51</v>
          </cell>
          <cell r="AG37" t="str">
            <v>3.33</v>
          </cell>
          <cell r="AH37">
            <v>3.41</v>
          </cell>
          <cell r="AI37">
            <v>2.4</v>
          </cell>
          <cell r="AJ37">
            <v>0.28999999999999998</v>
          </cell>
          <cell r="AK37" t="str">
            <v>146.36</v>
          </cell>
          <cell r="AL37">
            <v>143.5</v>
          </cell>
          <cell r="AM37">
            <v>1.95</v>
          </cell>
          <cell r="AN37">
            <v>5.73</v>
          </cell>
        </row>
        <row r="38">
          <cell r="C38" t="str">
            <v>45538B</v>
          </cell>
          <cell r="D38" t="str">
            <v>11.37</v>
          </cell>
          <cell r="E38">
            <v>18.22</v>
          </cell>
          <cell r="F38">
            <v>60.24</v>
          </cell>
          <cell r="G38" t="str">
            <v>17.91</v>
          </cell>
          <cell r="H38">
            <v>17.91</v>
          </cell>
          <cell r="I38">
            <v>0</v>
          </cell>
          <cell r="J38" t="str">
            <v>87.42</v>
          </cell>
          <cell r="K38">
            <v>73.239999999999995</v>
          </cell>
          <cell r="L38">
            <v>16.22</v>
          </cell>
          <cell r="M38" t="str">
            <v>8.15</v>
          </cell>
          <cell r="N38">
            <v>8.3000000000000007</v>
          </cell>
          <cell r="O38">
            <v>1.84</v>
          </cell>
          <cell r="P38">
            <v>1.84</v>
          </cell>
          <cell r="Q38" t="str">
            <v>38.68</v>
          </cell>
          <cell r="R38">
            <v>38.4</v>
          </cell>
          <cell r="S38">
            <v>0.72</v>
          </cell>
          <cell r="T38">
            <v>0.97</v>
          </cell>
          <cell r="U38" t="str">
            <v>26.28</v>
          </cell>
          <cell r="V38">
            <v>28.1</v>
          </cell>
          <cell r="W38">
            <v>6.92</v>
          </cell>
          <cell r="X38">
            <v>7.21</v>
          </cell>
          <cell r="Y38" t="str">
            <v>55.9</v>
          </cell>
          <cell r="Z38">
            <v>56</v>
          </cell>
          <cell r="AA38">
            <v>0.17</v>
          </cell>
          <cell r="AB38">
            <v>1.68</v>
          </cell>
          <cell r="AC38" t="str">
            <v>3.99</v>
          </cell>
          <cell r="AD38">
            <v>3.97</v>
          </cell>
          <cell r="AE38">
            <v>0.5</v>
          </cell>
          <cell r="AF38">
            <v>4.1900000000000004</v>
          </cell>
          <cell r="AG38" t="str">
            <v>3.43</v>
          </cell>
          <cell r="AH38">
            <v>3.44</v>
          </cell>
          <cell r="AI38">
            <v>0.28999999999999998</v>
          </cell>
          <cell r="AJ38">
            <v>1.17</v>
          </cell>
          <cell r="AK38" t="str">
            <v>148.79</v>
          </cell>
          <cell r="AL38">
            <v>144.4</v>
          </cell>
          <cell r="AM38">
            <v>2.95</v>
          </cell>
          <cell r="AN38">
            <v>5.14</v>
          </cell>
        </row>
        <row r="39">
          <cell r="C39" t="str">
            <v>45538C</v>
          </cell>
          <cell r="D39" t="str">
            <v>11.36</v>
          </cell>
          <cell r="E39">
            <v>16.36</v>
          </cell>
          <cell r="F39">
            <v>44.01</v>
          </cell>
          <cell r="G39" t="str">
            <v>0.0</v>
          </cell>
          <cell r="H39">
            <v>6.99</v>
          </cell>
          <cell r="J39" t="str">
            <v>102.52</v>
          </cell>
          <cell r="K39">
            <v>87.2</v>
          </cell>
          <cell r="L39">
            <v>14.94</v>
          </cell>
          <cell r="M39" t="str">
            <v>8.19</v>
          </cell>
          <cell r="N39">
            <v>8.4700000000000006</v>
          </cell>
          <cell r="O39">
            <v>3.41</v>
          </cell>
          <cell r="P39">
            <v>3.92</v>
          </cell>
          <cell r="Q39" t="str">
            <v>38.41</v>
          </cell>
          <cell r="R39">
            <v>37.25</v>
          </cell>
          <cell r="S39">
            <v>3.02</v>
          </cell>
          <cell r="T39">
            <v>3.94</v>
          </cell>
          <cell r="U39" t="str">
            <v>26.5</v>
          </cell>
          <cell r="V39">
            <v>26.52</v>
          </cell>
          <cell r="W39">
            <v>7.0000000000000007E-2</v>
          </cell>
          <cell r="X39">
            <v>1.18</v>
          </cell>
          <cell r="Y39" t="str">
            <v>56.01</v>
          </cell>
          <cell r="Z39">
            <v>55.99</v>
          </cell>
          <cell r="AA39">
            <v>0.03</v>
          </cell>
          <cell r="AB39">
            <v>1.67</v>
          </cell>
          <cell r="AC39" t="str">
            <v>3.89 ↓</v>
          </cell>
          <cell r="AD39">
            <v>3.91</v>
          </cell>
          <cell r="AE39">
            <v>0.51</v>
          </cell>
          <cell r="AF39">
            <v>2.62</v>
          </cell>
          <cell r="AG39" t="str">
            <v>3.37</v>
          </cell>
          <cell r="AH39">
            <v>3.5</v>
          </cell>
          <cell r="AI39">
            <v>3.85</v>
          </cell>
          <cell r="AJ39">
            <v>2.94</v>
          </cell>
          <cell r="AK39" t="str">
            <v>145.57</v>
          </cell>
          <cell r="AL39">
            <v>141.75</v>
          </cell>
          <cell r="AM39">
            <v>2.62</v>
          </cell>
          <cell r="AN39">
            <v>6.88</v>
          </cell>
        </row>
        <row r="40">
          <cell r="C40" t="str">
            <v>45539A</v>
          </cell>
          <cell r="D40" t="str">
            <v>11.32</v>
          </cell>
          <cell r="E40">
            <v>19.89</v>
          </cell>
          <cell r="F40">
            <v>75.7</v>
          </cell>
          <cell r="G40" t="str">
            <v>0.0</v>
          </cell>
          <cell r="H40">
            <v>18.010000000000002</v>
          </cell>
          <cell r="J40" t="str">
            <v>85.0</v>
          </cell>
          <cell r="K40">
            <v>66.72</v>
          </cell>
          <cell r="L40">
            <v>21.5</v>
          </cell>
          <cell r="M40" t="str">
            <v>8.2</v>
          </cell>
          <cell r="N40">
            <v>8.32</v>
          </cell>
          <cell r="O40">
            <v>1.46</v>
          </cell>
          <cell r="P40">
            <v>2.08</v>
          </cell>
          <cell r="Q40" t="str">
            <v>38.24</v>
          </cell>
          <cell r="R40">
            <v>38.14</v>
          </cell>
          <cell r="S40">
            <v>0.26</v>
          </cell>
          <cell r="T40">
            <v>1.65</v>
          </cell>
          <cell r="U40" t="str">
            <v>26.66</v>
          </cell>
          <cell r="V40">
            <v>27.31</v>
          </cell>
          <cell r="W40">
            <v>2.4300000000000002</v>
          </cell>
          <cell r="X40">
            <v>4.1900000000000004</v>
          </cell>
          <cell r="Y40" t="str">
            <v>56.0</v>
          </cell>
          <cell r="Z40">
            <v>54.89</v>
          </cell>
          <cell r="AA40">
            <v>1.98</v>
          </cell>
          <cell r="AB40">
            <v>0.32</v>
          </cell>
          <cell r="AC40" t="str">
            <v>3.97 ↓</v>
          </cell>
          <cell r="AD40">
            <v>4.05</v>
          </cell>
          <cell r="AE40">
            <v>2.0099999999999998</v>
          </cell>
          <cell r="AF40">
            <v>6.29</v>
          </cell>
          <cell r="AG40" t="str">
            <v>3.38</v>
          </cell>
          <cell r="AH40">
            <v>3.51</v>
          </cell>
          <cell r="AI40">
            <v>3.84</v>
          </cell>
          <cell r="AJ40">
            <v>3.23</v>
          </cell>
          <cell r="AK40" t="str">
            <v>141.48</v>
          </cell>
          <cell r="AL40">
            <v>147.43</v>
          </cell>
          <cell r="AM40">
            <v>4.2</v>
          </cell>
          <cell r="AN40">
            <v>3.15</v>
          </cell>
        </row>
        <row r="41">
          <cell r="C41" t="str">
            <v>45539B</v>
          </cell>
          <cell r="D41" t="str">
            <v>11.39</v>
          </cell>
          <cell r="E41">
            <v>17.64</v>
          </cell>
          <cell r="F41">
            <v>54.87</v>
          </cell>
          <cell r="G41" t="str">
            <v>7.81</v>
          </cell>
          <cell r="H41">
            <v>16.47</v>
          </cell>
          <cell r="I41">
            <v>110.88</v>
          </cell>
          <cell r="J41" t="str">
            <v>109.8</v>
          </cell>
          <cell r="K41">
            <v>76.55</v>
          </cell>
          <cell r="L41">
            <v>30.28</v>
          </cell>
          <cell r="M41" t="str">
            <v>8.25</v>
          </cell>
          <cell r="N41">
            <v>8.32</v>
          </cell>
          <cell r="O41">
            <v>0.84</v>
          </cell>
          <cell r="P41">
            <v>2.08</v>
          </cell>
          <cell r="Q41" t="str">
            <v>38.63</v>
          </cell>
          <cell r="R41">
            <v>38.25</v>
          </cell>
          <cell r="S41">
            <v>0.98</v>
          </cell>
          <cell r="T41">
            <v>1.36</v>
          </cell>
          <cell r="U41" t="str">
            <v>26.15</v>
          </cell>
          <cell r="V41">
            <v>27.45</v>
          </cell>
          <cell r="W41">
            <v>4.97</v>
          </cell>
          <cell r="X41">
            <v>4.7300000000000004</v>
          </cell>
          <cell r="Y41" t="str">
            <v>55.13</v>
          </cell>
          <cell r="Z41">
            <v>55.24</v>
          </cell>
          <cell r="AA41">
            <v>0.19</v>
          </cell>
          <cell r="AB41">
            <v>0.3</v>
          </cell>
          <cell r="AC41" t="str">
            <v>4.02</v>
          </cell>
          <cell r="AD41">
            <v>4.05</v>
          </cell>
          <cell r="AE41">
            <v>0.74</v>
          </cell>
          <cell r="AF41">
            <v>6.29</v>
          </cell>
          <cell r="AG41" t="str">
            <v>3.42</v>
          </cell>
          <cell r="AH41">
            <v>3.53</v>
          </cell>
          <cell r="AI41">
            <v>3.21</v>
          </cell>
          <cell r="AJ41">
            <v>3.82</v>
          </cell>
          <cell r="AK41" t="str">
            <v>148.58</v>
          </cell>
          <cell r="AL41">
            <v>146.5</v>
          </cell>
          <cell r="AM41">
            <v>1.39</v>
          </cell>
          <cell r="AN41">
            <v>3.76</v>
          </cell>
        </row>
        <row r="42">
          <cell r="C42" t="str">
            <v>45539C</v>
          </cell>
          <cell r="D42" t="str">
            <v>11.36</v>
          </cell>
          <cell r="E42">
            <v>13.39</v>
          </cell>
          <cell r="F42">
            <v>17.86</v>
          </cell>
          <cell r="G42" t="str">
            <v>0.0</v>
          </cell>
          <cell r="H42">
            <v>9.5299999999999994</v>
          </cell>
          <cell r="J42" t="str">
            <v>103.51</v>
          </cell>
          <cell r="K42">
            <v>82.54</v>
          </cell>
          <cell r="L42">
            <v>20.25</v>
          </cell>
          <cell r="M42" t="str">
            <v>8.22</v>
          </cell>
          <cell r="N42">
            <v>8.5</v>
          </cell>
          <cell r="O42">
            <v>3.4</v>
          </cell>
          <cell r="P42">
            <v>4.29</v>
          </cell>
          <cell r="Q42" t="str">
            <v>38.38</v>
          </cell>
          <cell r="R42">
            <v>38.71</v>
          </cell>
          <cell r="S42">
            <v>0.85</v>
          </cell>
          <cell r="T42">
            <v>0.18</v>
          </cell>
          <cell r="U42" t="str">
            <v>26.36</v>
          </cell>
          <cell r="V42">
            <v>26.89</v>
          </cell>
          <cell r="W42">
            <v>2.0099999999999998</v>
          </cell>
          <cell r="X42">
            <v>2.59</v>
          </cell>
          <cell r="Y42" t="str">
            <v>55.39</v>
          </cell>
          <cell r="Z42">
            <v>54.89</v>
          </cell>
          <cell r="AA42">
            <v>0.9</v>
          </cell>
          <cell r="AB42">
            <v>0.32</v>
          </cell>
          <cell r="AC42" t="str">
            <v>4.03</v>
          </cell>
          <cell r="AD42">
            <v>4.05</v>
          </cell>
          <cell r="AE42">
            <v>0.49</v>
          </cell>
          <cell r="AF42">
            <v>6.29</v>
          </cell>
          <cell r="AG42" t="str">
            <v>3.38</v>
          </cell>
          <cell r="AH42">
            <v>3.51</v>
          </cell>
          <cell r="AI42">
            <v>3.84</v>
          </cell>
          <cell r="AJ42">
            <v>3.23</v>
          </cell>
          <cell r="AK42" t="str">
            <v>145.08</v>
          </cell>
          <cell r="AL42">
            <v>145.86000000000001</v>
          </cell>
          <cell r="AM42">
            <v>0.53</v>
          </cell>
          <cell r="AN42">
            <v>4.18</v>
          </cell>
        </row>
        <row r="43">
          <cell r="C43" t="str">
            <v>45540A</v>
          </cell>
          <cell r="D43" t="str">
            <v>11.38</v>
          </cell>
          <cell r="E43">
            <v>16.13</v>
          </cell>
          <cell r="F43">
            <v>41.73</v>
          </cell>
          <cell r="G43" t="str">
            <v>2.65</v>
          </cell>
          <cell r="H43">
            <v>16.91</v>
          </cell>
          <cell r="I43">
            <v>538.11</v>
          </cell>
          <cell r="J43" t="str">
            <v>109.3</v>
          </cell>
          <cell r="K43">
            <v>56.98</v>
          </cell>
          <cell r="L43">
            <v>47.86</v>
          </cell>
          <cell r="M43" t="str">
            <v>8.36</v>
          </cell>
          <cell r="N43">
            <v>8.4</v>
          </cell>
          <cell r="O43">
            <v>0.47</v>
          </cell>
          <cell r="P43">
            <v>3.06</v>
          </cell>
          <cell r="Q43" t="str">
            <v>38.64</v>
          </cell>
          <cell r="R43">
            <v>36.33</v>
          </cell>
          <cell r="S43">
            <v>5.97</v>
          </cell>
          <cell r="T43">
            <v>6.31</v>
          </cell>
          <cell r="U43" t="str">
            <v>26.16</v>
          </cell>
          <cell r="V43">
            <v>27.73</v>
          </cell>
          <cell r="W43">
            <v>6</v>
          </cell>
          <cell r="X43">
            <v>5.79</v>
          </cell>
          <cell r="Y43" t="str">
            <v>55.13</v>
          </cell>
          <cell r="Z43">
            <v>54.1</v>
          </cell>
          <cell r="AA43">
            <v>1.86</v>
          </cell>
          <cell r="AB43">
            <v>1.76</v>
          </cell>
          <cell r="AC43" t="str">
            <v>4.05</v>
          </cell>
          <cell r="AD43">
            <v>4.05</v>
          </cell>
          <cell r="AE43">
            <v>0</v>
          </cell>
          <cell r="AF43">
            <v>6.29</v>
          </cell>
          <cell r="AG43" t="str">
            <v>3.45</v>
          </cell>
          <cell r="AH43">
            <v>3.5</v>
          </cell>
          <cell r="AI43">
            <v>1.44</v>
          </cell>
          <cell r="AJ43">
            <v>2.94</v>
          </cell>
          <cell r="AK43" t="str">
            <v>146.67</v>
          </cell>
          <cell r="AL43">
            <v>138.66999999999999</v>
          </cell>
          <cell r="AM43">
            <v>5.45</v>
          </cell>
          <cell r="AN43">
            <v>8.9</v>
          </cell>
        </row>
        <row r="44">
          <cell r="C44" t="str">
            <v>45540B</v>
          </cell>
          <cell r="D44" t="str">
            <v>11.38</v>
          </cell>
          <cell r="E44">
            <v>14.98</v>
          </cell>
          <cell r="F44">
            <v>31.63</v>
          </cell>
          <cell r="G44" t="str">
            <v>1.63</v>
          </cell>
          <cell r="H44">
            <v>18.170000000000002</v>
          </cell>
          <cell r="I44">
            <v>1014.72</v>
          </cell>
          <cell r="J44" t="str">
            <v>111.13</v>
          </cell>
          <cell r="K44">
            <v>81.48</v>
          </cell>
          <cell r="L44">
            <v>26.68</v>
          </cell>
          <cell r="M44" t="str">
            <v>8.47 ↑</v>
          </cell>
          <cell r="N44">
            <v>8.35</v>
          </cell>
          <cell r="O44">
            <v>1.41</v>
          </cell>
          <cell r="P44">
            <v>2.4500000000000002</v>
          </cell>
          <cell r="Q44" t="str">
            <v>38.54</v>
          </cell>
          <cell r="R44">
            <v>37.67</v>
          </cell>
          <cell r="S44">
            <v>2.25</v>
          </cell>
          <cell r="T44">
            <v>2.86</v>
          </cell>
          <cell r="U44" t="str">
            <v>26.7</v>
          </cell>
          <cell r="V44">
            <v>26.5</v>
          </cell>
          <cell r="W44">
            <v>0.74</v>
          </cell>
          <cell r="X44">
            <v>1.1000000000000001</v>
          </cell>
          <cell r="Y44" t="str">
            <v>54.57</v>
          </cell>
          <cell r="Z44">
            <v>56.24</v>
          </cell>
          <cell r="AA44">
            <v>3.06</v>
          </cell>
          <cell r="AB44">
            <v>2.12</v>
          </cell>
          <cell r="AC44" t="str">
            <v>4.07</v>
          </cell>
          <cell r="AD44">
            <v>4</v>
          </cell>
          <cell r="AE44">
            <v>1.71</v>
          </cell>
          <cell r="AF44">
            <v>4.9800000000000004</v>
          </cell>
          <cell r="AG44" t="str">
            <v>3.45</v>
          </cell>
          <cell r="AH44">
            <v>3.46</v>
          </cell>
          <cell r="AI44">
            <v>0.28000000000000003</v>
          </cell>
          <cell r="AJ44">
            <v>1.76</v>
          </cell>
          <cell r="AK44" t="str">
            <v>144.72</v>
          </cell>
          <cell r="AL44">
            <v>147.33000000000001</v>
          </cell>
          <cell r="AM44">
            <v>1.8</v>
          </cell>
          <cell r="AN44">
            <v>3.21</v>
          </cell>
        </row>
        <row r="45">
          <cell r="C45" t="str">
            <v>45540C</v>
          </cell>
          <cell r="D45" t="str">
            <v>11.36</v>
          </cell>
          <cell r="E45">
            <v>11.36</v>
          </cell>
          <cell r="F45">
            <v>0</v>
          </cell>
          <cell r="G45" t="str">
            <v>2.27</v>
          </cell>
          <cell r="H45">
            <v>16.71</v>
          </cell>
          <cell r="I45">
            <v>636.12</v>
          </cell>
          <cell r="J45" t="str">
            <v>98.28</v>
          </cell>
          <cell r="K45">
            <v>87.68</v>
          </cell>
          <cell r="L45">
            <v>10.78</v>
          </cell>
          <cell r="M45" t="str">
            <v>8.24</v>
          </cell>
          <cell r="N45">
            <v>8.5</v>
          </cell>
          <cell r="O45">
            <v>3.15</v>
          </cell>
          <cell r="P45">
            <v>4.29</v>
          </cell>
          <cell r="Q45" t="str">
            <v>38.71</v>
          </cell>
          <cell r="R45">
            <v>38.75</v>
          </cell>
          <cell r="S45">
            <v>0.1</v>
          </cell>
          <cell r="T45">
            <v>7.0000000000000007E-2</v>
          </cell>
          <cell r="U45" t="str">
            <v>26.32</v>
          </cell>
          <cell r="V45">
            <v>25.43</v>
          </cell>
          <cell r="W45">
            <v>3.38</v>
          </cell>
          <cell r="X45">
            <v>2.97</v>
          </cell>
          <cell r="Y45" t="str">
            <v>56.22</v>
          </cell>
          <cell r="Z45">
            <v>56.24</v>
          </cell>
          <cell r="AA45">
            <v>0.03</v>
          </cell>
          <cell r="AB45">
            <v>2.12</v>
          </cell>
          <cell r="AC45" t="str">
            <v>4.02</v>
          </cell>
          <cell r="AD45">
            <v>4</v>
          </cell>
          <cell r="AE45">
            <v>0.49</v>
          </cell>
          <cell r="AF45">
            <v>4.9800000000000004</v>
          </cell>
          <cell r="AG45" t="str">
            <v>3.42</v>
          </cell>
          <cell r="AH45">
            <v>3.47</v>
          </cell>
          <cell r="AI45">
            <v>1.46</v>
          </cell>
          <cell r="AJ45">
            <v>2.0499999999999998</v>
          </cell>
          <cell r="AK45" t="str">
            <v>147.02</v>
          </cell>
          <cell r="AL45">
            <v>144.25</v>
          </cell>
          <cell r="AM45">
            <v>1.88</v>
          </cell>
          <cell r="AN45">
            <v>5.24</v>
          </cell>
        </row>
        <row r="46">
          <cell r="C46" t="str">
            <v>45541A</v>
          </cell>
          <cell r="D46" t="str">
            <v>11.3</v>
          </cell>
          <cell r="E46">
            <v>12.05</v>
          </cell>
          <cell r="F46">
            <v>6.63</v>
          </cell>
          <cell r="G46" t="str">
            <v>0.0</v>
          </cell>
          <cell r="H46">
            <v>16.87</v>
          </cell>
          <cell r="J46" t="str">
            <v>75.23</v>
          </cell>
          <cell r="K46">
            <v>77.63</v>
          </cell>
          <cell r="L46">
            <v>3.19</v>
          </cell>
          <cell r="M46" t="str">
            <v>8.22</v>
          </cell>
          <cell r="N46">
            <v>8.1999999999999993</v>
          </cell>
          <cell r="O46">
            <v>0.24</v>
          </cell>
          <cell r="P46">
            <v>0.61</v>
          </cell>
          <cell r="Q46" t="str">
            <v>38.65</v>
          </cell>
          <cell r="R46">
            <v>37.67</v>
          </cell>
          <cell r="S46">
            <v>2.5299999999999998</v>
          </cell>
          <cell r="T46">
            <v>2.86</v>
          </cell>
          <cell r="U46" t="str">
            <v>26.44</v>
          </cell>
          <cell r="V46">
            <v>25.74</v>
          </cell>
          <cell r="W46">
            <v>2.64</v>
          </cell>
          <cell r="X46">
            <v>1.79</v>
          </cell>
          <cell r="Y46" t="str">
            <v>56.22</v>
          </cell>
          <cell r="Z46">
            <v>56.56</v>
          </cell>
          <cell r="AA46">
            <v>0.6</v>
          </cell>
          <cell r="AB46">
            <v>2.7</v>
          </cell>
          <cell r="AC46" t="str">
            <v>4.07</v>
          </cell>
          <cell r="AD46">
            <v>3.89</v>
          </cell>
          <cell r="AE46">
            <v>4.42</v>
          </cell>
          <cell r="AF46">
            <v>2.09</v>
          </cell>
          <cell r="AG46" t="str">
            <v>3.43</v>
          </cell>
          <cell r="AH46">
            <v>3.42</v>
          </cell>
          <cell r="AI46">
            <v>0.28999999999999998</v>
          </cell>
          <cell r="AJ46">
            <v>0.57999999999999996</v>
          </cell>
          <cell r="AK46" t="str">
            <v>144.81</v>
          </cell>
          <cell r="AL46">
            <v>142.16999999999999</v>
          </cell>
          <cell r="AM46">
            <v>1.82</v>
          </cell>
          <cell r="AN46">
            <v>6.6</v>
          </cell>
        </row>
        <row r="47">
          <cell r="C47" t="str">
            <v>45541B</v>
          </cell>
          <cell r="D47" t="str">
            <v>11.31</v>
          </cell>
          <cell r="E47">
            <v>14.94</v>
          </cell>
          <cell r="F47">
            <v>32.090000000000003</v>
          </cell>
          <cell r="G47" t="str">
            <v>0.0</v>
          </cell>
          <cell r="H47">
            <v>16.559999999999999</v>
          </cell>
          <cell r="J47" t="str">
            <v>79.24</v>
          </cell>
          <cell r="K47">
            <v>77.09</v>
          </cell>
          <cell r="L47">
            <v>2.71</v>
          </cell>
          <cell r="M47" t="str">
            <v>8.15</v>
          </cell>
          <cell r="N47">
            <v>8</v>
          </cell>
          <cell r="O47">
            <v>1.84</v>
          </cell>
          <cell r="P47">
            <v>1.84</v>
          </cell>
          <cell r="Q47" t="str">
            <v>38.7</v>
          </cell>
          <cell r="R47">
            <v>37.4</v>
          </cell>
          <cell r="S47">
            <v>3.35</v>
          </cell>
          <cell r="T47">
            <v>3.55</v>
          </cell>
          <cell r="U47" t="str">
            <v>26.48</v>
          </cell>
          <cell r="V47">
            <v>26.98</v>
          </cell>
          <cell r="W47">
            <v>1.88</v>
          </cell>
          <cell r="X47">
            <v>2.93</v>
          </cell>
          <cell r="Y47" t="str">
            <v>56.48</v>
          </cell>
          <cell r="Z47">
            <v>56.56</v>
          </cell>
          <cell r="AA47">
            <v>0.14000000000000001</v>
          </cell>
          <cell r="AB47">
            <v>2.7</v>
          </cell>
          <cell r="AC47" t="str">
            <v>3.97</v>
          </cell>
          <cell r="AD47">
            <v>3.7</v>
          </cell>
          <cell r="AE47">
            <v>6.8</v>
          </cell>
          <cell r="AF47">
            <v>2.88</v>
          </cell>
          <cell r="AG47" t="str">
            <v>3.42</v>
          </cell>
          <cell r="AH47">
            <v>3.25</v>
          </cell>
          <cell r="AI47">
            <v>4.97</v>
          </cell>
          <cell r="AJ47">
            <v>4.41</v>
          </cell>
          <cell r="AK47" t="str">
            <v>146.63</v>
          </cell>
          <cell r="AL47">
            <v>144.6</v>
          </cell>
          <cell r="AM47">
            <v>1.38</v>
          </cell>
          <cell r="AN47">
            <v>5.01</v>
          </cell>
        </row>
        <row r="48">
          <cell r="C48" t="str">
            <v>45541C</v>
          </cell>
          <cell r="D48" t="str">
            <v>12.82</v>
          </cell>
          <cell r="E48">
            <v>16.91</v>
          </cell>
          <cell r="F48">
            <v>31.9</v>
          </cell>
          <cell r="G48" t="str">
            <v>0.0</v>
          </cell>
          <cell r="H48">
            <v>12.37</v>
          </cell>
          <cell r="J48" t="str">
            <v>74.35</v>
          </cell>
          <cell r="K48">
            <v>84.71</v>
          </cell>
          <cell r="L48">
            <v>13.93</v>
          </cell>
          <cell r="M48" t="str">
            <v>7.89</v>
          </cell>
          <cell r="N48">
            <v>8.1999999999999993</v>
          </cell>
          <cell r="O48">
            <v>3.92</v>
          </cell>
          <cell r="P48">
            <v>0.61</v>
          </cell>
          <cell r="Q48" t="str">
            <v>38.39</v>
          </cell>
          <cell r="R48">
            <v>37.880000000000003</v>
          </cell>
          <cell r="S48">
            <v>1.32</v>
          </cell>
          <cell r="T48">
            <v>2.3199999999999998</v>
          </cell>
          <cell r="U48" t="str">
            <v>26.74</v>
          </cell>
          <cell r="V48">
            <v>27.12</v>
          </cell>
          <cell r="W48">
            <v>1.42</v>
          </cell>
          <cell r="X48">
            <v>3.47</v>
          </cell>
          <cell r="Y48" t="str">
            <v>56.43</v>
          </cell>
          <cell r="Z48">
            <v>56.56</v>
          </cell>
          <cell r="AA48">
            <v>0.23</v>
          </cell>
          <cell r="AB48">
            <v>2.7</v>
          </cell>
          <cell r="AC48" t="str">
            <v>3.73 ↓</v>
          </cell>
          <cell r="AD48">
            <v>3.7</v>
          </cell>
          <cell r="AE48">
            <v>0.8</v>
          </cell>
          <cell r="AF48">
            <v>2.88</v>
          </cell>
          <cell r="AG48" t="str">
            <v>3.32 ↓</v>
          </cell>
          <cell r="AH48">
            <v>3.3</v>
          </cell>
          <cell r="AI48">
            <v>0.6</v>
          </cell>
          <cell r="AJ48">
            <v>2.94</v>
          </cell>
          <cell r="AK48" t="str">
            <v>147.92</v>
          </cell>
          <cell r="AL48">
            <v>146.75</v>
          </cell>
          <cell r="AM48">
            <v>0.79</v>
          </cell>
          <cell r="AN48">
            <v>3.59</v>
          </cell>
        </row>
        <row r="49">
          <cell r="C49" t="str">
            <v>45544A</v>
          </cell>
          <cell r="D49" t="str">
            <v>11.31</v>
          </cell>
          <cell r="E49">
            <v>19.64</v>
          </cell>
          <cell r="F49">
            <v>73.650000000000006</v>
          </cell>
          <cell r="G49" t="str">
            <v>0.0</v>
          </cell>
          <cell r="H49">
            <v>15.06</v>
          </cell>
          <cell r="J49" t="str">
            <v>78.1</v>
          </cell>
          <cell r="K49">
            <v>61</v>
          </cell>
          <cell r="L49">
            <v>21.89</v>
          </cell>
          <cell r="M49" t="str">
            <v>7.97</v>
          </cell>
          <cell r="N49">
            <v>8.6</v>
          </cell>
          <cell r="O49">
            <v>7.9</v>
          </cell>
          <cell r="P49">
            <v>5.52</v>
          </cell>
          <cell r="Q49" t="str">
            <v>38.27</v>
          </cell>
          <cell r="R49">
            <v>37.14</v>
          </cell>
          <cell r="S49">
            <v>2.95</v>
          </cell>
          <cell r="T49">
            <v>4.22</v>
          </cell>
          <cell r="U49" t="str">
            <v>26.62</v>
          </cell>
          <cell r="V49">
            <v>30.01</v>
          </cell>
          <cell r="W49">
            <v>12.73</v>
          </cell>
          <cell r="X49">
            <v>14.49</v>
          </cell>
          <cell r="Y49" t="str">
            <v>56.41</v>
          </cell>
          <cell r="Z49">
            <v>56.2</v>
          </cell>
          <cell r="AA49">
            <v>0.37</v>
          </cell>
          <cell r="AB49">
            <v>2.0499999999999998</v>
          </cell>
          <cell r="AC49" t="str">
            <v>3.75</v>
          </cell>
          <cell r="AD49">
            <v>3.7</v>
          </cell>
          <cell r="AE49">
            <v>1.33</v>
          </cell>
          <cell r="AF49">
            <v>2.88</v>
          </cell>
          <cell r="AG49" t="str">
            <v>3.33</v>
          </cell>
          <cell r="AH49">
            <v>3.59</v>
          </cell>
          <cell r="AI49">
            <v>7.8</v>
          </cell>
          <cell r="AJ49">
            <v>5.58</v>
          </cell>
          <cell r="AK49" t="str">
            <v>147.62</v>
          </cell>
          <cell r="AL49">
            <v>131.71</v>
          </cell>
          <cell r="AM49">
            <v>10.77</v>
          </cell>
          <cell r="AN49">
            <v>13.47</v>
          </cell>
        </row>
        <row r="50">
          <cell r="C50" t="str">
            <v>45544B</v>
          </cell>
          <cell r="D50" t="str">
            <v>11.38</v>
          </cell>
          <cell r="E50">
            <v>17.36</v>
          </cell>
          <cell r="F50">
            <v>52.54</v>
          </cell>
          <cell r="G50" t="str">
            <v>0.0</v>
          </cell>
          <cell r="H50">
            <v>15.71</v>
          </cell>
          <cell r="J50" t="str">
            <v>111.09</v>
          </cell>
          <cell r="K50">
            <v>66.260000000000005</v>
          </cell>
          <cell r="L50">
            <v>40.35</v>
          </cell>
          <cell r="M50" t="str">
            <v>8.68</v>
          </cell>
          <cell r="N50">
            <v>8.64</v>
          </cell>
          <cell r="O50">
            <v>0.46</v>
          </cell>
          <cell r="P50">
            <v>6.01</v>
          </cell>
          <cell r="Q50" t="str">
            <v>38.46</v>
          </cell>
          <cell r="R50">
            <v>44</v>
          </cell>
          <cell r="S50">
            <v>14.4</v>
          </cell>
          <cell r="T50">
            <v>13.46</v>
          </cell>
          <cell r="U50" t="str">
            <v>26.83</v>
          </cell>
          <cell r="V50">
            <v>26.75</v>
          </cell>
          <cell r="W50">
            <v>0.28999999999999998</v>
          </cell>
          <cell r="X50">
            <v>2.06</v>
          </cell>
          <cell r="Y50" t="str">
            <v>56.19</v>
          </cell>
          <cell r="Z50">
            <v>57.41</v>
          </cell>
          <cell r="AA50">
            <v>2.17</v>
          </cell>
          <cell r="AB50">
            <v>4.24</v>
          </cell>
          <cell r="AC50" t="str">
            <v>3.86</v>
          </cell>
          <cell r="AD50">
            <v>4.1900000000000004</v>
          </cell>
          <cell r="AE50">
            <v>8.5399999999999991</v>
          </cell>
          <cell r="AF50">
            <v>9.9700000000000006</v>
          </cell>
          <cell r="AG50" t="str">
            <v>3.47</v>
          </cell>
          <cell r="AH50">
            <v>3.85</v>
          </cell>
          <cell r="AI50">
            <v>10.95</v>
          </cell>
          <cell r="AJ50">
            <v>13.23</v>
          </cell>
          <cell r="AK50" t="str">
            <v>142.41</v>
          </cell>
          <cell r="AL50">
            <v>157</v>
          </cell>
          <cell r="AM50">
            <v>10.24</v>
          </cell>
          <cell r="AN50">
            <v>3.13</v>
          </cell>
        </row>
        <row r="51">
          <cell r="C51" t="str">
            <v>45547A</v>
          </cell>
          <cell r="D51" t="str">
            <v>11.39</v>
          </cell>
          <cell r="E51">
            <v>11.92</v>
          </cell>
          <cell r="F51">
            <v>4.6500000000000004</v>
          </cell>
          <cell r="G51" t="str">
            <v>17.96</v>
          </cell>
          <cell r="H51">
            <v>16.45</v>
          </cell>
          <cell r="I51">
            <v>8.4</v>
          </cell>
          <cell r="J51" t="str">
            <v>97.08</v>
          </cell>
          <cell r="K51">
            <v>62.22</v>
          </cell>
          <cell r="L51">
            <v>35.9</v>
          </cell>
          <cell r="M51" t="str">
            <v>8.59</v>
          </cell>
          <cell r="N51">
            <v>8.5500000000000007</v>
          </cell>
          <cell r="O51">
            <v>0.46</v>
          </cell>
          <cell r="P51">
            <v>4.9000000000000004</v>
          </cell>
          <cell r="Q51" t="str">
            <v>38.54</v>
          </cell>
          <cell r="R51">
            <v>38.67</v>
          </cell>
          <cell r="S51">
            <v>0.33</v>
          </cell>
          <cell r="T51">
            <v>0.28000000000000003</v>
          </cell>
          <cell r="U51" t="str">
            <v>26.03 ↓</v>
          </cell>
          <cell r="V51">
            <v>26.77</v>
          </cell>
          <cell r="W51">
            <v>2.84</v>
          </cell>
          <cell r="X51">
            <v>2.13</v>
          </cell>
          <cell r="Y51" t="str">
            <v>57.11</v>
          </cell>
          <cell r="Z51">
            <v>56.59</v>
          </cell>
          <cell r="AA51">
            <v>0.91</v>
          </cell>
          <cell r="AB51">
            <v>2.76</v>
          </cell>
          <cell r="AC51" t="str">
            <v>4.11</v>
          </cell>
          <cell r="AD51">
            <v>4.2300000000000004</v>
          </cell>
          <cell r="AE51">
            <v>2.91</v>
          </cell>
          <cell r="AF51">
            <v>11.02</v>
          </cell>
          <cell r="AG51" t="str">
            <v>3.49</v>
          </cell>
          <cell r="AH51">
            <v>3.67</v>
          </cell>
          <cell r="AI51">
            <v>5.15</v>
          </cell>
          <cell r="AJ51">
            <v>7.94</v>
          </cell>
          <cell r="AK51" t="str">
            <v>144.66</v>
          </cell>
          <cell r="AL51">
            <v>135.66999999999999</v>
          </cell>
          <cell r="AM51">
            <v>6.21</v>
          </cell>
          <cell r="AN51">
            <v>10.87</v>
          </cell>
        </row>
        <row r="52">
          <cell r="C52" t="str">
            <v>45547B</v>
          </cell>
          <cell r="D52" t="str">
            <v>11.41</v>
          </cell>
          <cell r="E52">
            <v>10.71</v>
          </cell>
          <cell r="F52">
            <v>6.13</v>
          </cell>
          <cell r="G52" t="str">
            <v>18.0</v>
          </cell>
          <cell r="H52">
            <v>14.43</v>
          </cell>
          <cell r="I52">
            <v>19.829999999999998</v>
          </cell>
          <cell r="J52" t="str">
            <v>106.62 ↑</v>
          </cell>
          <cell r="K52">
            <v>80.63</v>
          </cell>
          <cell r="L52">
            <v>24.37</v>
          </cell>
          <cell r="M52" t="str">
            <v>8.64 ↑</v>
          </cell>
          <cell r="N52">
            <v>8.36</v>
          </cell>
          <cell r="O52">
            <v>3.24</v>
          </cell>
          <cell r="P52">
            <v>2.57</v>
          </cell>
          <cell r="Q52" t="str">
            <v>38.65</v>
          </cell>
          <cell r="R52">
            <v>37.33</v>
          </cell>
          <cell r="S52">
            <v>3.41</v>
          </cell>
          <cell r="T52">
            <v>3.73</v>
          </cell>
          <cell r="U52" t="str">
            <v>26.04</v>
          </cell>
          <cell r="V52">
            <v>27.63</v>
          </cell>
          <cell r="W52">
            <v>6.1</v>
          </cell>
          <cell r="X52">
            <v>5.41</v>
          </cell>
          <cell r="Y52" t="str">
            <v>56.55</v>
          </cell>
          <cell r="Z52">
            <v>57.07</v>
          </cell>
          <cell r="AA52">
            <v>0.91</v>
          </cell>
          <cell r="AB52">
            <v>3.63</v>
          </cell>
          <cell r="AC52" t="str">
            <v>4.25</v>
          </cell>
          <cell r="AD52">
            <v>3.99</v>
          </cell>
          <cell r="AE52">
            <v>6.11</v>
          </cell>
          <cell r="AF52">
            <v>4.72</v>
          </cell>
          <cell r="AG52" t="str">
            <v>3.52 ↑</v>
          </cell>
          <cell r="AH52">
            <v>3.49</v>
          </cell>
          <cell r="AI52">
            <v>0.85</v>
          </cell>
          <cell r="AJ52">
            <v>2.64</v>
          </cell>
          <cell r="AK52" t="str">
            <v>142.56</v>
          </cell>
          <cell r="AL52">
            <v>135.25</v>
          </cell>
          <cell r="AM52">
            <v>5.12</v>
          </cell>
          <cell r="AN52">
            <v>11.15</v>
          </cell>
        </row>
        <row r="53">
          <cell r="C53" t="str">
            <v>45547C</v>
          </cell>
          <cell r="D53" t="str">
            <v>11.36</v>
          </cell>
          <cell r="E53">
            <v>7.4</v>
          </cell>
          <cell r="F53">
            <v>34.85</v>
          </cell>
          <cell r="G53" t="str">
            <v>0.0</v>
          </cell>
          <cell r="H53">
            <v>6.89</v>
          </cell>
          <cell r="J53" t="str">
            <v>100.16</v>
          </cell>
          <cell r="K53">
            <v>95.03</v>
          </cell>
          <cell r="L53">
            <v>5.12</v>
          </cell>
          <cell r="M53" t="str">
            <v>8.39</v>
          </cell>
          <cell r="N53">
            <v>8.32</v>
          </cell>
          <cell r="O53">
            <v>0.83</v>
          </cell>
          <cell r="P53">
            <v>2.08</v>
          </cell>
          <cell r="Q53" t="str">
            <v>38.46</v>
          </cell>
          <cell r="R53">
            <v>39</v>
          </cell>
          <cell r="S53">
            <v>1.4</v>
          </cell>
          <cell r="T53">
            <v>0.56000000000000005</v>
          </cell>
          <cell r="U53" t="str">
            <v>26.5</v>
          </cell>
          <cell r="V53">
            <v>26.43</v>
          </cell>
          <cell r="W53">
            <v>0.26</v>
          </cell>
          <cell r="X53">
            <v>0.83</v>
          </cell>
          <cell r="Y53" t="str">
            <v>56.76</v>
          </cell>
          <cell r="Z53">
            <v>57.07</v>
          </cell>
          <cell r="AA53">
            <v>0.54</v>
          </cell>
          <cell r="AB53">
            <v>3.63</v>
          </cell>
          <cell r="AC53" t="str">
            <v>4.04</v>
          </cell>
          <cell r="AD53">
            <v>3.99</v>
          </cell>
          <cell r="AE53">
            <v>1.23</v>
          </cell>
          <cell r="AF53">
            <v>4.72</v>
          </cell>
          <cell r="AG53" t="str">
            <v>3.44</v>
          </cell>
          <cell r="AH53">
            <v>3.41</v>
          </cell>
          <cell r="AI53">
            <v>0.87</v>
          </cell>
          <cell r="AJ53">
            <v>0.28999999999999998</v>
          </cell>
          <cell r="AK53" t="str">
            <v>141.44</v>
          </cell>
          <cell r="AL53">
            <v>140.29</v>
          </cell>
          <cell r="AM53">
            <v>0.81</v>
          </cell>
          <cell r="AN53">
            <v>7.84</v>
          </cell>
        </row>
        <row r="54">
          <cell r="C54" t="str">
            <v>45548B</v>
          </cell>
          <cell r="D54" t="str">
            <v>11.3</v>
          </cell>
          <cell r="E54">
            <v>13.64</v>
          </cell>
          <cell r="F54">
            <v>20.7</v>
          </cell>
          <cell r="G54" t="str">
            <v>0.0</v>
          </cell>
          <cell r="H54">
            <v>16.03</v>
          </cell>
          <cell r="J54" t="str">
            <v>72.34</v>
          </cell>
          <cell r="K54">
            <v>79.010000000000005</v>
          </cell>
          <cell r="L54">
            <v>9.2200000000000006</v>
          </cell>
          <cell r="M54" t="str">
            <v>8.16</v>
          </cell>
          <cell r="N54">
            <v>7.7</v>
          </cell>
          <cell r="O54">
            <v>5.63</v>
          </cell>
          <cell r="P54">
            <v>5.52</v>
          </cell>
          <cell r="Q54" t="str">
            <v>38.4</v>
          </cell>
          <cell r="R54">
            <v>38</v>
          </cell>
          <cell r="S54">
            <v>1.04</v>
          </cell>
          <cell r="T54">
            <v>2.0099999999999998</v>
          </cell>
          <cell r="U54" t="str">
            <v>26.59</v>
          </cell>
          <cell r="V54">
            <v>26.54</v>
          </cell>
          <cell r="W54">
            <v>0.18</v>
          </cell>
          <cell r="X54">
            <v>1.25</v>
          </cell>
          <cell r="Y54" t="str">
            <v>56.92 ↑</v>
          </cell>
          <cell r="Z54">
            <v>57.13</v>
          </cell>
          <cell r="AA54">
            <v>0.36</v>
          </cell>
          <cell r="AB54">
            <v>3.74</v>
          </cell>
          <cell r="AC54" t="str">
            <v>4.02</v>
          </cell>
          <cell r="AD54">
            <v>3.6</v>
          </cell>
          <cell r="AE54">
            <v>10.44</v>
          </cell>
          <cell r="AF54">
            <v>5.51</v>
          </cell>
          <cell r="AG54" t="str">
            <v>3.4</v>
          </cell>
          <cell r="AH54">
            <v>3.28</v>
          </cell>
          <cell r="AI54">
            <v>3.52</v>
          </cell>
          <cell r="AJ54">
            <v>3.52</v>
          </cell>
          <cell r="AK54" t="str">
            <v>143.19</v>
          </cell>
          <cell r="AL54">
            <v>145.75</v>
          </cell>
          <cell r="AM54">
            <v>1.78</v>
          </cell>
          <cell r="AN54">
            <v>4.25</v>
          </cell>
        </row>
        <row r="55">
          <cell r="C55" t="str">
            <v>45548C</v>
          </cell>
          <cell r="D55" t="str">
            <v>22.77</v>
          </cell>
          <cell r="E55">
            <v>14.34</v>
          </cell>
          <cell r="F55">
            <v>37.020000000000003</v>
          </cell>
          <cell r="G55" t="str">
            <v>0.0</v>
          </cell>
          <cell r="H55">
            <v>12</v>
          </cell>
          <cell r="J55" t="str">
            <v>71.99</v>
          </cell>
          <cell r="K55">
            <v>95.07</v>
          </cell>
          <cell r="L55">
            <v>32.06</v>
          </cell>
          <cell r="M55" t="str">
            <v>7.97</v>
          </cell>
          <cell r="N55">
            <v>8.08</v>
          </cell>
          <cell r="O55">
            <v>1.38</v>
          </cell>
          <cell r="P55">
            <v>0.85</v>
          </cell>
          <cell r="Q55" t="str">
            <v>38.45</v>
          </cell>
          <cell r="R55">
            <v>38.44</v>
          </cell>
          <cell r="S55">
            <v>0.02</v>
          </cell>
          <cell r="T55">
            <v>0.87</v>
          </cell>
          <cell r="U55" t="str">
            <v>26.74</v>
          </cell>
          <cell r="V55">
            <v>25.8</v>
          </cell>
          <cell r="W55">
            <v>3.51</v>
          </cell>
          <cell r="X55">
            <v>1.56</v>
          </cell>
          <cell r="Y55" t="str">
            <v>56.76</v>
          </cell>
          <cell r="Z55">
            <v>57.13</v>
          </cell>
          <cell r="AA55">
            <v>0.65</v>
          </cell>
          <cell r="AB55">
            <v>3.74</v>
          </cell>
          <cell r="AC55" t="str">
            <v>3.65</v>
          </cell>
          <cell r="AD55">
            <v>3.6</v>
          </cell>
          <cell r="AE55">
            <v>1.36</v>
          </cell>
          <cell r="AF55">
            <v>5.51</v>
          </cell>
          <cell r="AG55" t="str">
            <v>3.3</v>
          </cell>
          <cell r="AH55">
            <v>3.33</v>
          </cell>
          <cell r="AI55">
            <v>0.9</v>
          </cell>
          <cell r="AJ55">
            <v>2.0499999999999998</v>
          </cell>
          <cell r="AK55" t="str">
            <v>148.45</v>
          </cell>
          <cell r="AL55">
            <v>149.78</v>
          </cell>
          <cell r="AM55">
            <v>0.89</v>
          </cell>
          <cell r="AN55">
            <v>1.6</v>
          </cell>
        </row>
        <row r="56">
          <cell r="C56" t="str">
            <v>45549A</v>
          </cell>
          <cell r="D56" t="str">
            <v>17.03</v>
          </cell>
          <cell r="E56">
            <v>22.96</v>
          </cell>
          <cell r="F56">
            <v>34.82</v>
          </cell>
          <cell r="G56" t="str">
            <v>0.0</v>
          </cell>
          <cell r="H56">
            <v>16.93</v>
          </cell>
          <cell r="J56" t="str">
            <v>69.16 ↓</v>
          </cell>
          <cell r="K56">
            <v>85.92</v>
          </cell>
          <cell r="L56">
            <v>24.23</v>
          </cell>
          <cell r="M56" t="str">
            <v>7.87</v>
          </cell>
          <cell r="N56">
            <v>7.7</v>
          </cell>
          <cell r="O56">
            <v>2.16</v>
          </cell>
          <cell r="P56">
            <v>5.52</v>
          </cell>
          <cell r="Q56" t="str">
            <v>38.45</v>
          </cell>
          <cell r="R56">
            <v>37</v>
          </cell>
          <cell r="S56">
            <v>3.77</v>
          </cell>
          <cell r="T56">
            <v>4.58</v>
          </cell>
          <cell r="U56" t="str">
            <v>26.5</v>
          </cell>
          <cell r="V56">
            <v>26.77</v>
          </cell>
          <cell r="W56">
            <v>1.01</v>
          </cell>
          <cell r="X56">
            <v>2.13</v>
          </cell>
          <cell r="Y56" t="str">
            <v>56.75</v>
          </cell>
          <cell r="Z56">
            <v>54.95</v>
          </cell>
          <cell r="AA56">
            <v>3.17</v>
          </cell>
          <cell r="AB56">
            <v>0.21</v>
          </cell>
          <cell r="AC56" t="str">
            <v>3.66</v>
          </cell>
          <cell r="AD56">
            <v>3.51</v>
          </cell>
          <cell r="AE56">
            <v>4.09</v>
          </cell>
          <cell r="AF56">
            <v>7.87</v>
          </cell>
          <cell r="AG56" t="str">
            <v>3.29 ↓</v>
          </cell>
          <cell r="AH56">
            <v>3.23</v>
          </cell>
          <cell r="AI56">
            <v>1.82</v>
          </cell>
          <cell r="AJ56">
            <v>4.99</v>
          </cell>
          <cell r="AK56" t="str">
            <v>146.83</v>
          </cell>
          <cell r="AL56">
            <v>141</v>
          </cell>
          <cell r="AM56">
            <v>3.97</v>
          </cell>
          <cell r="AN56">
            <v>7.37</v>
          </cell>
        </row>
        <row r="57">
          <cell r="C57" t="str">
            <v>45549B</v>
          </cell>
          <cell r="D57" t="str">
            <v>11.32 ↓</v>
          </cell>
          <cell r="E57">
            <v>23.18</v>
          </cell>
          <cell r="F57">
            <v>104.77</v>
          </cell>
          <cell r="G57" t="str">
            <v>0.0</v>
          </cell>
          <cell r="H57">
            <v>15.4</v>
          </cell>
          <cell r="J57" t="str">
            <v>82.43 ↓</v>
          </cell>
          <cell r="K57">
            <v>94.12</v>
          </cell>
          <cell r="L57">
            <v>14.18</v>
          </cell>
          <cell r="M57" t="str">
            <v>7.87 ↓</v>
          </cell>
          <cell r="N57">
            <v>8.1</v>
          </cell>
          <cell r="O57">
            <v>2.92</v>
          </cell>
          <cell r="P57">
            <v>0.61</v>
          </cell>
          <cell r="Q57" t="str">
            <v>38.5</v>
          </cell>
          <cell r="R57">
            <v>38.25</v>
          </cell>
          <cell r="S57">
            <v>0.64</v>
          </cell>
          <cell r="T57">
            <v>1.36</v>
          </cell>
          <cell r="U57" t="str">
            <v>26.86</v>
          </cell>
          <cell r="V57">
            <v>26.9</v>
          </cell>
          <cell r="W57">
            <v>0.14000000000000001</v>
          </cell>
          <cell r="X57">
            <v>2.63</v>
          </cell>
          <cell r="Y57" t="str">
            <v>55.19</v>
          </cell>
          <cell r="Z57">
            <v>54.95</v>
          </cell>
          <cell r="AA57">
            <v>0.43</v>
          </cell>
          <cell r="AB57">
            <v>0.21</v>
          </cell>
          <cell r="AC57" t="str">
            <v>3.58 ↓</v>
          </cell>
          <cell r="AD57">
            <v>3.82</v>
          </cell>
          <cell r="AE57">
            <v>6.7</v>
          </cell>
          <cell r="AF57">
            <v>0.26</v>
          </cell>
          <cell r="AG57" t="str">
            <v>3.32</v>
          </cell>
          <cell r="AH57">
            <v>3.38</v>
          </cell>
          <cell r="AI57">
            <v>1.8</v>
          </cell>
          <cell r="AJ57">
            <v>0.57999999999999996</v>
          </cell>
          <cell r="AK57" t="str">
            <v>148.84</v>
          </cell>
          <cell r="AL57">
            <v>146.75</v>
          </cell>
          <cell r="AM57">
            <v>1.4</v>
          </cell>
          <cell r="AN57">
            <v>3.59</v>
          </cell>
        </row>
        <row r="58">
          <cell r="C58" t="str">
            <v>45549C</v>
          </cell>
          <cell r="D58" t="str">
            <v>11.35 ↓</v>
          </cell>
          <cell r="E58">
            <v>22.04</v>
          </cell>
          <cell r="F58">
            <v>94.18</v>
          </cell>
          <cell r="G58" t="str">
            <v>0.0</v>
          </cell>
          <cell r="H58">
            <v>8.75</v>
          </cell>
          <cell r="J58" t="str">
            <v>97.01</v>
          </cell>
          <cell r="K58">
            <v>102.68</v>
          </cell>
          <cell r="L58">
            <v>5.84</v>
          </cell>
          <cell r="M58" t="str">
            <v>8.0</v>
          </cell>
          <cell r="N58">
            <v>8.3000000000000007</v>
          </cell>
          <cell r="O58">
            <v>3.75</v>
          </cell>
          <cell r="P58">
            <v>1.84</v>
          </cell>
          <cell r="Q58" t="str">
            <v>38.43</v>
          </cell>
          <cell r="R58">
            <v>39.33</v>
          </cell>
          <cell r="S58">
            <v>2.34</v>
          </cell>
          <cell r="T58">
            <v>1.41</v>
          </cell>
          <cell r="U58" t="str">
            <v>26.6</v>
          </cell>
          <cell r="V58">
            <v>27.23</v>
          </cell>
          <cell r="W58">
            <v>2.36</v>
          </cell>
          <cell r="X58">
            <v>3.89</v>
          </cell>
          <cell r="Y58" t="str">
            <v>55.17</v>
          </cell>
          <cell r="Z58">
            <v>54.95</v>
          </cell>
          <cell r="AA58">
            <v>0.39</v>
          </cell>
          <cell r="AB58">
            <v>0.21</v>
          </cell>
          <cell r="AC58" t="str">
            <v>3.79 ↓</v>
          </cell>
          <cell r="AD58">
            <v>3.82</v>
          </cell>
          <cell r="AE58">
            <v>0.79</v>
          </cell>
          <cell r="AF58">
            <v>0.26</v>
          </cell>
          <cell r="AG58" t="str">
            <v>3.33</v>
          </cell>
          <cell r="AH58">
            <v>3.44</v>
          </cell>
          <cell r="AI58">
            <v>3.3</v>
          </cell>
          <cell r="AJ58">
            <v>1.17</v>
          </cell>
          <cell r="AK58" t="str">
            <v>147.9</v>
          </cell>
          <cell r="AL58">
            <v>145.16999999999999</v>
          </cell>
          <cell r="AM58">
            <v>1.84</v>
          </cell>
          <cell r="AN58">
            <v>4.63</v>
          </cell>
        </row>
        <row r="59">
          <cell r="C59" t="str">
            <v>45551A</v>
          </cell>
          <cell r="D59" t="str">
            <v>11.36</v>
          </cell>
          <cell r="E59">
            <v>16.39</v>
          </cell>
          <cell r="F59">
            <v>44.27</v>
          </cell>
          <cell r="G59" t="str">
            <v>0.0</v>
          </cell>
          <cell r="H59">
            <v>12.27</v>
          </cell>
          <cell r="J59" t="str">
            <v>101.03</v>
          </cell>
          <cell r="K59">
            <v>64.16</v>
          </cell>
          <cell r="L59">
            <v>36.49</v>
          </cell>
          <cell r="M59" t="str">
            <v>8.27</v>
          </cell>
          <cell r="N59">
            <v>8.31</v>
          </cell>
          <cell r="O59">
            <v>0.48</v>
          </cell>
          <cell r="P59">
            <v>1.96</v>
          </cell>
          <cell r="Q59" t="str">
            <v>38.42</v>
          </cell>
          <cell r="R59">
            <v>38</v>
          </cell>
          <cell r="S59">
            <v>1.0900000000000001</v>
          </cell>
          <cell r="T59">
            <v>2.0099999999999998</v>
          </cell>
          <cell r="U59" t="str">
            <v>26.4</v>
          </cell>
          <cell r="V59">
            <v>27.63</v>
          </cell>
          <cell r="W59">
            <v>4.6500000000000004</v>
          </cell>
          <cell r="X59">
            <v>5.41</v>
          </cell>
          <cell r="Y59" t="str">
            <v>55.17</v>
          </cell>
          <cell r="Z59">
            <v>55.87</v>
          </cell>
          <cell r="AA59">
            <v>1.26</v>
          </cell>
          <cell r="AB59">
            <v>1.45</v>
          </cell>
          <cell r="AC59" t="str">
            <v>3.86</v>
          </cell>
          <cell r="AD59">
            <v>3.82</v>
          </cell>
          <cell r="AE59">
            <v>1.03</v>
          </cell>
          <cell r="AF59">
            <v>0.26</v>
          </cell>
          <cell r="AG59" t="str">
            <v>3.41</v>
          </cell>
          <cell r="AH59">
            <v>3.64</v>
          </cell>
          <cell r="AI59">
            <v>6.74</v>
          </cell>
          <cell r="AJ59">
            <v>7.05</v>
          </cell>
          <cell r="AK59" t="str">
            <v>145.94</v>
          </cell>
          <cell r="AL59">
            <v>142</v>
          </cell>
          <cell r="AM59">
            <v>2.69</v>
          </cell>
          <cell r="AN59">
            <v>6.72</v>
          </cell>
        </row>
        <row r="60">
          <cell r="C60" t="str">
            <v>45551B</v>
          </cell>
          <cell r="D60" t="str">
            <v>11.37</v>
          </cell>
          <cell r="E60">
            <v>12.2</v>
          </cell>
          <cell r="F60">
            <v>7.29</v>
          </cell>
          <cell r="G60" t="str">
            <v>0.0</v>
          </cell>
          <cell r="H60">
            <v>10.55</v>
          </cell>
          <cell r="J60" t="str">
            <v>106.62</v>
          </cell>
          <cell r="K60">
            <v>79.08</v>
          </cell>
          <cell r="L60">
            <v>25.83</v>
          </cell>
          <cell r="M60" t="str">
            <v>8.47</v>
          </cell>
          <cell r="N60">
            <v>8.5</v>
          </cell>
          <cell r="O60">
            <v>0.35</v>
          </cell>
          <cell r="P60">
            <v>4.29</v>
          </cell>
          <cell r="Q60" t="str">
            <v>38.78 ↑</v>
          </cell>
          <cell r="R60">
            <v>39</v>
          </cell>
          <cell r="S60">
            <v>0.56000000000000005</v>
          </cell>
          <cell r="T60">
            <v>0.56000000000000005</v>
          </cell>
          <cell r="U60" t="str">
            <v>26.4</v>
          </cell>
          <cell r="V60">
            <v>27.78</v>
          </cell>
          <cell r="W60">
            <v>5.22</v>
          </cell>
          <cell r="X60">
            <v>5.99</v>
          </cell>
          <cell r="Y60" t="str">
            <v>55.93</v>
          </cell>
          <cell r="Z60">
            <v>57.41</v>
          </cell>
          <cell r="AA60">
            <v>2.64</v>
          </cell>
          <cell r="AB60">
            <v>4.24</v>
          </cell>
          <cell r="AC60" t="str">
            <v>3.96</v>
          </cell>
          <cell r="AD60">
            <v>4.28</v>
          </cell>
          <cell r="AE60">
            <v>8.08</v>
          </cell>
          <cell r="AF60">
            <v>12.33</v>
          </cell>
          <cell r="AG60" t="str">
            <v>3.47 ↑</v>
          </cell>
          <cell r="AH60">
            <v>3.74</v>
          </cell>
          <cell r="AI60">
            <v>7.78</v>
          </cell>
          <cell r="AJ60">
            <v>10</v>
          </cell>
          <cell r="AK60" t="str">
            <v>144.07</v>
          </cell>
          <cell r="AL60">
            <v>151.19999999999999</v>
          </cell>
          <cell r="AM60">
            <v>4.9400000000000004</v>
          </cell>
          <cell r="AN60">
            <v>0.67</v>
          </cell>
        </row>
        <row r="61">
          <cell r="C61" t="str">
            <v>45551C</v>
          </cell>
          <cell r="D61" t="str">
            <v>11.42</v>
          </cell>
          <cell r="E61">
            <v>7.61</v>
          </cell>
          <cell r="F61">
            <v>33.36</v>
          </cell>
          <cell r="G61" t="str">
            <v>18.01</v>
          </cell>
          <cell r="H61">
            <v>7.1</v>
          </cell>
          <cell r="I61">
            <v>60.57</v>
          </cell>
          <cell r="J61" t="str">
            <v>111.39</v>
          </cell>
          <cell r="K61">
            <v>96.75</v>
          </cell>
          <cell r="L61">
            <v>13.14</v>
          </cell>
          <cell r="M61" t="str">
            <v>8.5</v>
          </cell>
          <cell r="N61">
            <v>8.1999999999999993</v>
          </cell>
          <cell r="O61">
            <v>3.52</v>
          </cell>
          <cell r="P61">
            <v>0.61</v>
          </cell>
          <cell r="Q61" t="str">
            <v>38.55</v>
          </cell>
          <cell r="R61">
            <v>38.17</v>
          </cell>
          <cell r="S61">
            <v>0.98</v>
          </cell>
          <cell r="T61">
            <v>1.57</v>
          </cell>
          <cell r="U61" t="str">
            <v>25.97</v>
          </cell>
          <cell r="V61">
            <v>25.9</v>
          </cell>
          <cell r="W61">
            <v>0.26</v>
          </cell>
          <cell r="X61">
            <v>1.18</v>
          </cell>
          <cell r="Y61" t="str">
            <v>57.06</v>
          </cell>
          <cell r="Z61">
            <v>57.4</v>
          </cell>
          <cell r="AA61">
            <v>0.59</v>
          </cell>
          <cell r="AB61">
            <v>4.2300000000000004</v>
          </cell>
          <cell r="AC61" t="str">
            <v>4.12</v>
          </cell>
          <cell r="AD61">
            <v>4.1399999999999997</v>
          </cell>
          <cell r="AE61">
            <v>0.48</v>
          </cell>
          <cell r="AF61">
            <v>8.66</v>
          </cell>
          <cell r="AG61" t="str">
            <v>3.45 ↑</v>
          </cell>
          <cell r="AH61">
            <v>3.46</v>
          </cell>
          <cell r="AI61">
            <v>0.28000000000000003</v>
          </cell>
          <cell r="AJ61">
            <v>1.76</v>
          </cell>
          <cell r="AK61" t="str">
            <v>146.57</v>
          </cell>
          <cell r="AL61">
            <v>146.5</v>
          </cell>
          <cell r="AM61">
            <v>0.04</v>
          </cell>
          <cell r="AN61">
            <v>3.76</v>
          </cell>
        </row>
        <row r="62">
          <cell r="C62" t="str">
            <v>45552A</v>
          </cell>
          <cell r="D62" t="str">
            <v>14.09</v>
          </cell>
          <cell r="E62">
            <v>14.21</v>
          </cell>
          <cell r="F62">
            <v>0.85</v>
          </cell>
          <cell r="G62" t="str">
            <v>2.68</v>
          </cell>
          <cell r="H62">
            <v>15.93</v>
          </cell>
          <cell r="I62">
            <v>494.4</v>
          </cell>
          <cell r="J62" t="str">
            <v>74.86</v>
          </cell>
          <cell r="K62">
            <v>96.16</v>
          </cell>
          <cell r="L62">
            <v>28.45</v>
          </cell>
          <cell r="M62" t="str">
            <v>8.16</v>
          </cell>
          <cell r="N62">
            <v>8.02</v>
          </cell>
          <cell r="O62">
            <v>1.71</v>
          </cell>
          <cell r="P62">
            <v>1.59</v>
          </cell>
          <cell r="Q62" t="str">
            <v>38.54</v>
          </cell>
          <cell r="R62">
            <v>37.17</v>
          </cell>
          <cell r="S62">
            <v>3.55</v>
          </cell>
          <cell r="T62">
            <v>4.1500000000000004</v>
          </cell>
          <cell r="U62" t="str">
            <v>26.25</v>
          </cell>
          <cell r="V62">
            <v>27.38</v>
          </cell>
          <cell r="W62">
            <v>4.3</v>
          </cell>
          <cell r="X62">
            <v>4.46</v>
          </cell>
          <cell r="Y62" t="str">
            <v>57.11 ↑</v>
          </cell>
          <cell r="Z62">
            <v>56.15</v>
          </cell>
          <cell r="AA62">
            <v>1.68</v>
          </cell>
          <cell r="AB62">
            <v>1.96</v>
          </cell>
          <cell r="AC62" t="str">
            <v>4.15</v>
          </cell>
          <cell r="AD62">
            <v>4.1399999999999997</v>
          </cell>
          <cell r="AE62">
            <v>0.24</v>
          </cell>
          <cell r="AF62">
            <v>8.66</v>
          </cell>
          <cell r="AG62" t="str">
            <v>3.41</v>
          </cell>
          <cell r="AH62">
            <v>3.23</v>
          </cell>
          <cell r="AI62">
            <v>5.27</v>
          </cell>
          <cell r="AJ62">
            <v>4.99</v>
          </cell>
          <cell r="AK62" t="str">
            <v>146.68</v>
          </cell>
          <cell r="AL62">
            <v>140.5</v>
          </cell>
          <cell r="AM62">
            <v>4.21</v>
          </cell>
          <cell r="AN62">
            <v>7.7</v>
          </cell>
        </row>
        <row r="63">
          <cell r="C63" t="str">
            <v>45552B</v>
          </cell>
          <cell r="D63" t="str">
            <v>11.33</v>
          </cell>
          <cell r="E63">
            <v>16.16</v>
          </cell>
          <cell r="F63">
            <v>42.63</v>
          </cell>
          <cell r="G63" t="str">
            <v>0.0</v>
          </cell>
          <cell r="H63">
            <v>17</v>
          </cell>
          <cell r="J63" t="str">
            <v>89.63</v>
          </cell>
          <cell r="K63">
            <v>90.3</v>
          </cell>
          <cell r="L63">
            <v>0.74</v>
          </cell>
          <cell r="M63" t="str">
            <v>7.93</v>
          </cell>
          <cell r="N63">
            <v>7.75</v>
          </cell>
          <cell r="O63">
            <v>2.2599999999999998</v>
          </cell>
          <cell r="P63">
            <v>4.9000000000000004</v>
          </cell>
          <cell r="Q63" t="str">
            <v>38.37</v>
          </cell>
          <cell r="R63">
            <v>38.71</v>
          </cell>
          <cell r="S63">
            <v>0.88</v>
          </cell>
          <cell r="T63">
            <v>0.18</v>
          </cell>
          <cell r="U63" t="str">
            <v>26.56</v>
          </cell>
          <cell r="V63">
            <v>25.94</v>
          </cell>
          <cell r="W63">
            <v>2.33</v>
          </cell>
          <cell r="X63">
            <v>1.03</v>
          </cell>
          <cell r="Y63" t="str">
            <v>56.26</v>
          </cell>
          <cell r="Z63">
            <v>56.01</v>
          </cell>
          <cell r="AA63">
            <v>0.44</v>
          </cell>
          <cell r="AB63">
            <v>1.7</v>
          </cell>
          <cell r="AC63" t="str">
            <v>4.03</v>
          </cell>
          <cell r="AD63">
            <v>3.81</v>
          </cell>
          <cell r="AE63">
            <v>5.45</v>
          </cell>
          <cell r="AF63">
            <v>0</v>
          </cell>
          <cell r="AG63" t="str">
            <v>3.35</v>
          </cell>
          <cell r="AH63">
            <v>3.19</v>
          </cell>
          <cell r="AI63">
            <v>4.7699999999999996</v>
          </cell>
          <cell r="AJ63">
            <v>6.17</v>
          </cell>
          <cell r="AK63" t="str">
            <v>146.09</v>
          </cell>
          <cell r="AL63">
            <v>148.13999999999999</v>
          </cell>
          <cell r="AM63">
            <v>1.4</v>
          </cell>
          <cell r="AN63">
            <v>2.68</v>
          </cell>
        </row>
        <row r="64">
          <cell r="C64" t="str">
            <v>45552C</v>
          </cell>
          <cell r="D64" t="str">
            <v>20.98</v>
          </cell>
          <cell r="E64">
            <v>20.32</v>
          </cell>
          <cell r="F64">
            <v>3.14</v>
          </cell>
          <cell r="G64" t="str">
            <v>0.0</v>
          </cell>
          <cell r="H64">
            <v>15.18</v>
          </cell>
          <cell r="J64" t="str">
            <v>69.21</v>
          </cell>
          <cell r="K64">
            <v>86.96</v>
          </cell>
          <cell r="L64">
            <v>25.64</v>
          </cell>
          <cell r="M64" t="str">
            <v>7.78</v>
          </cell>
          <cell r="N64">
            <v>7.8</v>
          </cell>
          <cell r="O64">
            <v>0.25</v>
          </cell>
          <cell r="P64">
            <v>4.29</v>
          </cell>
          <cell r="Q64" t="str">
            <v>38.24</v>
          </cell>
          <cell r="R64">
            <v>39</v>
          </cell>
          <cell r="S64">
            <v>1.98</v>
          </cell>
          <cell r="T64">
            <v>0.56000000000000005</v>
          </cell>
          <cell r="U64" t="str">
            <v>26.49</v>
          </cell>
          <cell r="V64">
            <v>26.5</v>
          </cell>
          <cell r="W64">
            <v>0.03</v>
          </cell>
          <cell r="X64">
            <v>1.1000000000000001</v>
          </cell>
          <cell r="Y64" t="str">
            <v>55.91</v>
          </cell>
          <cell r="Z64">
            <v>56.01</v>
          </cell>
          <cell r="AA64">
            <v>0.17</v>
          </cell>
          <cell r="AB64">
            <v>1.7</v>
          </cell>
          <cell r="AC64" t="str">
            <v>3.76</v>
          </cell>
          <cell r="AD64">
            <v>3.81</v>
          </cell>
          <cell r="AE64">
            <v>1.32</v>
          </cell>
          <cell r="AF64">
            <v>0</v>
          </cell>
          <cell r="AG64" t="str">
            <v>3.28</v>
          </cell>
          <cell r="AH64">
            <v>3.2</v>
          </cell>
          <cell r="AI64">
            <v>2.4300000000000002</v>
          </cell>
          <cell r="AJ64">
            <v>5.88</v>
          </cell>
          <cell r="AK64" t="str">
            <v>148.73</v>
          </cell>
          <cell r="AL64">
            <v>152.5</v>
          </cell>
          <cell r="AM64">
            <v>2.5299999999999998</v>
          </cell>
          <cell r="AN64">
            <v>0.17</v>
          </cell>
        </row>
        <row r="65">
          <cell r="C65" t="str">
            <v>45553A</v>
          </cell>
          <cell r="D65" t="str">
            <v>24.15</v>
          </cell>
          <cell r="E65">
            <v>26.84</v>
          </cell>
          <cell r="F65">
            <v>11.13</v>
          </cell>
          <cell r="G65" t="str">
            <v>0.0</v>
          </cell>
          <cell r="H65">
            <v>15.51</v>
          </cell>
          <cell r="J65" t="str">
            <v>75.2</v>
          </cell>
          <cell r="K65">
            <v>63.54</v>
          </cell>
          <cell r="L65">
            <v>15.5</v>
          </cell>
          <cell r="M65" t="str">
            <v>7.85</v>
          </cell>
          <cell r="N65">
            <v>8.07</v>
          </cell>
          <cell r="O65">
            <v>2.8</v>
          </cell>
          <cell r="P65">
            <v>0.98</v>
          </cell>
          <cell r="Q65" t="str">
            <v>38.25</v>
          </cell>
          <cell r="R65">
            <v>37.67</v>
          </cell>
          <cell r="S65">
            <v>1.51</v>
          </cell>
          <cell r="T65">
            <v>2.86</v>
          </cell>
          <cell r="U65" t="str">
            <v>26.53</v>
          </cell>
          <cell r="V65">
            <v>27.33</v>
          </cell>
          <cell r="W65">
            <v>3.01</v>
          </cell>
          <cell r="X65">
            <v>4.2699999999999996</v>
          </cell>
          <cell r="Y65" t="str">
            <v>55.81</v>
          </cell>
          <cell r="Z65">
            <v>54.87</v>
          </cell>
          <cell r="AA65">
            <v>1.68</v>
          </cell>
          <cell r="AB65">
            <v>0.36</v>
          </cell>
          <cell r="AC65" t="str">
            <v>3.75</v>
          </cell>
          <cell r="AD65">
            <v>3.81</v>
          </cell>
          <cell r="AE65">
            <v>1.6</v>
          </cell>
          <cell r="AF65">
            <v>0</v>
          </cell>
          <cell r="AG65" t="str">
            <v>3.26</v>
          </cell>
          <cell r="AH65">
            <v>3.48</v>
          </cell>
          <cell r="AI65">
            <v>6.74</v>
          </cell>
          <cell r="AJ65">
            <v>2.35</v>
          </cell>
          <cell r="AK65" t="str">
            <v>150.52</v>
          </cell>
          <cell r="AL65">
            <v>152.33000000000001</v>
          </cell>
          <cell r="AM65">
            <v>1.2</v>
          </cell>
          <cell r="AN65">
            <v>0.06</v>
          </cell>
        </row>
        <row r="66">
          <cell r="C66" t="str">
            <v>45553B</v>
          </cell>
          <cell r="D66" t="str">
            <v>13.26</v>
          </cell>
          <cell r="E66">
            <v>22.15</v>
          </cell>
          <cell r="F66">
            <v>67.040000000000006</v>
          </cell>
          <cell r="G66" t="str">
            <v>0.0</v>
          </cell>
          <cell r="H66">
            <v>13.13</v>
          </cell>
          <cell r="J66" t="str">
            <v>111.13</v>
          </cell>
          <cell r="K66">
            <v>84.47</v>
          </cell>
          <cell r="L66">
            <v>23.98</v>
          </cell>
          <cell r="M66" t="str">
            <v>8.07</v>
          </cell>
          <cell r="N66">
            <v>8</v>
          </cell>
          <cell r="O66">
            <v>0.86</v>
          </cell>
          <cell r="P66">
            <v>1.84</v>
          </cell>
          <cell r="Q66" t="str">
            <v>38.82</v>
          </cell>
          <cell r="R66">
            <v>39</v>
          </cell>
          <cell r="S66">
            <v>0.46</v>
          </cell>
          <cell r="T66">
            <v>0.56000000000000005</v>
          </cell>
          <cell r="U66" t="str">
            <v>26.59</v>
          </cell>
          <cell r="V66">
            <v>28.05</v>
          </cell>
          <cell r="W66">
            <v>5.49</v>
          </cell>
          <cell r="X66">
            <v>7.02</v>
          </cell>
          <cell r="Y66" t="str">
            <v>55.05</v>
          </cell>
          <cell r="Z66">
            <v>56.21</v>
          </cell>
          <cell r="AA66">
            <v>2.1</v>
          </cell>
          <cell r="AB66">
            <v>2.0699999999999998</v>
          </cell>
          <cell r="AC66" t="str">
            <v>3.78</v>
          </cell>
          <cell r="AD66">
            <v>3.95</v>
          </cell>
          <cell r="AE66">
            <v>4.49</v>
          </cell>
          <cell r="AF66">
            <v>3.67</v>
          </cell>
          <cell r="AG66" t="str">
            <v>3.35</v>
          </cell>
          <cell r="AH66">
            <v>3.57</v>
          </cell>
          <cell r="AI66">
            <v>6.56</v>
          </cell>
          <cell r="AJ66">
            <v>4.99</v>
          </cell>
          <cell r="AK66" t="str">
            <v>152.27</v>
          </cell>
          <cell r="AL66">
            <v>143</v>
          </cell>
          <cell r="AM66">
            <v>6.08</v>
          </cell>
          <cell r="AN66">
            <v>6.06</v>
          </cell>
        </row>
        <row r="67">
          <cell r="C67" t="str">
            <v>45553C</v>
          </cell>
          <cell r="D67" t="str">
            <v>11.38</v>
          </cell>
          <cell r="E67">
            <v>7.5</v>
          </cell>
          <cell r="F67">
            <v>34.090000000000003</v>
          </cell>
          <cell r="G67" t="str">
            <v>0.0</v>
          </cell>
          <cell r="H67">
            <v>8.8800000000000008</v>
          </cell>
          <cell r="J67" t="str">
            <v>111.09</v>
          </cell>
          <cell r="K67">
            <v>76.55</v>
          </cell>
          <cell r="L67">
            <v>31.09</v>
          </cell>
          <cell r="M67" t="str">
            <v>8.43</v>
          </cell>
          <cell r="N67">
            <v>8.6</v>
          </cell>
          <cell r="O67">
            <v>2.0099999999999998</v>
          </cell>
          <cell r="P67">
            <v>5.52</v>
          </cell>
          <cell r="Q67" t="str">
            <v>38.71</v>
          </cell>
          <cell r="R67">
            <v>39.43</v>
          </cell>
          <cell r="S67">
            <v>1.85</v>
          </cell>
          <cell r="T67">
            <v>1.67</v>
          </cell>
          <cell r="U67" t="str">
            <v>26.56</v>
          </cell>
          <cell r="V67">
            <v>27.38</v>
          </cell>
          <cell r="W67">
            <v>3.08</v>
          </cell>
          <cell r="X67">
            <v>4.46</v>
          </cell>
          <cell r="Y67" t="str">
            <v>56.1</v>
          </cell>
          <cell r="Z67">
            <v>56.21</v>
          </cell>
          <cell r="AA67">
            <v>0.19</v>
          </cell>
          <cell r="AB67">
            <v>2.0699999999999998</v>
          </cell>
          <cell r="AC67" t="str">
            <v>3.86</v>
          </cell>
          <cell r="AD67">
            <v>3.78</v>
          </cell>
          <cell r="AE67">
            <v>2.0699999999999998</v>
          </cell>
          <cell r="AF67">
            <v>0.78</v>
          </cell>
          <cell r="AG67" t="str">
            <v>3.42</v>
          </cell>
          <cell r="AH67">
            <v>3.65</v>
          </cell>
          <cell r="AI67">
            <v>6.72</v>
          </cell>
          <cell r="AJ67">
            <v>7.35</v>
          </cell>
          <cell r="AK67" t="str">
            <v>148.51</v>
          </cell>
          <cell r="AL67">
            <v>152.86000000000001</v>
          </cell>
          <cell r="AM67">
            <v>2.92</v>
          </cell>
          <cell r="AN67">
            <v>0.41</v>
          </cell>
        </row>
        <row r="68">
          <cell r="C68" t="str">
            <v>RMSE</v>
          </cell>
          <cell r="D68">
            <v>5.0999999999999996</v>
          </cell>
          <cell r="G68">
            <v>10.37</v>
          </cell>
          <cell r="J68">
            <v>22.32</v>
          </cell>
          <cell r="M68">
            <v>0.23</v>
          </cell>
          <cell r="Q68">
            <v>1.21</v>
          </cell>
          <cell r="U68">
            <v>0.93</v>
          </cell>
          <cell r="Y68">
            <v>0.84</v>
          </cell>
          <cell r="AC68">
            <v>0.14000000000000001</v>
          </cell>
          <cell r="AG68">
            <v>0.14000000000000001</v>
          </cell>
          <cell r="AK68">
            <v>6.27</v>
          </cell>
        </row>
        <row r="69">
          <cell r="C69" t="str">
            <v>Std. Dev</v>
          </cell>
          <cell r="D69">
            <v>2.98</v>
          </cell>
          <cell r="E69">
            <v>4.16</v>
          </cell>
          <cell r="G69">
            <v>6.22</v>
          </cell>
          <cell r="H69">
            <v>7.21</v>
          </cell>
          <cell r="J69">
            <v>14.77</v>
          </cell>
          <cell r="K69">
            <v>12.74</v>
          </cell>
          <cell r="M69">
            <v>0.24</v>
          </cell>
          <cell r="N69">
            <v>0.27</v>
          </cell>
          <cell r="Q69">
            <v>0.18</v>
          </cell>
          <cell r="R69">
            <v>1.17</v>
          </cell>
          <cell r="U69">
            <v>0.22</v>
          </cell>
          <cell r="V69">
            <v>0.89</v>
          </cell>
          <cell r="Y69">
            <v>0.75</v>
          </cell>
          <cell r="Z69">
            <v>0.94</v>
          </cell>
          <cell r="AC69">
            <v>0.18</v>
          </cell>
          <cell r="AD69">
            <v>0.22</v>
          </cell>
          <cell r="AG69">
            <v>7.0000000000000007E-2</v>
          </cell>
          <cell r="AH69">
            <v>0.15</v>
          </cell>
          <cell r="AK69">
            <v>2.4700000000000002</v>
          </cell>
          <cell r="AL69">
            <v>5.74</v>
          </cell>
        </row>
      </sheetData>
      <sheetData sheetId="3">
        <row r="1">
          <cell r="A1" t="str">
            <v>45555B</v>
          </cell>
          <cell r="B1">
            <v>5</v>
          </cell>
          <cell r="C1">
            <v>5.15</v>
          </cell>
        </row>
        <row r="2">
          <cell r="A2" t="str">
            <v>45555A</v>
          </cell>
          <cell r="B2">
            <v>8.99</v>
          </cell>
          <cell r="C2">
            <v>8.1</v>
          </cell>
        </row>
        <row r="3">
          <cell r="A3" t="str">
            <v>45554B</v>
          </cell>
          <cell r="B3">
            <v>14.43</v>
          </cell>
          <cell r="C3">
            <v>13.63</v>
          </cell>
        </row>
        <row r="4">
          <cell r="A4" t="str">
            <v>45554A</v>
          </cell>
          <cell r="B4">
            <v>11.03</v>
          </cell>
          <cell r="C4">
            <v>12.1</v>
          </cell>
        </row>
        <row r="5">
          <cell r="A5" t="str">
            <v>45553B</v>
          </cell>
          <cell r="B5">
            <v>7.48</v>
          </cell>
          <cell r="C5">
            <v>7.56</v>
          </cell>
        </row>
        <row r="6">
          <cell r="A6" t="str">
            <v>45553A</v>
          </cell>
          <cell r="B6">
            <v>25</v>
          </cell>
          <cell r="C6">
            <v>25.85</v>
          </cell>
        </row>
        <row r="7">
          <cell r="A7" t="str">
            <v>45552B</v>
          </cell>
          <cell r="B7">
            <v>18</v>
          </cell>
          <cell r="C7">
            <v>18.72</v>
          </cell>
        </row>
        <row r="8">
          <cell r="A8" t="str">
            <v>45552A</v>
          </cell>
          <cell r="B8">
            <v>13.39</v>
          </cell>
          <cell r="C8">
            <v>14.55</v>
          </cell>
        </row>
        <row r="9">
          <cell r="A9" t="str">
            <v>45551B</v>
          </cell>
          <cell r="B9">
            <v>7.35</v>
          </cell>
          <cell r="C9">
            <v>7.98</v>
          </cell>
        </row>
        <row r="10">
          <cell r="A10" t="str">
            <v>45551A</v>
          </cell>
          <cell r="B10">
            <v>16.239999999999998</v>
          </cell>
          <cell r="C10">
            <v>15.88</v>
          </cell>
        </row>
        <row r="11">
          <cell r="A11" t="str">
            <v>45549B</v>
          </cell>
          <cell r="B11">
            <v>21.21</v>
          </cell>
          <cell r="C11">
            <v>22.16</v>
          </cell>
        </row>
        <row r="12">
          <cell r="A12" t="str">
            <v>45549A</v>
          </cell>
          <cell r="B12">
            <v>22.73</v>
          </cell>
          <cell r="C12">
            <v>23.31</v>
          </cell>
        </row>
        <row r="13">
          <cell r="A13" t="str">
            <v>45548B</v>
          </cell>
          <cell r="B13">
            <v>12.3</v>
          </cell>
          <cell r="C13">
            <v>13.68</v>
          </cell>
        </row>
        <row r="14">
          <cell r="A14" t="str">
            <v>45548A</v>
          </cell>
          <cell r="B14">
            <v>13.49</v>
          </cell>
          <cell r="C14">
            <v>14.4</v>
          </cell>
        </row>
        <row r="15">
          <cell r="A15" t="str">
            <v>45547B</v>
          </cell>
          <cell r="B15">
            <v>7</v>
          </cell>
          <cell r="C15">
            <v>7.75</v>
          </cell>
        </row>
        <row r="16">
          <cell r="A16" t="str">
            <v>45547A</v>
          </cell>
          <cell r="B16">
            <v>13.68</v>
          </cell>
          <cell r="C16">
            <v>12.68</v>
          </cell>
        </row>
        <row r="17">
          <cell r="A17" t="str">
            <v>45544B</v>
          </cell>
          <cell r="B17">
            <v>7</v>
          </cell>
          <cell r="C17">
            <v>12.95</v>
          </cell>
        </row>
        <row r="18">
          <cell r="A18" t="str">
            <v>45544A</v>
          </cell>
          <cell r="B18">
            <v>19.739999999999998</v>
          </cell>
          <cell r="C18">
            <v>20.05</v>
          </cell>
        </row>
        <row r="19">
          <cell r="A19" t="str">
            <v>45541B</v>
          </cell>
          <cell r="B19">
            <v>16.28</v>
          </cell>
          <cell r="C19">
            <v>16.7</v>
          </cell>
        </row>
        <row r="20">
          <cell r="A20" t="str">
            <v>45541A</v>
          </cell>
          <cell r="B20">
            <v>11.87</v>
          </cell>
          <cell r="C20">
            <v>12.17</v>
          </cell>
        </row>
        <row r="21">
          <cell r="A21" t="str">
            <v>45540B</v>
          </cell>
          <cell r="B21">
            <v>10.14</v>
          </cell>
          <cell r="C21">
            <v>11.37</v>
          </cell>
        </row>
        <row r="22">
          <cell r="A22" t="str">
            <v>45540A</v>
          </cell>
          <cell r="B22">
            <v>15.97</v>
          </cell>
          <cell r="C22">
            <v>15.74</v>
          </cell>
        </row>
        <row r="23">
          <cell r="A23" t="str">
            <v>45539B</v>
          </cell>
          <cell r="B23">
            <v>14.06</v>
          </cell>
          <cell r="C23">
            <v>14.5</v>
          </cell>
        </row>
        <row r="24">
          <cell r="A24" t="str">
            <v>45539A</v>
          </cell>
          <cell r="B24">
            <v>20.32</v>
          </cell>
          <cell r="C24">
            <v>19.989999999999998</v>
          </cell>
        </row>
        <row r="25">
          <cell r="A25" t="str">
            <v>45538B</v>
          </cell>
          <cell r="B25">
            <v>15.82</v>
          </cell>
          <cell r="C25">
            <v>16.79</v>
          </cell>
        </row>
        <row r="26">
          <cell r="A26" t="str">
            <v>45538A</v>
          </cell>
          <cell r="B26">
            <v>21.51</v>
          </cell>
          <cell r="C26">
            <v>20.84</v>
          </cell>
        </row>
        <row r="27">
          <cell r="A27" t="str">
            <v>45533B</v>
          </cell>
          <cell r="B27">
            <v>14.65</v>
          </cell>
          <cell r="C27">
            <v>14.69</v>
          </cell>
        </row>
        <row r="28">
          <cell r="A28" t="str">
            <v>45533A</v>
          </cell>
          <cell r="B28">
            <v>9.4600000000000009</v>
          </cell>
          <cell r="C28">
            <v>10.19</v>
          </cell>
        </row>
        <row r="29">
          <cell r="A29" t="str">
            <v>45532B</v>
          </cell>
          <cell r="B29">
            <v>14.04</v>
          </cell>
          <cell r="C29">
            <v>14.23</v>
          </cell>
        </row>
        <row r="30">
          <cell r="A30" t="str">
            <v>45532A</v>
          </cell>
          <cell r="B30">
            <v>20.399999999999999</v>
          </cell>
          <cell r="C30">
            <v>20.02</v>
          </cell>
        </row>
        <row r="31">
          <cell r="A31" t="str">
            <v>45531B</v>
          </cell>
          <cell r="B31">
            <v>10.42</v>
          </cell>
          <cell r="C31">
            <v>13.37</v>
          </cell>
        </row>
        <row r="32">
          <cell r="A32" t="str">
            <v>45531A</v>
          </cell>
          <cell r="B32">
            <v>15.34</v>
          </cell>
          <cell r="C32">
            <v>16.5</v>
          </cell>
        </row>
        <row r="33">
          <cell r="A33" t="str">
            <v>45530B</v>
          </cell>
          <cell r="B33">
            <v>8.6</v>
          </cell>
          <cell r="C33">
            <v>9.3800000000000008</v>
          </cell>
        </row>
        <row r="34">
          <cell r="A34" t="str">
            <v>45530A</v>
          </cell>
          <cell r="B34">
            <v>18.989999999999998</v>
          </cell>
          <cell r="C34">
            <v>17.43</v>
          </cell>
        </row>
        <row r="35">
          <cell r="A35" t="str">
            <v>45526B</v>
          </cell>
          <cell r="B35">
            <v>17.32</v>
          </cell>
          <cell r="C35">
            <v>17.5</v>
          </cell>
        </row>
        <row r="36">
          <cell r="A36" t="str">
            <v>45526A</v>
          </cell>
          <cell r="B36">
            <v>17.88</v>
          </cell>
          <cell r="C36">
            <v>20.72</v>
          </cell>
        </row>
        <row r="37">
          <cell r="A37" t="str">
            <v>45525B</v>
          </cell>
          <cell r="B37">
            <v>14.13</v>
          </cell>
          <cell r="C37">
            <v>16.170000000000002</v>
          </cell>
        </row>
        <row r="38">
          <cell r="A38" t="str">
            <v>45525A</v>
          </cell>
          <cell r="B38">
            <v>22.68</v>
          </cell>
          <cell r="C38">
            <v>23.05</v>
          </cell>
        </row>
        <row r="39">
          <cell r="A39" t="str">
            <v>45524B</v>
          </cell>
          <cell r="B39">
            <v>13.94</v>
          </cell>
          <cell r="C39">
            <v>13.91</v>
          </cell>
        </row>
        <row r="40">
          <cell r="A40" t="str">
            <v>45524A</v>
          </cell>
          <cell r="B40">
            <v>13.72</v>
          </cell>
          <cell r="C40">
            <v>13.73</v>
          </cell>
        </row>
        <row r="41">
          <cell r="A41" t="str">
            <v>45523B</v>
          </cell>
          <cell r="B41">
            <v>10.5</v>
          </cell>
          <cell r="C41">
            <v>10.97</v>
          </cell>
        </row>
        <row r="42">
          <cell r="A42" t="str">
            <v>45523A</v>
          </cell>
          <cell r="B42">
            <v>14.66</v>
          </cell>
          <cell r="C42">
            <v>15.1</v>
          </cell>
        </row>
        <row r="43">
          <cell r="A43" t="str">
            <v>45520B</v>
          </cell>
          <cell r="B43">
            <v>15.72</v>
          </cell>
          <cell r="C43">
            <v>16.93</v>
          </cell>
        </row>
        <row r="44">
          <cell r="A44" t="str">
            <v>45520A</v>
          </cell>
          <cell r="B44">
            <v>22.77</v>
          </cell>
          <cell r="C44">
            <v>20.83</v>
          </cell>
        </row>
        <row r="45">
          <cell r="A45" t="str">
            <v>45519B</v>
          </cell>
          <cell r="B45">
            <v>16.97</v>
          </cell>
          <cell r="C45">
            <v>15.81</v>
          </cell>
        </row>
        <row r="46">
          <cell r="A46" t="str">
            <v>45519A</v>
          </cell>
          <cell r="B46">
            <v>14.26</v>
          </cell>
          <cell r="C46">
            <v>15.33</v>
          </cell>
        </row>
        <row r="47">
          <cell r="A47" t="str">
            <v>RMSE</v>
          </cell>
          <cell r="B47">
            <v>1.36</v>
          </cell>
        </row>
        <row r="48">
          <cell r="A48" t="str">
            <v>Std.Dev</v>
          </cell>
          <cell r="B48">
            <v>4.82</v>
          </cell>
          <cell r="C48">
            <v>4.57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341"/>
  <sheetViews>
    <sheetView tabSelected="1" topLeftCell="M1" zoomScaleNormal="100" workbookViewId="0">
      <pane ySplit="6" topLeftCell="A253" activePane="bottomLeft" state="frozen"/>
      <selection pane="bottomLeft" activeCell="U258" sqref="U258"/>
    </sheetView>
  </sheetViews>
  <sheetFormatPr defaultRowHeight="14.4" x14ac:dyDescent="0.3"/>
  <cols>
    <col min="1" max="1" width="10.33203125" style="1" bestFit="1" customWidth="1"/>
    <col min="2" max="3" width="12" bestFit="1" customWidth="1"/>
    <col min="4" max="4" width="12.88671875" bestFit="1" customWidth="1"/>
    <col min="5" max="9" width="12" bestFit="1" customWidth="1"/>
    <col min="10" max="10" width="15.77734375" bestFit="1" customWidth="1"/>
    <col min="11" max="11" width="14.6640625" bestFit="1" customWidth="1"/>
    <col min="12" max="12" width="15.44140625" bestFit="1" customWidth="1"/>
    <col min="13" max="13" width="21.5546875" bestFit="1" customWidth="1"/>
    <col min="14" max="14" width="26.5546875" hidden="1" customWidth="1"/>
    <col min="15" max="15" width="7.88671875" customWidth="1"/>
    <col min="16" max="16" width="2.5546875" customWidth="1"/>
    <col min="17" max="18" width="12" bestFit="1" customWidth="1"/>
    <col min="19" max="19" width="22.5546875" bestFit="1" customWidth="1"/>
    <col min="20" max="20" width="19" bestFit="1" customWidth="1"/>
    <col min="21" max="21" width="20" bestFit="1" customWidth="1"/>
    <col min="24" max="24" width="13.44140625" customWidth="1"/>
    <col min="25" max="25" width="16.33203125" customWidth="1"/>
  </cols>
  <sheetData>
    <row r="1" spans="1:46" x14ac:dyDescent="0.3">
      <c r="A1" s="15"/>
      <c r="B1" s="2" t="s">
        <v>23</v>
      </c>
      <c r="C1" s="2">
        <v>8.15</v>
      </c>
      <c r="D1" s="2">
        <v>38.78</v>
      </c>
      <c r="E1" s="2">
        <v>26.21</v>
      </c>
      <c r="F1" s="2">
        <v>55.07</v>
      </c>
      <c r="G1" s="2">
        <v>3.81</v>
      </c>
      <c r="H1" s="2">
        <v>3.4</v>
      </c>
      <c r="I1" s="2">
        <v>152.22999999999999</v>
      </c>
      <c r="J1" s="2"/>
      <c r="K1" s="2" t="s">
        <v>27</v>
      </c>
      <c r="L1" s="2" t="s">
        <v>28</v>
      </c>
      <c r="M1" s="2">
        <v>33682.94</v>
      </c>
      <c r="N1" s="2"/>
      <c r="O1" s="2" t="s">
        <v>29</v>
      </c>
      <c r="P1" s="2" t="s">
        <v>28</v>
      </c>
      <c r="Q1" s="2">
        <v>9.23</v>
      </c>
      <c r="R1" s="2"/>
      <c r="S1" s="2" t="s">
        <v>30</v>
      </c>
      <c r="T1" s="2">
        <v>-3</v>
      </c>
      <c r="U1" s="2"/>
      <c r="V1" s="2"/>
      <c r="W1" s="2"/>
      <c r="X1" s="2"/>
      <c r="Y1" s="2" t="s">
        <v>31</v>
      </c>
      <c r="Z1" s="2">
        <v>8000</v>
      </c>
      <c r="AA1" s="2"/>
      <c r="AB1" s="2" t="s">
        <v>28</v>
      </c>
      <c r="AC1" s="2">
        <v>20</v>
      </c>
    </row>
    <row r="2" spans="1:46" x14ac:dyDescent="0.3">
      <c r="A2" s="15"/>
      <c r="B2" s="2" t="s">
        <v>24</v>
      </c>
      <c r="C2" s="2">
        <v>0.5</v>
      </c>
      <c r="D2" s="2">
        <v>9999</v>
      </c>
      <c r="E2" s="2">
        <v>0.6</v>
      </c>
      <c r="F2" s="2">
        <v>2.9000000000000001E-2</v>
      </c>
      <c r="G2" s="2">
        <v>0.1</v>
      </c>
      <c r="H2" s="2">
        <v>-0.01</v>
      </c>
      <c r="I2" s="2">
        <v>3.6</v>
      </c>
      <c r="J2" s="2"/>
      <c r="K2" s="2"/>
      <c r="L2" s="2" t="s">
        <v>32</v>
      </c>
      <c r="M2" s="2">
        <v>8000</v>
      </c>
      <c r="N2" s="2"/>
      <c r="O2" s="2"/>
      <c r="P2" s="2" t="s">
        <v>33</v>
      </c>
      <c r="Q2" s="2">
        <v>-0.5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46" x14ac:dyDescent="0.3">
      <c r="A3" s="15"/>
      <c r="B3" s="2" t="s">
        <v>25</v>
      </c>
      <c r="C3" s="2">
        <v>0.1</v>
      </c>
      <c r="D3" s="2">
        <v>0</v>
      </c>
      <c r="E3" s="2">
        <v>0.5</v>
      </c>
      <c r="F3" s="2">
        <v>0.05</v>
      </c>
      <c r="G3" s="2">
        <v>0.3</v>
      </c>
      <c r="H3" s="2">
        <v>0.05</v>
      </c>
      <c r="I3" s="2">
        <v>0</v>
      </c>
      <c r="J3" s="2">
        <f>SUM(C3:I3)</f>
        <v>1</v>
      </c>
      <c r="K3" s="2"/>
      <c r="L3" s="2"/>
      <c r="M3" s="2"/>
      <c r="N3" s="2"/>
      <c r="O3" s="2"/>
      <c r="P3" s="2"/>
      <c r="Q3" s="2"/>
      <c r="R3" s="2"/>
      <c r="S3" s="2"/>
      <c r="T3" s="2">
        <v>20</v>
      </c>
      <c r="U3" s="2"/>
      <c r="V3" s="2"/>
      <c r="W3" s="2"/>
      <c r="X3" s="2"/>
      <c r="Y3" s="2"/>
      <c r="Z3" s="2"/>
      <c r="AA3" s="2"/>
      <c r="AB3" s="2"/>
      <c r="AC3" s="2"/>
    </row>
    <row r="4" spans="1:46" x14ac:dyDescent="0.3">
      <c r="A4" s="15"/>
      <c r="B4" s="2" t="s">
        <v>26</v>
      </c>
      <c r="C4" s="2">
        <f>CORREL(C7:C338,$T7:$T338)</f>
        <v>-0.5877500857210477</v>
      </c>
      <c r="D4" s="2">
        <f t="shared" ref="D4:I4" si="0">CORREL(D7:D338,$T7:$T338)</f>
        <v>-0.14524583542043579</v>
      </c>
      <c r="E4" s="2">
        <f t="shared" si="0"/>
        <v>-0.33749774927483966</v>
      </c>
      <c r="F4" s="2">
        <f t="shared" si="0"/>
        <v>-1.6225294731124901E-2</v>
      </c>
      <c r="G4" s="2">
        <f t="shared" si="0"/>
        <v>-0.48724646520496795</v>
      </c>
      <c r="H4" s="2">
        <f t="shared" si="0"/>
        <v>-0.66406421810334437</v>
      </c>
      <c r="I4" s="2">
        <f t="shared" si="0"/>
        <v>0.30179988355986387</v>
      </c>
      <c r="J4" s="2"/>
      <c r="K4" s="2">
        <f>CORREL(Q7:Q67,$T7:$T67)</f>
        <v>0.75726978973789705</v>
      </c>
      <c r="L4" s="2"/>
      <c r="M4" s="2"/>
      <c r="N4" s="2"/>
      <c r="O4" s="2">
        <f>CORREL(N7:N338,$T7:$T338)</f>
        <v>-0.39784540807913604</v>
      </c>
      <c r="P4" s="2"/>
      <c r="Q4" s="2"/>
      <c r="R4" s="2"/>
      <c r="S4" s="2"/>
      <c r="T4" s="2"/>
      <c r="U4" s="2">
        <v>3</v>
      </c>
      <c r="V4" s="2"/>
      <c r="W4" s="2"/>
      <c r="X4" s="2"/>
      <c r="Y4" s="2"/>
      <c r="Z4" s="2">
        <v>12</v>
      </c>
      <c r="AA4" s="2">
        <v>20</v>
      </c>
      <c r="AB4" s="2">
        <v>32</v>
      </c>
      <c r="AC4" s="2">
        <v>28</v>
      </c>
    </row>
    <row r="5" spans="1:46" x14ac:dyDescent="0.3">
      <c r="A5" s="15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19"/>
      <c r="Y5" s="19"/>
      <c r="Z5" s="2"/>
      <c r="AA5" s="2"/>
      <c r="AB5" s="2"/>
      <c r="AC5" s="2"/>
    </row>
    <row r="6" spans="1:46" x14ac:dyDescent="0.3">
      <c r="A6" s="16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3" t="s">
        <v>18</v>
      </c>
      <c r="T6" s="23" t="s">
        <v>34</v>
      </c>
      <c r="U6" s="3" t="s">
        <v>35</v>
      </c>
      <c r="V6" s="3" t="s">
        <v>36</v>
      </c>
      <c r="W6" s="3" t="s">
        <v>37</v>
      </c>
      <c r="X6" s="3" t="s">
        <v>38</v>
      </c>
      <c r="Y6" s="3" t="s">
        <v>39</v>
      </c>
      <c r="Z6" s="3" t="s">
        <v>40</v>
      </c>
      <c r="AA6" s="3" t="s">
        <v>41</v>
      </c>
      <c r="AB6" s="3" t="s">
        <v>42</v>
      </c>
      <c r="AC6" s="3" t="s">
        <v>43</v>
      </c>
      <c r="AG6" s="3" t="s">
        <v>2</v>
      </c>
      <c r="AH6" s="3" t="s">
        <v>3</v>
      </c>
      <c r="AI6" s="3" t="s">
        <v>4</v>
      </c>
      <c r="AJ6" s="3" t="s">
        <v>5</v>
      </c>
      <c r="AK6" s="3" t="s">
        <v>6</v>
      </c>
      <c r="AL6" s="3" t="s">
        <v>7</v>
      </c>
      <c r="AM6" s="3" t="s">
        <v>8</v>
      </c>
      <c r="AN6" s="3" t="s">
        <v>16</v>
      </c>
      <c r="AO6" s="3" t="s">
        <v>9</v>
      </c>
      <c r="AQ6" s="4" t="s">
        <v>36</v>
      </c>
      <c r="AR6" s="4" t="s">
        <v>37</v>
      </c>
      <c r="AT6" s="5" t="s">
        <v>44</v>
      </c>
    </row>
    <row r="7" spans="1:46" hidden="1" x14ac:dyDescent="0.3">
      <c r="A7" s="17">
        <v>45413</v>
      </c>
      <c r="B7" s="18" t="s">
        <v>19</v>
      </c>
      <c r="C7" s="6">
        <v>7.85</v>
      </c>
      <c r="D7" s="6">
        <v>38.6</v>
      </c>
      <c r="E7" s="6">
        <v>26.2</v>
      </c>
      <c r="F7" s="6">
        <v>52.64</v>
      </c>
      <c r="G7" s="6">
        <v>3.82</v>
      </c>
      <c r="H7" s="6">
        <v>3.2919999999999998</v>
      </c>
      <c r="I7" s="6">
        <v>150.19999999999999</v>
      </c>
      <c r="J7" s="6">
        <v>10.559848072435351</v>
      </c>
      <c r="K7" s="6">
        <v>2.215577532098376E-3</v>
      </c>
      <c r="L7" s="6">
        <v>2.3396162131660111E-2</v>
      </c>
      <c r="M7" s="6">
        <v>13.25943937578386</v>
      </c>
      <c r="N7" s="6">
        <v>2.58792703374695E-3</v>
      </c>
      <c r="O7" s="6">
        <v>5225</v>
      </c>
      <c r="P7" s="6">
        <v>97.237038925172882</v>
      </c>
      <c r="Q7" s="6">
        <v>6592.3600000000006</v>
      </c>
      <c r="R7" s="6">
        <v>0</v>
      </c>
      <c r="S7" s="6">
        <v>19.667411373429339</v>
      </c>
      <c r="T7" s="6">
        <f>AVERAGE(AQ7:AR7)</f>
        <v>5.8065816504533903</v>
      </c>
      <c r="U7" s="6" t="e">
        <f t="shared" ref="U7:U70" si="1">VLOOKUP($AT7,ggg,U$4,0)</f>
        <v>#N/A</v>
      </c>
      <c r="V7" s="6">
        <f>M7+SUM(AG7:AO7)+$T$1+R7/$Z$1</f>
        <v>7.901409236660287</v>
      </c>
      <c r="W7" s="6">
        <f>M7+SUM(AG7:AO7)+$T$1+R7/$Z$1-AJ7-AM7</f>
        <v>3.7117540642464943</v>
      </c>
      <c r="X7" s="6" t="e">
        <f>VLOOKUP($AT7,jjjj,3,0)</f>
        <v>#N/A</v>
      </c>
      <c r="Y7" s="6" t="e">
        <f t="shared" ref="Y7:AC16" si="2">VLOOKUP($AT7,hhh,3,0)</f>
        <v>#N/A</v>
      </c>
      <c r="Z7" s="6" t="e">
        <f t="shared" si="2"/>
        <v>#N/A</v>
      </c>
      <c r="AA7" s="6" t="e">
        <f t="shared" si="2"/>
        <v>#N/A</v>
      </c>
      <c r="AB7" s="6" t="e">
        <f t="shared" si="2"/>
        <v>#N/A</v>
      </c>
      <c r="AC7" s="6" t="e">
        <f t="shared" si="2"/>
        <v>#N/A</v>
      </c>
      <c r="AG7">
        <f t="shared" ref="AG7:AM38" si="3">C$3*(C$1-C7)/C$2</f>
        <v>6.0000000000000143E-2</v>
      </c>
      <c r="AH7">
        <f t="shared" si="3"/>
        <v>0</v>
      </c>
      <c r="AI7">
        <f t="shared" si="3"/>
        <v>8.333333333334636E-3</v>
      </c>
      <c r="AJ7">
        <f t="shared" si="3"/>
        <v>4.1896551724137927</v>
      </c>
      <c r="AK7">
        <f t="shared" si="3"/>
        <v>-2.9999999999999357E-2</v>
      </c>
      <c r="AL7">
        <f t="shared" si="3"/>
        <v>-0.54000000000000059</v>
      </c>
      <c r="AM7">
        <f t="shared" si="3"/>
        <v>0</v>
      </c>
      <c r="AN7">
        <f>(Q7-$M$1)/$M$2</f>
        <v>-3.3863225000000003</v>
      </c>
      <c r="AO7">
        <f>(J7-$Q$1)/$Q$2</f>
        <v>-2.6596961448707006</v>
      </c>
      <c r="AQ7">
        <f>M7+SUM(AG7:AO7)+$T$1+R7/$Z$1</f>
        <v>7.901409236660287</v>
      </c>
      <c r="AR7">
        <f>M7+SUM(AG7:AO7)+$T$1+R7/$Z$1-AJ7-AM7</f>
        <v>3.7117540642464943</v>
      </c>
      <c r="AT7" t="str">
        <f>A7&amp;B7</f>
        <v>45413B</v>
      </c>
    </row>
    <row r="8" spans="1:46" hidden="1" x14ac:dyDescent="0.3">
      <c r="A8" s="17">
        <v>45413</v>
      </c>
      <c r="B8" s="18" t="s">
        <v>20</v>
      </c>
      <c r="C8" s="6">
        <v>8.0249999999999986</v>
      </c>
      <c r="D8" s="6">
        <v>38.1</v>
      </c>
      <c r="E8" s="6">
        <v>26.49</v>
      </c>
      <c r="F8" s="6">
        <v>56.5</v>
      </c>
      <c r="G8" s="6">
        <v>3.94</v>
      </c>
      <c r="H8" s="6">
        <v>3.3180000000000001</v>
      </c>
      <c r="I8" s="6">
        <v>150.19999999999999</v>
      </c>
      <c r="J8" s="6">
        <v>10.253561988347389</v>
      </c>
      <c r="K8" s="6">
        <v>3.7037261023012999E-3</v>
      </c>
      <c r="L8" s="6">
        <v>3.7976385177806653E-2</v>
      </c>
      <c r="M8" s="6">
        <v>22.164112893077711</v>
      </c>
      <c r="N8" s="6">
        <v>1.6949935081612411</v>
      </c>
      <c r="O8" s="6">
        <v>5225</v>
      </c>
      <c r="P8" s="6">
        <v>95.866301061345908</v>
      </c>
      <c r="Q8" s="6">
        <v>16927.48</v>
      </c>
      <c r="R8" s="6">
        <v>0</v>
      </c>
      <c r="S8" s="6">
        <v>17.75411406743817</v>
      </c>
      <c r="T8" s="6">
        <f t="shared" ref="T8:T67" si="4">AVERAGE(AQ8:AR8)</f>
        <v>12.781464462359947</v>
      </c>
      <c r="U8" s="6" t="e">
        <f t="shared" si="1"/>
        <v>#N/A</v>
      </c>
      <c r="V8" s="6">
        <f t="shared" ref="V8:V67" si="5">M8+SUM(AG8:AO8)+$T$1+R8/$Z$1</f>
        <v>11.548705841670293</v>
      </c>
      <c r="W8" s="6">
        <f t="shared" ref="W8:W67" si="6">M8+SUM(AG8:AO8)+$T$1+R8/$Z$1-AJ8-AM8</f>
        <v>14.014223083049602</v>
      </c>
      <c r="X8" s="6" t="e">
        <f t="shared" ref="X8:X71" si="7">VLOOKUP($AT8,hhh,3,0)</f>
        <v>#N/A</v>
      </c>
      <c r="Y8" s="6" t="e">
        <f t="shared" si="2"/>
        <v>#N/A</v>
      </c>
      <c r="Z8" s="6" t="e">
        <f t="shared" si="2"/>
        <v>#N/A</v>
      </c>
      <c r="AA8" s="6" t="e">
        <f t="shared" si="2"/>
        <v>#N/A</v>
      </c>
      <c r="AB8" s="6" t="e">
        <f t="shared" si="2"/>
        <v>#N/A</v>
      </c>
      <c r="AC8" s="6" t="e">
        <f t="shared" si="2"/>
        <v>#N/A</v>
      </c>
      <c r="AG8">
        <f t="shared" si="3"/>
        <v>2.5000000000000355E-2</v>
      </c>
      <c r="AH8">
        <f t="shared" si="3"/>
        <v>0</v>
      </c>
      <c r="AI8">
        <f t="shared" si="3"/>
        <v>-0.23333333333333134</v>
      </c>
      <c r="AJ8">
        <f t="shared" si="3"/>
        <v>-2.4655172413793101</v>
      </c>
      <c r="AK8">
        <f t="shared" si="3"/>
        <v>-0.38999999999999962</v>
      </c>
      <c r="AL8">
        <f t="shared" si="3"/>
        <v>-0.40999999999999925</v>
      </c>
      <c r="AM8">
        <f t="shared" si="3"/>
        <v>0</v>
      </c>
      <c r="AN8">
        <f t="shared" ref="AN8:AN67" si="8">(Q8-$M$1)/$M$2</f>
        <v>-2.0944325000000004</v>
      </c>
      <c r="AO8">
        <f t="shared" ref="AO8:AO67" si="9">(J8-$Q$1)/$Q$2</f>
        <v>-2.0471239766947775</v>
      </c>
      <c r="AQ8">
        <f t="shared" ref="AQ8:AQ67" si="10">M8+SUM(AG8:AO8)+$T$1+R8/$Z$1</f>
        <v>11.548705841670293</v>
      </c>
      <c r="AR8">
        <f t="shared" ref="AR8:AR67" si="11">M8+SUM(AG8:AO8)+$T$1+R8/$Z$1-AJ8-AM8</f>
        <v>14.014223083049602</v>
      </c>
      <c r="AT8" t="str">
        <f t="shared" ref="AT8:AT67" si="12">A8&amp;B8</f>
        <v>45413C</v>
      </c>
    </row>
    <row r="9" spans="1:46" hidden="1" x14ac:dyDescent="0.3">
      <c r="A9" s="17">
        <v>45413</v>
      </c>
      <c r="B9" s="18" t="s">
        <v>21</v>
      </c>
      <c r="C9" s="6">
        <v>8.125</v>
      </c>
      <c r="D9" s="6">
        <v>37.9</v>
      </c>
      <c r="E9" s="6">
        <v>26.4</v>
      </c>
      <c r="F9" s="6">
        <v>56.5</v>
      </c>
      <c r="G9" s="6">
        <v>3.94</v>
      </c>
      <c r="H9" s="6">
        <v>3.3260000000000001</v>
      </c>
      <c r="I9" s="6">
        <v>153</v>
      </c>
      <c r="J9" s="6">
        <v>9.7812153685243963</v>
      </c>
      <c r="K9" s="6">
        <v>5.3457017962002936E-3</v>
      </c>
      <c r="L9" s="6">
        <v>5.2287460564542781E-2</v>
      </c>
      <c r="M9" s="6">
        <v>21.236994167416508</v>
      </c>
      <c r="N9" s="6">
        <v>8.9981181632112897E-2</v>
      </c>
      <c r="O9" s="6">
        <v>5225</v>
      </c>
      <c r="P9" s="6">
        <v>85.707796618957218</v>
      </c>
      <c r="Q9" s="6">
        <v>25642.670503597121</v>
      </c>
      <c r="R9" s="6">
        <v>0</v>
      </c>
      <c r="S9" s="6">
        <v>16.71432547588774</v>
      </c>
      <c r="T9" s="6">
        <f t="shared" si="4"/>
        <v>13.983437789294371</v>
      </c>
      <c r="U9" s="6" t="e">
        <f t="shared" si="1"/>
        <v>#N/A</v>
      </c>
      <c r="V9" s="6">
        <f t="shared" si="5"/>
        <v>12.750679168604716</v>
      </c>
      <c r="W9" s="6">
        <f t="shared" si="6"/>
        <v>15.216196409984025</v>
      </c>
      <c r="X9" s="6" t="e">
        <f t="shared" si="7"/>
        <v>#N/A</v>
      </c>
      <c r="Y9" s="6" t="e">
        <f t="shared" si="2"/>
        <v>#N/A</v>
      </c>
      <c r="Z9" s="6" t="e">
        <f t="shared" si="2"/>
        <v>#N/A</v>
      </c>
      <c r="AA9" s="6" t="e">
        <f t="shared" si="2"/>
        <v>#N/A</v>
      </c>
      <c r="AB9" s="6" t="e">
        <f t="shared" si="2"/>
        <v>#N/A</v>
      </c>
      <c r="AC9" s="6" t="e">
        <f t="shared" si="2"/>
        <v>#N/A</v>
      </c>
      <c r="AG9">
        <f t="shared" si="3"/>
        <v>5.0000000000000712E-3</v>
      </c>
      <c r="AH9">
        <f t="shared" si="3"/>
        <v>0</v>
      </c>
      <c r="AI9">
        <f t="shared" si="3"/>
        <v>-0.15833333333333144</v>
      </c>
      <c r="AJ9">
        <f t="shared" si="3"/>
        <v>-2.4655172413793101</v>
      </c>
      <c r="AK9">
        <f t="shared" si="3"/>
        <v>-0.38999999999999962</v>
      </c>
      <c r="AL9">
        <f t="shared" si="3"/>
        <v>-0.36999999999999922</v>
      </c>
      <c r="AM9">
        <f t="shared" si="3"/>
        <v>0</v>
      </c>
      <c r="AN9">
        <f t="shared" si="8"/>
        <v>-1.0050336870503602</v>
      </c>
      <c r="AO9">
        <f t="shared" si="9"/>
        <v>-1.1024307370487918</v>
      </c>
      <c r="AQ9">
        <f t="shared" si="10"/>
        <v>12.750679168604716</v>
      </c>
      <c r="AR9">
        <f t="shared" si="11"/>
        <v>15.216196409984025</v>
      </c>
      <c r="AT9" t="str">
        <f t="shared" si="12"/>
        <v>45413D</v>
      </c>
    </row>
    <row r="10" spans="1:46" hidden="1" x14ac:dyDescent="0.3">
      <c r="A10" s="17">
        <v>45414</v>
      </c>
      <c r="B10" s="18" t="s">
        <v>22</v>
      </c>
      <c r="C10" s="6">
        <v>8.4124999999999996</v>
      </c>
      <c r="D10" s="6">
        <v>38.25</v>
      </c>
      <c r="E10" s="6">
        <v>26.478750000000002</v>
      </c>
      <c r="F10" s="6">
        <v>56.5</v>
      </c>
      <c r="G10" s="6">
        <v>4.03</v>
      </c>
      <c r="H10" s="6">
        <v>3.335</v>
      </c>
      <c r="I10" s="6">
        <v>154.5</v>
      </c>
      <c r="J10" s="6">
        <v>9.3277266793292455</v>
      </c>
      <c r="K10" s="6">
        <v>1.8378364466635981E-2</v>
      </c>
      <c r="L10" s="6">
        <v>0.17142836055787711</v>
      </c>
      <c r="M10" s="6">
        <v>21.255579096466182</v>
      </c>
      <c r="N10" s="6">
        <v>2.5840764853976681E-3</v>
      </c>
      <c r="O10" s="6">
        <v>5225</v>
      </c>
      <c r="P10" s="6">
        <v>81.287295522140397</v>
      </c>
      <c r="Q10" s="6">
        <v>78972.760000000009</v>
      </c>
      <c r="R10" s="6">
        <v>0</v>
      </c>
      <c r="S10" s="6">
        <v>16.197857181340041</v>
      </c>
      <c r="T10" s="6">
        <f t="shared" si="4"/>
        <v>21.227136283784702</v>
      </c>
      <c r="U10" s="6" t="e">
        <f t="shared" si="1"/>
        <v>#N/A</v>
      </c>
      <c r="V10" s="6">
        <f t="shared" si="5"/>
        <v>19.994377663095047</v>
      </c>
      <c r="W10" s="6">
        <f t="shared" si="6"/>
        <v>22.459894904474357</v>
      </c>
      <c r="X10" s="6" t="e">
        <f t="shared" si="7"/>
        <v>#N/A</v>
      </c>
      <c r="Y10" s="6" t="e">
        <f t="shared" si="2"/>
        <v>#N/A</v>
      </c>
      <c r="Z10" s="6" t="e">
        <f t="shared" si="2"/>
        <v>#N/A</v>
      </c>
      <c r="AA10" s="6" t="e">
        <f t="shared" si="2"/>
        <v>#N/A</v>
      </c>
      <c r="AB10" s="6" t="e">
        <f t="shared" si="2"/>
        <v>#N/A</v>
      </c>
      <c r="AC10" s="6" t="e">
        <f t="shared" si="2"/>
        <v>#N/A</v>
      </c>
      <c r="AG10">
        <f t="shared" si="3"/>
        <v>-5.2499999999999859E-2</v>
      </c>
      <c r="AH10">
        <f t="shared" si="3"/>
        <v>0</v>
      </c>
      <c r="AI10">
        <f t="shared" si="3"/>
        <v>-0.22395833333333393</v>
      </c>
      <c r="AJ10">
        <f t="shared" si="3"/>
        <v>-2.4655172413793101</v>
      </c>
      <c r="AK10">
        <f t="shared" si="3"/>
        <v>-0.66000000000000059</v>
      </c>
      <c r="AL10">
        <f t="shared" si="3"/>
        <v>-0.32499999999999979</v>
      </c>
      <c r="AM10">
        <f t="shared" si="3"/>
        <v>0</v>
      </c>
      <c r="AN10">
        <f t="shared" si="8"/>
        <v>5.6612275000000007</v>
      </c>
      <c r="AO10">
        <f t="shared" si="9"/>
        <v>-0.19545335865849012</v>
      </c>
      <c r="AQ10">
        <f t="shared" si="10"/>
        <v>19.994377663095047</v>
      </c>
      <c r="AR10">
        <f t="shared" si="11"/>
        <v>22.459894904474357</v>
      </c>
      <c r="AT10" t="str">
        <f t="shared" si="12"/>
        <v>45414A</v>
      </c>
    </row>
    <row r="11" spans="1:46" hidden="1" x14ac:dyDescent="0.3">
      <c r="A11" s="17">
        <v>45414</v>
      </c>
      <c r="B11" s="18" t="s">
        <v>19</v>
      </c>
      <c r="C11" s="6">
        <v>8.1166666666666654</v>
      </c>
      <c r="D11" s="6">
        <v>37.666666666666657</v>
      </c>
      <c r="E11" s="6">
        <v>26.956666666666671</v>
      </c>
      <c r="F11" s="6">
        <v>56.5</v>
      </c>
      <c r="G11" s="6">
        <v>3.99</v>
      </c>
      <c r="H11" s="6">
        <v>3.3244444444444441</v>
      </c>
      <c r="I11" s="6">
        <v>145.11111111111109</v>
      </c>
      <c r="J11" s="6">
        <v>9.0049478647195915</v>
      </c>
      <c r="K11" s="6">
        <v>1.256455507735136E-2</v>
      </c>
      <c r="L11" s="6">
        <v>0.1131431634149469</v>
      </c>
      <c r="M11" s="6">
        <v>21.012029255039032</v>
      </c>
      <c r="N11" s="6">
        <v>2.583973685643419E-3</v>
      </c>
      <c r="O11" s="6">
        <v>5225</v>
      </c>
      <c r="P11" s="6">
        <v>81.284060764641026</v>
      </c>
      <c r="Q11" s="6">
        <v>58030.824698536591</v>
      </c>
      <c r="R11" s="6">
        <v>0</v>
      </c>
      <c r="S11" s="6">
        <v>18.0238067221993</v>
      </c>
      <c r="T11" s="6">
        <f t="shared" si="4"/>
        <v>18.739527158893932</v>
      </c>
      <c r="U11" s="6" t="e">
        <f t="shared" si="1"/>
        <v>#N/A</v>
      </c>
      <c r="V11" s="6">
        <f t="shared" si="5"/>
        <v>17.506768538204277</v>
      </c>
      <c r="W11" s="6">
        <f t="shared" si="6"/>
        <v>19.972285779583586</v>
      </c>
      <c r="X11" s="6" t="e">
        <f t="shared" si="7"/>
        <v>#N/A</v>
      </c>
      <c r="Y11" s="6" t="e">
        <f t="shared" si="2"/>
        <v>#N/A</v>
      </c>
      <c r="Z11" s="6" t="e">
        <f t="shared" si="2"/>
        <v>#N/A</v>
      </c>
      <c r="AA11" s="6" t="e">
        <f t="shared" si="2"/>
        <v>#N/A</v>
      </c>
      <c r="AB11" s="6" t="e">
        <f t="shared" si="2"/>
        <v>#N/A</v>
      </c>
      <c r="AC11" s="6" t="e">
        <f t="shared" si="2"/>
        <v>#N/A</v>
      </c>
      <c r="AG11">
        <f t="shared" si="3"/>
        <v>6.6666666666669984E-3</v>
      </c>
      <c r="AH11">
        <f t="shared" si="3"/>
        <v>0</v>
      </c>
      <c r="AI11">
        <f t="shared" si="3"/>
        <v>-0.62222222222222479</v>
      </c>
      <c r="AJ11">
        <f t="shared" si="3"/>
        <v>-2.4655172413793101</v>
      </c>
      <c r="AK11">
        <f t="shared" si="3"/>
        <v>-0.54000000000000048</v>
      </c>
      <c r="AL11">
        <f t="shared" si="3"/>
        <v>-0.3777777777777791</v>
      </c>
      <c r="AM11">
        <f t="shared" si="3"/>
        <v>0</v>
      </c>
      <c r="AN11">
        <f t="shared" si="8"/>
        <v>3.0434855873170736</v>
      </c>
      <c r="AO11">
        <f t="shared" si="9"/>
        <v>0.45010427056081781</v>
      </c>
      <c r="AQ11">
        <f t="shared" si="10"/>
        <v>17.506768538204277</v>
      </c>
      <c r="AR11">
        <f t="shared" si="11"/>
        <v>19.972285779583586</v>
      </c>
      <c r="AT11" t="str">
        <f t="shared" si="12"/>
        <v>45414B</v>
      </c>
    </row>
    <row r="12" spans="1:46" hidden="1" x14ac:dyDescent="0.3">
      <c r="A12" s="17">
        <v>45414</v>
      </c>
      <c r="B12" s="18" t="s">
        <v>20</v>
      </c>
      <c r="C12" s="6">
        <v>7.94</v>
      </c>
      <c r="D12" s="6">
        <v>37.4</v>
      </c>
      <c r="E12" s="6">
        <v>27.11</v>
      </c>
      <c r="F12" s="6">
        <v>56.5</v>
      </c>
      <c r="G12" s="6">
        <v>3.99</v>
      </c>
      <c r="H12" s="6">
        <v>3.3079999999999998</v>
      </c>
      <c r="I12" s="6">
        <v>143.19999999999999</v>
      </c>
      <c r="J12" s="6">
        <v>8.902543328889875</v>
      </c>
      <c r="K12" s="6">
        <v>1.043702667405209E-2</v>
      </c>
      <c r="L12" s="6">
        <v>9.2916082190528132E-2</v>
      </c>
      <c r="M12" s="6">
        <v>22.214571951432031</v>
      </c>
      <c r="N12" s="6">
        <v>2.584552726111162E-3</v>
      </c>
      <c r="O12" s="6">
        <v>5225</v>
      </c>
      <c r="P12" s="6">
        <v>81.302379378366226</v>
      </c>
      <c r="Q12" s="6">
        <v>52066.328800000003</v>
      </c>
      <c r="R12" s="6">
        <v>0</v>
      </c>
      <c r="S12" s="6">
        <v>19.670609479531691</v>
      </c>
      <c r="T12" s="6">
        <f t="shared" si="4"/>
        <v>19.226650272962626</v>
      </c>
      <c r="U12" s="6" t="e">
        <f t="shared" si="1"/>
        <v>#N/A</v>
      </c>
      <c r="V12" s="6">
        <f t="shared" si="5"/>
        <v>17.993891652272971</v>
      </c>
      <c r="W12" s="6">
        <f t="shared" si="6"/>
        <v>20.459408893652281</v>
      </c>
      <c r="X12" s="6" t="e">
        <f t="shared" si="7"/>
        <v>#N/A</v>
      </c>
      <c r="Y12" s="6" t="e">
        <f t="shared" si="2"/>
        <v>#N/A</v>
      </c>
      <c r="Z12" s="6" t="e">
        <f t="shared" si="2"/>
        <v>#N/A</v>
      </c>
      <c r="AA12" s="6" t="e">
        <f t="shared" si="2"/>
        <v>#N/A</v>
      </c>
      <c r="AB12" s="6" t="e">
        <f t="shared" si="2"/>
        <v>#N/A</v>
      </c>
      <c r="AC12" s="6" t="e">
        <f t="shared" si="2"/>
        <v>#N/A</v>
      </c>
      <c r="AG12">
        <f t="shared" si="3"/>
        <v>4.1999999999999996E-2</v>
      </c>
      <c r="AH12">
        <f t="shared" si="3"/>
        <v>0</v>
      </c>
      <c r="AI12">
        <f t="shared" si="3"/>
        <v>-0.74999999999999889</v>
      </c>
      <c r="AJ12">
        <f t="shared" si="3"/>
        <v>-2.4655172413793101</v>
      </c>
      <c r="AK12">
        <f t="shared" si="3"/>
        <v>-0.54000000000000048</v>
      </c>
      <c r="AL12">
        <f t="shared" si="3"/>
        <v>-0.46000000000000041</v>
      </c>
      <c r="AM12">
        <f t="shared" si="3"/>
        <v>0</v>
      </c>
      <c r="AN12">
        <f t="shared" si="8"/>
        <v>2.2979236000000003</v>
      </c>
      <c r="AO12">
        <f t="shared" si="9"/>
        <v>0.65491334222025088</v>
      </c>
      <c r="AQ12">
        <f t="shared" si="10"/>
        <v>17.993891652272971</v>
      </c>
      <c r="AR12">
        <f t="shared" si="11"/>
        <v>20.459408893652281</v>
      </c>
      <c r="AT12" t="str">
        <f t="shared" si="12"/>
        <v>45414C</v>
      </c>
    </row>
    <row r="13" spans="1:46" hidden="1" x14ac:dyDescent="0.3">
      <c r="A13" s="17">
        <v>45414</v>
      </c>
      <c r="B13" s="18" t="s">
        <v>21</v>
      </c>
      <c r="C13" s="6">
        <v>8.0699999999999985</v>
      </c>
      <c r="D13" s="6">
        <v>37.6</v>
      </c>
      <c r="E13" s="6">
        <v>27.13</v>
      </c>
      <c r="F13" s="6">
        <v>56.5</v>
      </c>
      <c r="G13" s="6">
        <v>3.99</v>
      </c>
      <c r="H13" s="6">
        <v>3.3140000000000001</v>
      </c>
      <c r="I13" s="6">
        <v>143.19999999999999</v>
      </c>
      <c r="J13" s="6">
        <v>8.9561011996442428</v>
      </c>
      <c r="K13" s="6">
        <v>1.335073320541498E-2</v>
      </c>
      <c r="L13" s="6">
        <v>0.11957051767714739</v>
      </c>
      <c r="M13" s="6">
        <v>21.458605215636322</v>
      </c>
      <c r="N13" s="6">
        <v>2.5841748207381969E-3</v>
      </c>
      <c r="O13" s="6">
        <v>5225</v>
      </c>
      <c r="P13" s="6">
        <v>81.290404507536067</v>
      </c>
      <c r="Q13" s="6">
        <v>68221.002533333332</v>
      </c>
      <c r="R13" s="6">
        <v>0</v>
      </c>
      <c r="S13" s="6">
        <v>18.915404336186739</v>
      </c>
      <c r="T13" s="6">
        <f t="shared" si="4"/>
        <v>20.370235345658184</v>
      </c>
      <c r="U13" s="6" t="e">
        <f t="shared" si="1"/>
        <v>#N/A</v>
      </c>
      <c r="V13" s="6">
        <f t="shared" si="5"/>
        <v>19.137476724968529</v>
      </c>
      <c r="W13" s="6">
        <f t="shared" si="6"/>
        <v>21.602993966347839</v>
      </c>
      <c r="X13" s="6" t="e">
        <f t="shared" si="7"/>
        <v>#N/A</v>
      </c>
      <c r="Y13" s="6" t="e">
        <f t="shared" si="2"/>
        <v>#N/A</v>
      </c>
      <c r="Z13" s="6" t="e">
        <f t="shared" si="2"/>
        <v>#N/A</v>
      </c>
      <c r="AA13" s="6" t="e">
        <f t="shared" si="2"/>
        <v>#N/A</v>
      </c>
      <c r="AB13" s="6" t="e">
        <f t="shared" si="2"/>
        <v>#N/A</v>
      </c>
      <c r="AC13" s="6" t="e">
        <f t="shared" si="2"/>
        <v>#N/A</v>
      </c>
      <c r="AG13">
        <f t="shared" si="3"/>
        <v>1.6000000000000372E-2</v>
      </c>
      <c r="AH13">
        <f t="shared" si="3"/>
        <v>0</v>
      </c>
      <c r="AI13">
        <f t="shared" si="3"/>
        <v>-0.76666666666666516</v>
      </c>
      <c r="AJ13">
        <f t="shared" si="3"/>
        <v>-2.4655172413793101</v>
      </c>
      <c r="AK13">
        <f t="shared" si="3"/>
        <v>-0.54000000000000048</v>
      </c>
      <c r="AL13">
        <f t="shared" si="3"/>
        <v>-0.42999999999999927</v>
      </c>
      <c r="AM13">
        <f t="shared" si="3"/>
        <v>0</v>
      </c>
      <c r="AN13">
        <f t="shared" si="8"/>
        <v>4.3172578166666664</v>
      </c>
      <c r="AO13">
        <f t="shared" si="9"/>
        <v>0.54779760071151529</v>
      </c>
      <c r="AQ13">
        <f t="shared" si="10"/>
        <v>19.137476724968529</v>
      </c>
      <c r="AR13">
        <f t="shared" si="11"/>
        <v>21.602993966347839</v>
      </c>
      <c r="AT13" t="str">
        <f t="shared" si="12"/>
        <v>45414D</v>
      </c>
    </row>
    <row r="14" spans="1:46" hidden="1" x14ac:dyDescent="0.3">
      <c r="A14" s="17">
        <v>45415</v>
      </c>
      <c r="B14" s="18" t="s">
        <v>22</v>
      </c>
      <c r="C14" s="6">
        <v>8.3249999999999993</v>
      </c>
      <c r="D14" s="6">
        <v>38.333333333333343</v>
      </c>
      <c r="E14" s="6">
        <v>26.686666666666671</v>
      </c>
      <c r="F14" s="6">
        <v>56.5</v>
      </c>
      <c r="G14" s="6">
        <v>4.0999999999999996</v>
      </c>
      <c r="H14" s="6">
        <v>3.3466666666666658</v>
      </c>
      <c r="I14" s="6">
        <v>145.5</v>
      </c>
      <c r="J14" s="6">
        <v>9.5866061661383668</v>
      </c>
      <c r="K14" s="6">
        <v>9.7471177668822136E-3</v>
      </c>
      <c r="L14" s="6">
        <v>9.3441779286069865E-2</v>
      </c>
      <c r="M14" s="6">
        <v>18.729363396538389</v>
      </c>
      <c r="N14" s="6">
        <v>2.601853087079518E-3</v>
      </c>
      <c r="O14" s="6">
        <v>5225</v>
      </c>
      <c r="P14" s="6">
        <v>102.15521050122069</v>
      </c>
      <c r="Q14" s="6">
        <v>33824.825599999996</v>
      </c>
      <c r="R14" s="6">
        <v>0</v>
      </c>
      <c r="S14" s="6">
        <v>15.801594384463799</v>
      </c>
      <c r="T14" s="6">
        <f t="shared" si="4"/>
        <v>12.232239254683106</v>
      </c>
      <c r="U14" s="6" t="e">
        <f t="shared" si="1"/>
        <v>#N/A</v>
      </c>
      <c r="V14" s="6">
        <f t="shared" si="5"/>
        <v>10.999480633993452</v>
      </c>
      <c r="W14" s="6">
        <f t="shared" si="6"/>
        <v>13.464997875372761</v>
      </c>
      <c r="X14" s="6" t="e">
        <f t="shared" si="7"/>
        <v>#N/A</v>
      </c>
      <c r="Y14" s="6" t="e">
        <f t="shared" si="2"/>
        <v>#N/A</v>
      </c>
      <c r="Z14" s="6" t="e">
        <f t="shared" si="2"/>
        <v>#N/A</v>
      </c>
      <c r="AA14" s="6" t="e">
        <f t="shared" si="2"/>
        <v>#N/A</v>
      </c>
      <c r="AB14" s="6" t="e">
        <f t="shared" si="2"/>
        <v>#N/A</v>
      </c>
      <c r="AC14" s="6" t="e">
        <f t="shared" si="2"/>
        <v>#N/A</v>
      </c>
      <c r="AG14">
        <f t="shared" si="3"/>
        <v>-3.4999999999999788E-2</v>
      </c>
      <c r="AH14">
        <f t="shared" si="3"/>
        <v>0</v>
      </c>
      <c r="AI14">
        <f t="shared" si="3"/>
        <v>-0.39722222222222514</v>
      </c>
      <c r="AJ14">
        <f t="shared" si="3"/>
        <v>-2.4655172413793101</v>
      </c>
      <c r="AK14">
        <f t="shared" si="3"/>
        <v>-0.86999999999999866</v>
      </c>
      <c r="AL14">
        <f t="shared" si="3"/>
        <v>-0.2666666666666706</v>
      </c>
      <c r="AM14">
        <f t="shared" si="3"/>
        <v>0</v>
      </c>
      <c r="AN14">
        <f t="shared" si="8"/>
        <v>1.7735699999999268E-2</v>
      </c>
      <c r="AO14">
        <f t="shared" si="9"/>
        <v>-0.71321233227673275</v>
      </c>
      <c r="AQ14">
        <f t="shared" si="10"/>
        <v>10.999480633993452</v>
      </c>
      <c r="AR14">
        <f t="shared" si="11"/>
        <v>13.464997875372761</v>
      </c>
      <c r="AT14" t="str">
        <f t="shared" si="12"/>
        <v>45415A</v>
      </c>
    </row>
    <row r="15" spans="1:46" hidden="1" x14ac:dyDescent="0.3">
      <c r="A15" s="17">
        <v>45415</v>
      </c>
      <c r="B15" s="18" t="s">
        <v>19</v>
      </c>
      <c r="C15" s="6">
        <v>8.1999999999999993</v>
      </c>
      <c r="D15" s="6">
        <v>37.75</v>
      </c>
      <c r="E15" s="6">
        <v>27.278749999999999</v>
      </c>
      <c r="F15" s="6">
        <v>56.5</v>
      </c>
      <c r="G15" s="6">
        <v>4.0999999999999996</v>
      </c>
      <c r="H15" s="6">
        <v>3.3149999999999999</v>
      </c>
      <c r="I15" s="6">
        <v>141.125</v>
      </c>
      <c r="J15" s="6">
        <v>8.6199356876564437</v>
      </c>
      <c r="K15" s="6">
        <v>2.8787189179107641E-3</v>
      </c>
      <c r="L15" s="6">
        <v>2.4814371935230731E-2</v>
      </c>
      <c r="M15" s="6">
        <v>17.89383627207097</v>
      </c>
      <c r="N15" s="6">
        <v>2.6073792321761749E-3</v>
      </c>
      <c r="O15" s="6">
        <v>5225</v>
      </c>
      <c r="P15" s="6">
        <v>98.692361824243889</v>
      </c>
      <c r="Q15" s="6">
        <v>10668.95374504366</v>
      </c>
      <c r="R15" s="6">
        <v>0</v>
      </c>
      <c r="S15" s="6">
        <v>15.89014301108331</v>
      </c>
      <c r="T15" s="6">
        <f t="shared" si="4"/>
        <v>9.8088329941988892</v>
      </c>
      <c r="U15" s="6" t="e">
        <f t="shared" si="1"/>
        <v>#N/A</v>
      </c>
      <c r="V15" s="6">
        <f t="shared" si="5"/>
        <v>8.5760743735092344</v>
      </c>
      <c r="W15" s="6">
        <f t="shared" si="6"/>
        <v>11.041591614888544</v>
      </c>
      <c r="X15" s="6" t="e">
        <f t="shared" si="7"/>
        <v>#N/A</v>
      </c>
      <c r="Y15" s="6" t="e">
        <f t="shared" si="2"/>
        <v>#N/A</v>
      </c>
      <c r="Z15" s="6" t="e">
        <f t="shared" si="2"/>
        <v>#N/A</v>
      </c>
      <c r="AA15" s="6" t="e">
        <f t="shared" si="2"/>
        <v>#N/A</v>
      </c>
      <c r="AB15" s="6" t="e">
        <f t="shared" si="2"/>
        <v>#N/A</v>
      </c>
      <c r="AC15" s="6" t="e">
        <f t="shared" si="2"/>
        <v>#N/A</v>
      </c>
      <c r="AG15">
        <f t="shared" si="3"/>
        <v>-9.9999999999997868E-3</v>
      </c>
      <c r="AH15">
        <f t="shared" si="3"/>
        <v>0</v>
      </c>
      <c r="AI15">
        <f t="shared" si="3"/>
        <v>-0.89062499999999822</v>
      </c>
      <c r="AJ15">
        <f t="shared" si="3"/>
        <v>-2.4655172413793101</v>
      </c>
      <c r="AK15">
        <f t="shared" si="3"/>
        <v>-0.86999999999999866</v>
      </c>
      <c r="AL15">
        <f t="shared" si="3"/>
        <v>-0.42499999999999982</v>
      </c>
      <c r="AM15">
        <f t="shared" si="3"/>
        <v>0</v>
      </c>
      <c r="AN15">
        <f t="shared" si="8"/>
        <v>-2.8767482818695425</v>
      </c>
      <c r="AO15">
        <f t="shared" si="9"/>
        <v>1.2201286246871135</v>
      </c>
      <c r="AQ15">
        <f t="shared" si="10"/>
        <v>8.5760743735092344</v>
      </c>
      <c r="AR15">
        <f t="shared" si="11"/>
        <v>11.041591614888544</v>
      </c>
      <c r="AT15" t="str">
        <f t="shared" si="12"/>
        <v>45415B</v>
      </c>
    </row>
    <row r="16" spans="1:46" hidden="1" x14ac:dyDescent="0.3">
      <c r="A16" s="17">
        <v>45415</v>
      </c>
      <c r="B16" s="18" t="s">
        <v>20</v>
      </c>
      <c r="C16" s="6">
        <v>8.0571428571428569</v>
      </c>
      <c r="D16" s="6">
        <v>37.666666666666657</v>
      </c>
      <c r="E16" s="6">
        <v>27.035833333333329</v>
      </c>
      <c r="F16" s="6">
        <v>56.5</v>
      </c>
      <c r="G16" s="6">
        <v>4.0999999999999996</v>
      </c>
      <c r="H16" s="6">
        <v>3.3250000000000002</v>
      </c>
      <c r="I16" s="6">
        <v>142.41666666666671</v>
      </c>
      <c r="J16" s="6">
        <v>8.427203661372463</v>
      </c>
      <c r="K16" s="6">
        <v>2.9849415431946972E-3</v>
      </c>
      <c r="L16" s="6">
        <v>2.5154710301793129E-2</v>
      </c>
      <c r="M16" s="6">
        <v>19.58155923195736</v>
      </c>
      <c r="N16" s="6">
        <v>2.5960825884077132E-3</v>
      </c>
      <c r="O16" s="6">
        <v>5225</v>
      </c>
      <c r="P16" s="6">
        <v>96.602040588833788</v>
      </c>
      <c r="Q16" s="6">
        <v>14456.365599999999</v>
      </c>
      <c r="R16" s="6">
        <v>0</v>
      </c>
      <c r="S16" s="6">
        <v>17.30561177739909</v>
      </c>
      <c r="T16" s="6">
        <f t="shared" si="4"/>
        <v>12.636448472649771</v>
      </c>
      <c r="U16" s="6" t="e">
        <f t="shared" si="1"/>
        <v>#N/A</v>
      </c>
      <c r="V16" s="6">
        <f t="shared" si="5"/>
        <v>11.403689851960117</v>
      </c>
      <c r="W16" s="6">
        <f t="shared" si="6"/>
        <v>13.869207093339426</v>
      </c>
      <c r="X16" s="6" t="e">
        <f t="shared" si="7"/>
        <v>#N/A</v>
      </c>
      <c r="Y16" s="6" t="e">
        <f t="shared" si="2"/>
        <v>#N/A</v>
      </c>
      <c r="Z16" s="6" t="e">
        <f t="shared" si="2"/>
        <v>#N/A</v>
      </c>
      <c r="AA16" s="6" t="e">
        <f t="shared" si="2"/>
        <v>#N/A</v>
      </c>
      <c r="AB16" s="6" t="e">
        <f t="shared" si="2"/>
        <v>#N/A</v>
      </c>
      <c r="AC16" s="6" t="e">
        <f t="shared" si="2"/>
        <v>#N/A</v>
      </c>
      <c r="AG16">
        <f t="shared" si="3"/>
        <v>1.8571428571428683E-2</v>
      </c>
      <c r="AH16">
        <f t="shared" si="3"/>
        <v>0</v>
      </c>
      <c r="AI16">
        <f t="shared" si="3"/>
        <v>-0.68819444444444033</v>
      </c>
      <c r="AJ16">
        <f t="shared" si="3"/>
        <v>-2.4655172413793101</v>
      </c>
      <c r="AK16">
        <f t="shared" si="3"/>
        <v>-0.86999999999999866</v>
      </c>
      <c r="AL16">
        <f t="shared" si="3"/>
        <v>-0.37499999999999867</v>
      </c>
      <c r="AM16">
        <f t="shared" si="3"/>
        <v>0</v>
      </c>
      <c r="AN16">
        <f t="shared" si="8"/>
        <v>-2.4033218000000005</v>
      </c>
      <c r="AO16">
        <f t="shared" si="9"/>
        <v>1.6055926772550748</v>
      </c>
      <c r="AQ16">
        <f t="shared" si="10"/>
        <v>11.403689851960117</v>
      </c>
      <c r="AR16">
        <f t="shared" si="11"/>
        <v>13.869207093339426</v>
      </c>
      <c r="AT16" t="str">
        <f t="shared" si="12"/>
        <v>45415C</v>
      </c>
    </row>
    <row r="17" spans="1:46" hidden="1" x14ac:dyDescent="0.3">
      <c r="A17" s="17">
        <v>45415</v>
      </c>
      <c r="B17" s="18" t="s">
        <v>21</v>
      </c>
      <c r="C17" s="6">
        <v>8.0666666666666664</v>
      </c>
      <c r="D17" s="6">
        <v>37.4</v>
      </c>
      <c r="E17" s="6">
        <v>27.3</v>
      </c>
      <c r="F17" s="6">
        <v>56.5</v>
      </c>
      <c r="G17" s="6">
        <v>4.0999999999999996</v>
      </c>
      <c r="H17" s="6">
        <v>3.3159999999999998</v>
      </c>
      <c r="I17" s="6">
        <v>141.69999999999999</v>
      </c>
      <c r="J17" s="6">
        <v>8.2567287012715731</v>
      </c>
      <c r="K17" s="6">
        <v>2.282295182711537E-3</v>
      </c>
      <c r="L17" s="6">
        <v>1.8844292139868189E-2</v>
      </c>
      <c r="M17" s="6">
        <v>19.13006519101063</v>
      </c>
      <c r="N17" s="6">
        <v>2.5936735342077652E-3</v>
      </c>
      <c r="O17" s="6">
        <v>5225</v>
      </c>
      <c r="P17" s="6">
        <v>95.289378613174279</v>
      </c>
      <c r="Q17" s="6">
        <v>12607.2168</v>
      </c>
      <c r="R17" s="6">
        <v>0</v>
      </c>
      <c r="S17" s="6">
        <v>17.005811882106322</v>
      </c>
      <c r="T17" s="6">
        <f t="shared" si="4"/>
        <v>12.027717101111165</v>
      </c>
      <c r="U17" s="6" t="e">
        <f t="shared" si="1"/>
        <v>#N/A</v>
      </c>
      <c r="V17" s="6">
        <f t="shared" si="5"/>
        <v>10.79495848042151</v>
      </c>
      <c r="W17" s="6">
        <f t="shared" si="6"/>
        <v>13.26047572180082</v>
      </c>
      <c r="X17" s="6" t="e">
        <f t="shared" si="7"/>
        <v>#N/A</v>
      </c>
      <c r="Y17" s="6" t="e">
        <f t="shared" ref="Y17:AC26" si="13">VLOOKUP($AT17,hhh,3,0)</f>
        <v>#N/A</v>
      </c>
      <c r="Z17" s="6" t="e">
        <f t="shared" si="13"/>
        <v>#N/A</v>
      </c>
      <c r="AA17" s="6" t="e">
        <f t="shared" si="13"/>
        <v>#N/A</v>
      </c>
      <c r="AB17" s="6" t="e">
        <f t="shared" si="13"/>
        <v>#N/A</v>
      </c>
      <c r="AC17" s="6" t="e">
        <f t="shared" si="13"/>
        <v>#N/A</v>
      </c>
      <c r="AG17">
        <f t="shared" si="3"/>
        <v>1.6666666666666784E-2</v>
      </c>
      <c r="AH17">
        <f t="shared" si="3"/>
        <v>0</v>
      </c>
      <c r="AI17">
        <f t="shared" si="3"/>
        <v>-0.90833333333333321</v>
      </c>
      <c r="AJ17">
        <f t="shared" si="3"/>
        <v>-2.4655172413793101</v>
      </c>
      <c r="AK17">
        <f t="shared" si="3"/>
        <v>-0.86999999999999866</v>
      </c>
      <c r="AL17">
        <f t="shared" si="3"/>
        <v>-0.42000000000000037</v>
      </c>
      <c r="AM17">
        <f t="shared" si="3"/>
        <v>0</v>
      </c>
      <c r="AN17">
        <f t="shared" si="8"/>
        <v>-2.6344653999999998</v>
      </c>
      <c r="AO17">
        <f t="shared" si="9"/>
        <v>1.9465425974568547</v>
      </c>
      <c r="AQ17">
        <f t="shared" si="10"/>
        <v>10.79495848042151</v>
      </c>
      <c r="AR17">
        <f t="shared" si="11"/>
        <v>13.26047572180082</v>
      </c>
      <c r="AT17" t="str">
        <f t="shared" si="12"/>
        <v>45415D</v>
      </c>
    </row>
    <row r="18" spans="1:46" hidden="1" x14ac:dyDescent="0.3">
      <c r="A18" s="17">
        <v>45418</v>
      </c>
      <c r="B18" s="18" t="s">
        <v>19</v>
      </c>
      <c r="C18" s="6">
        <v>8.1080000000000005</v>
      </c>
      <c r="D18" s="6">
        <v>37.428571428571431</v>
      </c>
      <c r="E18" s="6">
        <v>26.715714285714281</v>
      </c>
      <c r="F18" s="6">
        <v>56.71</v>
      </c>
      <c r="G18" s="6">
        <v>4.0999999999999996</v>
      </c>
      <c r="H18" s="6">
        <v>3.3971428571428568</v>
      </c>
      <c r="I18" s="6">
        <v>141.28571428571431</v>
      </c>
      <c r="J18" s="6">
        <v>8.6499630813169635</v>
      </c>
      <c r="K18" s="6">
        <v>7.8597853939167748E-4</v>
      </c>
      <c r="L18" s="6">
        <v>6.7986853484454414E-3</v>
      </c>
      <c r="M18" s="6">
        <v>19.019868680218838</v>
      </c>
      <c r="N18" s="6">
        <v>2.9710180037798239</v>
      </c>
      <c r="O18" s="6">
        <v>5225</v>
      </c>
      <c r="P18" s="6">
        <v>118.6358367010457</v>
      </c>
      <c r="Q18" s="6">
        <v>2708.8792432432442</v>
      </c>
      <c r="R18" s="6">
        <v>3732.976927927928</v>
      </c>
      <c r="S18" s="6">
        <v>15.47410240068618</v>
      </c>
      <c r="T18" s="6">
        <f t="shared" si="4"/>
        <v>11.06369964981875</v>
      </c>
      <c r="U18" s="6" t="e">
        <f t="shared" si="1"/>
        <v>#N/A</v>
      </c>
      <c r="V18" s="6">
        <f t="shared" si="5"/>
        <v>9.6499065463704738</v>
      </c>
      <c r="W18" s="6">
        <f t="shared" si="6"/>
        <v>12.477492753267025</v>
      </c>
      <c r="X18" s="6" t="e">
        <f t="shared" si="7"/>
        <v>#N/A</v>
      </c>
      <c r="Y18" s="6" t="e">
        <f t="shared" si="13"/>
        <v>#N/A</v>
      </c>
      <c r="Z18" s="6" t="e">
        <f t="shared" si="13"/>
        <v>#N/A</v>
      </c>
      <c r="AA18" s="6" t="e">
        <f t="shared" si="13"/>
        <v>#N/A</v>
      </c>
      <c r="AB18" s="6" t="e">
        <f t="shared" si="13"/>
        <v>#N/A</v>
      </c>
      <c r="AC18" s="6" t="e">
        <f t="shared" si="13"/>
        <v>#N/A</v>
      </c>
      <c r="AG18">
        <f t="shared" si="3"/>
        <v>8.3999999999999631E-3</v>
      </c>
      <c r="AH18">
        <f t="shared" si="3"/>
        <v>0</v>
      </c>
      <c r="AI18">
        <f t="shared" si="3"/>
        <v>-0.42142857142856671</v>
      </c>
      <c r="AJ18">
        <f t="shared" si="3"/>
        <v>-2.8275862068965525</v>
      </c>
      <c r="AK18">
        <f t="shared" si="3"/>
        <v>-0.86999999999999866</v>
      </c>
      <c r="AL18">
        <f t="shared" si="3"/>
        <v>-1.4285714285715569E-2</v>
      </c>
      <c r="AM18">
        <f t="shared" si="3"/>
        <v>0</v>
      </c>
      <c r="AN18">
        <f t="shared" si="8"/>
        <v>-3.8717575945945946</v>
      </c>
      <c r="AO18">
        <f t="shared" si="9"/>
        <v>1.1600738373660739</v>
      </c>
      <c r="AQ18">
        <f t="shared" si="10"/>
        <v>9.6499065463704738</v>
      </c>
      <c r="AR18">
        <f t="shared" si="11"/>
        <v>12.477492753267025</v>
      </c>
      <c r="AT18" t="str">
        <f t="shared" si="12"/>
        <v>45418B</v>
      </c>
    </row>
    <row r="19" spans="1:46" hidden="1" x14ac:dyDescent="0.3">
      <c r="A19" s="17">
        <v>45418</v>
      </c>
      <c r="B19" s="18" t="s">
        <v>20</v>
      </c>
      <c r="C19" s="6">
        <v>8.1233333333333331</v>
      </c>
      <c r="D19" s="6">
        <v>37.222222222222221</v>
      </c>
      <c r="E19" s="6">
        <v>26.612222222222218</v>
      </c>
      <c r="F19" s="6">
        <v>56.71</v>
      </c>
      <c r="G19" s="6">
        <v>4.0999999999999996</v>
      </c>
      <c r="H19" s="6">
        <v>3.382222222222222</v>
      </c>
      <c r="I19" s="6">
        <v>143.44444444444451</v>
      </c>
      <c r="J19" s="6">
        <v>9.5633168450939241</v>
      </c>
      <c r="K19" s="6">
        <v>1.198738504005427E-3</v>
      </c>
      <c r="L19" s="6">
        <v>1.146391612821779E-2</v>
      </c>
      <c r="M19" s="6">
        <v>19.020968194159359</v>
      </c>
      <c r="N19" s="6">
        <v>4.5131397735365937</v>
      </c>
      <c r="O19" s="6">
        <v>5225</v>
      </c>
      <c r="P19" s="6">
        <v>119.40742380686279</v>
      </c>
      <c r="Q19" s="6">
        <v>6070.4360000000006</v>
      </c>
      <c r="R19" s="6">
        <v>8189.8789999999999</v>
      </c>
      <c r="S19" s="6">
        <v>15.39867864568752</v>
      </c>
      <c r="T19" s="6">
        <f t="shared" si="4"/>
        <v>10.223972534782499</v>
      </c>
      <c r="U19" s="6" t="e">
        <f t="shared" si="1"/>
        <v>#N/A</v>
      </c>
      <c r="V19" s="6">
        <f t="shared" si="5"/>
        <v>8.8101794313342232</v>
      </c>
      <c r="W19" s="6">
        <f t="shared" si="6"/>
        <v>11.637765638230775</v>
      </c>
      <c r="X19" s="6" t="e">
        <f t="shared" si="7"/>
        <v>#N/A</v>
      </c>
      <c r="Y19" s="6" t="e">
        <f t="shared" si="13"/>
        <v>#N/A</v>
      </c>
      <c r="Z19" s="6" t="e">
        <f t="shared" si="13"/>
        <v>#N/A</v>
      </c>
      <c r="AA19" s="6" t="e">
        <f t="shared" si="13"/>
        <v>#N/A</v>
      </c>
      <c r="AB19" s="6" t="e">
        <f t="shared" si="13"/>
        <v>#N/A</v>
      </c>
      <c r="AC19" s="6" t="e">
        <f t="shared" si="13"/>
        <v>#N/A</v>
      </c>
      <c r="AG19">
        <f t="shared" si="3"/>
        <v>5.3333333333334572E-3</v>
      </c>
      <c r="AH19">
        <f t="shared" si="3"/>
        <v>0</v>
      </c>
      <c r="AI19">
        <f t="shared" si="3"/>
        <v>-0.33518518518518137</v>
      </c>
      <c r="AJ19">
        <f t="shared" si="3"/>
        <v>-2.8275862068965525</v>
      </c>
      <c r="AK19">
        <f t="shared" si="3"/>
        <v>-0.86999999999999866</v>
      </c>
      <c r="AL19">
        <f t="shared" si="3"/>
        <v>-8.8888888888889461E-2</v>
      </c>
      <c r="AM19">
        <f t="shared" si="3"/>
        <v>0</v>
      </c>
      <c r="AN19">
        <f t="shared" si="8"/>
        <v>-3.4515630000000002</v>
      </c>
      <c r="AO19">
        <f t="shared" si="9"/>
        <v>-0.66663369018784735</v>
      </c>
      <c r="AQ19">
        <f t="shared" si="10"/>
        <v>8.8101794313342232</v>
      </c>
      <c r="AR19">
        <f t="shared" si="11"/>
        <v>11.637765638230775</v>
      </c>
      <c r="AT19" t="str">
        <f t="shared" si="12"/>
        <v>45418C</v>
      </c>
    </row>
    <row r="20" spans="1:46" hidden="1" x14ac:dyDescent="0.3">
      <c r="A20" s="17">
        <v>45418</v>
      </c>
      <c r="B20" s="18" t="s">
        <v>21</v>
      </c>
      <c r="C20" s="6">
        <v>8.1720000000000006</v>
      </c>
      <c r="D20" s="6">
        <v>37.428571428571431</v>
      </c>
      <c r="E20" s="6">
        <v>26.885714285714279</v>
      </c>
      <c r="F20" s="6">
        <v>56.71</v>
      </c>
      <c r="G20" s="6">
        <v>4.0999999999999996</v>
      </c>
      <c r="H20" s="6">
        <v>3.382857142857143</v>
      </c>
      <c r="I20" s="6">
        <v>147.71428571428569</v>
      </c>
      <c r="J20" s="6">
        <v>9.6976350347038309</v>
      </c>
      <c r="K20" s="6">
        <v>4.3753550176284829E-3</v>
      </c>
      <c r="L20" s="6">
        <v>4.2430596108221169E-2</v>
      </c>
      <c r="M20" s="6">
        <v>20.129942130976179</v>
      </c>
      <c r="N20" s="6">
        <v>1.7602392284531729</v>
      </c>
      <c r="O20" s="6">
        <v>5225</v>
      </c>
      <c r="P20" s="6">
        <v>116.8087905199028</v>
      </c>
      <c r="Q20" s="6">
        <v>23007.1672</v>
      </c>
      <c r="R20" s="6">
        <v>8249.8790000000008</v>
      </c>
      <c r="S20" s="6">
        <v>15.57501790992209</v>
      </c>
      <c r="T20" s="6">
        <f t="shared" si="4"/>
        <v>12.954432709310725</v>
      </c>
      <c r="U20" s="6" t="e">
        <f t="shared" si="1"/>
        <v>#N/A</v>
      </c>
      <c r="V20" s="6">
        <f t="shared" si="5"/>
        <v>11.540639605862449</v>
      </c>
      <c r="W20" s="6">
        <f t="shared" si="6"/>
        <v>14.368225812759</v>
      </c>
      <c r="X20" s="6" t="e">
        <f t="shared" si="7"/>
        <v>#N/A</v>
      </c>
      <c r="Y20" s="6" t="e">
        <f t="shared" si="13"/>
        <v>#N/A</v>
      </c>
      <c r="Z20" s="6" t="e">
        <f t="shared" si="13"/>
        <v>#N/A</v>
      </c>
      <c r="AA20" s="6" t="e">
        <f t="shared" si="13"/>
        <v>#N/A</v>
      </c>
      <c r="AB20" s="6" t="e">
        <f t="shared" si="13"/>
        <v>#N/A</v>
      </c>
      <c r="AC20" s="6" t="e">
        <f t="shared" si="13"/>
        <v>#N/A</v>
      </c>
      <c r="AG20">
        <f t="shared" si="3"/>
        <v>-4.4000000000000488E-3</v>
      </c>
      <c r="AH20">
        <f t="shared" si="3"/>
        <v>0</v>
      </c>
      <c r="AI20">
        <f t="shared" si="3"/>
        <v>-0.56309523809523188</v>
      </c>
      <c r="AJ20">
        <f t="shared" si="3"/>
        <v>-2.8275862068965525</v>
      </c>
      <c r="AK20">
        <f t="shared" si="3"/>
        <v>-0.86999999999999866</v>
      </c>
      <c r="AL20">
        <f t="shared" si="3"/>
        <v>-8.5714285714284522E-2</v>
      </c>
      <c r="AM20">
        <f t="shared" si="3"/>
        <v>0</v>
      </c>
      <c r="AN20">
        <f t="shared" si="8"/>
        <v>-1.3344716000000003</v>
      </c>
      <c r="AO20">
        <f t="shared" si="9"/>
        <v>-0.935270069407661</v>
      </c>
      <c r="AQ20">
        <f t="shared" si="10"/>
        <v>11.540639605862449</v>
      </c>
      <c r="AR20">
        <f t="shared" si="11"/>
        <v>14.368225812759</v>
      </c>
      <c r="AT20" t="str">
        <f t="shared" si="12"/>
        <v>45418D</v>
      </c>
    </row>
    <row r="21" spans="1:46" hidden="1" x14ac:dyDescent="0.3">
      <c r="A21" s="17">
        <v>45419</v>
      </c>
      <c r="B21" s="18" t="s">
        <v>22</v>
      </c>
      <c r="C21" s="6">
        <v>8.1339999999999986</v>
      </c>
      <c r="D21" s="6">
        <v>37.666666666666657</v>
      </c>
      <c r="E21" s="6">
        <v>25.921111111111109</v>
      </c>
      <c r="F21" s="6">
        <v>56.71</v>
      </c>
      <c r="G21" s="6">
        <v>3.65</v>
      </c>
      <c r="H21" s="6">
        <v>3.2288888888888891</v>
      </c>
      <c r="I21" s="6">
        <v>149</v>
      </c>
      <c r="J21" s="6">
        <v>8.158836083765598</v>
      </c>
      <c r="K21" s="6">
        <v>1.0296424278552549E-2</v>
      </c>
      <c r="L21" s="6">
        <v>8.4006837937614681E-2</v>
      </c>
      <c r="M21" s="6">
        <v>25.73082369704424</v>
      </c>
      <c r="N21" s="6">
        <v>2.6200345542526349E-3</v>
      </c>
      <c r="O21" s="6">
        <v>5225</v>
      </c>
      <c r="P21" s="6">
        <v>81.356552088076214</v>
      </c>
      <c r="Q21" s="6">
        <v>47956.130400000002</v>
      </c>
      <c r="R21" s="6">
        <v>60</v>
      </c>
      <c r="S21" s="6">
        <v>21.076227609377259</v>
      </c>
      <c r="T21" s="6">
        <f t="shared" si="4"/>
        <v>25.119392411249962</v>
      </c>
      <c r="U21" s="6" t="e">
        <f t="shared" si="1"/>
        <v>#N/A</v>
      </c>
      <c r="V21" s="6">
        <f t="shared" si="5"/>
        <v>23.705599307801684</v>
      </c>
      <c r="W21" s="6">
        <f t="shared" si="6"/>
        <v>26.533185514698236</v>
      </c>
      <c r="X21" s="6" t="e">
        <f t="shared" si="7"/>
        <v>#N/A</v>
      </c>
      <c r="Y21" s="6" t="e">
        <f t="shared" si="13"/>
        <v>#N/A</v>
      </c>
      <c r="Z21" s="6" t="e">
        <f t="shared" si="13"/>
        <v>#N/A</v>
      </c>
      <c r="AA21" s="6" t="e">
        <f t="shared" si="13"/>
        <v>#N/A</v>
      </c>
      <c r="AB21" s="6" t="e">
        <f t="shared" si="13"/>
        <v>#N/A</v>
      </c>
      <c r="AC21" s="6" t="e">
        <f t="shared" si="13"/>
        <v>#N/A</v>
      </c>
      <c r="AG21">
        <f t="shared" si="3"/>
        <v>3.2000000000003584E-3</v>
      </c>
      <c r="AH21">
        <f t="shared" si="3"/>
        <v>0</v>
      </c>
      <c r="AI21">
        <f t="shared" si="3"/>
        <v>0.24074074074074286</v>
      </c>
      <c r="AJ21">
        <f t="shared" si="3"/>
        <v>-2.8275862068965525</v>
      </c>
      <c r="AK21">
        <f t="shared" si="3"/>
        <v>0.48000000000000043</v>
      </c>
      <c r="AL21">
        <f t="shared" si="3"/>
        <v>-0.85555555555555385</v>
      </c>
      <c r="AM21">
        <f t="shared" si="3"/>
        <v>0</v>
      </c>
      <c r="AN21">
        <f t="shared" si="8"/>
        <v>1.7841487999999999</v>
      </c>
      <c r="AO21">
        <f t="shared" si="9"/>
        <v>2.1423278324688049</v>
      </c>
      <c r="AQ21">
        <f t="shared" si="10"/>
        <v>23.705599307801684</v>
      </c>
      <c r="AR21">
        <f t="shared" si="11"/>
        <v>26.533185514698236</v>
      </c>
      <c r="AT21" t="str">
        <f t="shared" si="12"/>
        <v>45419A</v>
      </c>
    </row>
    <row r="22" spans="1:46" hidden="1" x14ac:dyDescent="0.3">
      <c r="A22" s="17">
        <v>45419</v>
      </c>
      <c r="B22" s="18" t="s">
        <v>19</v>
      </c>
      <c r="C22" s="6">
        <v>8.0583333333333318</v>
      </c>
      <c r="D22" s="6">
        <v>37.555555555555557</v>
      </c>
      <c r="E22" s="6">
        <v>26.17444444444444</v>
      </c>
      <c r="F22" s="6">
        <v>55.92</v>
      </c>
      <c r="G22" s="6">
        <v>3.76</v>
      </c>
      <c r="H22" s="6">
        <v>3.2377777777777781</v>
      </c>
      <c r="I22" s="6">
        <v>141.2222222222222</v>
      </c>
      <c r="J22" s="6">
        <v>8.3163185506480239</v>
      </c>
      <c r="K22" s="6">
        <v>5.2255735527145667E-3</v>
      </c>
      <c r="L22" s="6">
        <v>4.345753427421585E-2</v>
      </c>
      <c r="M22" s="6">
        <v>20.015008111566988</v>
      </c>
      <c r="N22" s="6">
        <v>2.5836122406991571E-3</v>
      </c>
      <c r="O22" s="6">
        <v>5225</v>
      </c>
      <c r="P22" s="6">
        <v>81.267989083045023</v>
      </c>
      <c r="Q22" s="6">
        <v>22704.73904262295</v>
      </c>
      <c r="R22" s="6">
        <v>0</v>
      </c>
      <c r="S22" s="6">
        <v>19.874364080374011</v>
      </c>
      <c r="T22" s="6">
        <f t="shared" si="4"/>
        <v>16.124189121761013</v>
      </c>
      <c r="U22" s="6" t="e">
        <f t="shared" si="1"/>
        <v>#N/A</v>
      </c>
      <c r="V22" s="6">
        <f t="shared" si="5"/>
        <v>15.391430501071358</v>
      </c>
      <c r="W22" s="6">
        <f t="shared" si="6"/>
        <v>16.856947742450672</v>
      </c>
      <c r="X22" s="6" t="e">
        <f t="shared" si="7"/>
        <v>#N/A</v>
      </c>
      <c r="Y22" s="6" t="e">
        <f t="shared" si="13"/>
        <v>#N/A</v>
      </c>
      <c r="Z22" s="6" t="e">
        <f t="shared" si="13"/>
        <v>#N/A</v>
      </c>
      <c r="AA22" s="6" t="e">
        <f t="shared" si="13"/>
        <v>#N/A</v>
      </c>
      <c r="AB22" s="6" t="e">
        <f t="shared" si="13"/>
        <v>#N/A</v>
      </c>
      <c r="AC22" s="6" t="e">
        <f t="shared" si="13"/>
        <v>#N/A</v>
      </c>
      <c r="AG22">
        <f t="shared" si="3"/>
        <v>1.8333333333333712E-2</v>
      </c>
      <c r="AH22">
        <f t="shared" si="3"/>
        <v>0</v>
      </c>
      <c r="AI22">
        <f t="shared" si="3"/>
        <v>2.9629629629634262E-2</v>
      </c>
      <c r="AJ22">
        <f t="shared" si="3"/>
        <v>-1.4655172413793127</v>
      </c>
      <c r="AK22">
        <f t="shared" si="3"/>
        <v>0.15000000000000077</v>
      </c>
      <c r="AL22">
        <f t="shared" si="3"/>
        <v>-0.81111111111110912</v>
      </c>
      <c r="AM22">
        <f t="shared" si="3"/>
        <v>0</v>
      </c>
      <c r="AN22">
        <f t="shared" si="8"/>
        <v>-1.3722751196721314</v>
      </c>
      <c r="AO22">
        <f t="shared" si="9"/>
        <v>1.827362898703953</v>
      </c>
      <c r="AQ22">
        <f t="shared" si="10"/>
        <v>15.391430501071358</v>
      </c>
      <c r="AR22">
        <f t="shared" si="11"/>
        <v>16.856947742450672</v>
      </c>
      <c r="AT22" t="str">
        <f t="shared" si="12"/>
        <v>45419B</v>
      </c>
    </row>
    <row r="23" spans="1:46" hidden="1" x14ac:dyDescent="0.3">
      <c r="A23" s="17">
        <v>45419</v>
      </c>
      <c r="B23" s="18" t="s">
        <v>20</v>
      </c>
      <c r="C23" s="6">
        <v>8.0250000000000004</v>
      </c>
      <c r="D23" s="6">
        <v>37.9</v>
      </c>
      <c r="E23" s="6">
        <v>25.867999999999999</v>
      </c>
      <c r="F23" s="6">
        <v>55.92</v>
      </c>
      <c r="G23" s="6">
        <v>3.76</v>
      </c>
      <c r="H23" s="6">
        <v>3.278</v>
      </c>
      <c r="I23" s="6">
        <v>143.9</v>
      </c>
      <c r="J23" s="6">
        <v>8.0101937935050938</v>
      </c>
      <c r="K23" s="6">
        <v>4.2707741840613362E-3</v>
      </c>
      <c r="L23" s="6">
        <v>3.4209728862629893E-2</v>
      </c>
      <c r="M23" s="6">
        <v>20.46579325281726</v>
      </c>
      <c r="N23" s="6">
        <v>2.5839111193924091E-3</v>
      </c>
      <c r="O23" s="6">
        <v>5225</v>
      </c>
      <c r="P23" s="6">
        <v>81.274973608755531</v>
      </c>
      <c r="Q23" s="6">
        <v>21485.829600000001</v>
      </c>
      <c r="R23" s="6">
        <v>0</v>
      </c>
      <c r="S23" s="6">
        <v>19.674257798099411</v>
      </c>
      <c r="T23" s="6">
        <f t="shared" si="4"/>
        <v>17.498008245117418</v>
      </c>
      <c r="U23" s="6" t="e">
        <f t="shared" si="1"/>
        <v>#N/A</v>
      </c>
      <c r="V23" s="6">
        <f t="shared" si="5"/>
        <v>16.765249624427764</v>
      </c>
      <c r="W23" s="6">
        <f t="shared" si="6"/>
        <v>18.230766865807077</v>
      </c>
      <c r="X23" s="6" t="e">
        <f t="shared" si="7"/>
        <v>#N/A</v>
      </c>
      <c r="Y23" s="6" t="e">
        <f t="shared" si="13"/>
        <v>#N/A</v>
      </c>
      <c r="Z23" s="6" t="e">
        <f t="shared" si="13"/>
        <v>#N/A</v>
      </c>
      <c r="AA23" s="6" t="e">
        <f t="shared" si="13"/>
        <v>#N/A</v>
      </c>
      <c r="AB23" s="6" t="e">
        <f t="shared" si="13"/>
        <v>#N/A</v>
      </c>
      <c r="AC23" s="6" t="e">
        <f t="shared" si="13"/>
        <v>#N/A</v>
      </c>
      <c r="AG23">
        <f t="shared" si="3"/>
        <v>2.5000000000000001E-2</v>
      </c>
      <c r="AH23">
        <f t="shared" si="3"/>
        <v>0</v>
      </c>
      <c r="AI23">
        <f t="shared" si="3"/>
        <v>0.28500000000000192</v>
      </c>
      <c r="AJ23">
        <f t="shared" si="3"/>
        <v>-1.4655172413793127</v>
      </c>
      <c r="AK23">
        <f t="shared" si="3"/>
        <v>0.15000000000000077</v>
      </c>
      <c r="AL23">
        <f t="shared" si="3"/>
        <v>-0.60999999999999943</v>
      </c>
      <c r="AM23">
        <f t="shared" si="3"/>
        <v>0</v>
      </c>
      <c r="AN23">
        <f t="shared" si="8"/>
        <v>-1.5246388000000002</v>
      </c>
      <c r="AO23">
        <f t="shared" si="9"/>
        <v>2.4396124129898134</v>
      </c>
      <c r="AQ23">
        <f t="shared" si="10"/>
        <v>16.765249624427764</v>
      </c>
      <c r="AR23">
        <f t="shared" si="11"/>
        <v>18.230766865807077</v>
      </c>
      <c r="AT23" t="str">
        <f t="shared" si="12"/>
        <v>45419C</v>
      </c>
    </row>
    <row r="24" spans="1:46" hidden="1" x14ac:dyDescent="0.3">
      <c r="A24" s="17">
        <v>45419</v>
      </c>
      <c r="B24" s="18" t="s">
        <v>21</v>
      </c>
      <c r="C24" s="6">
        <v>8.11</v>
      </c>
      <c r="D24" s="6">
        <v>37.777777777777779</v>
      </c>
      <c r="E24" s="6">
        <v>26.31111111111111</v>
      </c>
      <c r="F24" s="6">
        <v>55.92</v>
      </c>
      <c r="G24" s="6">
        <v>3.76</v>
      </c>
      <c r="H24" s="6">
        <v>3.2977777777777781</v>
      </c>
      <c r="I24" s="6">
        <v>146.55555555555549</v>
      </c>
      <c r="J24" s="6">
        <v>7.8821731308915073</v>
      </c>
      <c r="K24" s="6">
        <v>6.2247366758001934E-3</v>
      </c>
      <c r="L24" s="6">
        <v>4.9064452172867187E-2</v>
      </c>
      <c r="M24" s="6">
        <v>20.223063155223219</v>
      </c>
      <c r="N24" s="6">
        <v>2.5836611006633489E-3</v>
      </c>
      <c r="O24" s="6">
        <v>5225</v>
      </c>
      <c r="P24" s="6">
        <v>81.271212795106052</v>
      </c>
      <c r="Q24" s="6">
        <v>33320.420619354838</v>
      </c>
      <c r="R24" s="6">
        <v>0</v>
      </c>
      <c r="S24" s="6">
        <v>18.78635435219002</v>
      </c>
      <c r="T24" s="6">
        <f t="shared" si="4"/>
        <v>18.703272979799536</v>
      </c>
      <c r="U24" s="6" t="e">
        <f t="shared" si="1"/>
        <v>#N/A</v>
      </c>
      <c r="V24" s="6">
        <f t="shared" si="5"/>
        <v>17.970514359109881</v>
      </c>
      <c r="W24" s="6">
        <f t="shared" si="6"/>
        <v>19.436031600489194</v>
      </c>
      <c r="X24" s="6" t="e">
        <f t="shared" si="7"/>
        <v>#N/A</v>
      </c>
      <c r="Y24" s="6" t="e">
        <f t="shared" si="13"/>
        <v>#N/A</v>
      </c>
      <c r="Z24" s="6" t="e">
        <f t="shared" si="13"/>
        <v>#N/A</v>
      </c>
      <c r="AA24" s="6" t="e">
        <f t="shared" si="13"/>
        <v>#N/A</v>
      </c>
      <c r="AB24" s="6" t="e">
        <f t="shared" si="13"/>
        <v>#N/A</v>
      </c>
      <c r="AC24" s="6" t="e">
        <f t="shared" si="13"/>
        <v>#N/A</v>
      </c>
      <c r="AG24">
        <f t="shared" si="3"/>
        <v>8.0000000000001858E-3</v>
      </c>
      <c r="AH24">
        <f t="shared" si="3"/>
        <v>0</v>
      </c>
      <c r="AI24">
        <f t="shared" si="3"/>
        <v>-8.4259259259257632E-2</v>
      </c>
      <c r="AJ24">
        <f t="shared" si="3"/>
        <v>-1.4655172413793127</v>
      </c>
      <c r="AK24">
        <f t="shared" si="3"/>
        <v>0.15000000000000077</v>
      </c>
      <c r="AL24">
        <f t="shared" si="3"/>
        <v>-0.51111111111110885</v>
      </c>
      <c r="AM24">
        <f t="shared" si="3"/>
        <v>0</v>
      </c>
      <c r="AN24">
        <f t="shared" si="8"/>
        <v>-4.5314922580645546E-2</v>
      </c>
      <c r="AO24">
        <f t="shared" si="9"/>
        <v>2.6956537382169863</v>
      </c>
      <c r="AQ24">
        <f t="shared" si="10"/>
        <v>17.970514359109881</v>
      </c>
      <c r="AR24">
        <f t="shared" si="11"/>
        <v>19.436031600489194</v>
      </c>
      <c r="AT24" t="str">
        <f t="shared" si="12"/>
        <v>45419D</v>
      </c>
    </row>
    <row r="25" spans="1:46" hidden="1" x14ac:dyDescent="0.3">
      <c r="A25" s="17">
        <v>45420</v>
      </c>
      <c r="B25" s="18" t="s">
        <v>22</v>
      </c>
      <c r="C25" s="6">
        <v>8.1733333333333338</v>
      </c>
      <c r="D25" s="6">
        <v>37.333333333333343</v>
      </c>
      <c r="E25" s="6">
        <v>26.243333333333339</v>
      </c>
      <c r="F25" s="6">
        <v>55.92</v>
      </c>
      <c r="G25" s="6">
        <v>3.76</v>
      </c>
      <c r="H25" s="6">
        <v>3.2999999999999989</v>
      </c>
      <c r="I25" s="6">
        <v>149.33333333333329</v>
      </c>
      <c r="J25" s="6">
        <v>9.6220873726384113</v>
      </c>
      <c r="K25" s="6">
        <v>9.2186508145009234E-3</v>
      </c>
      <c r="L25" s="6">
        <v>8.8702663594972142E-2</v>
      </c>
      <c r="M25" s="6">
        <v>19.55338550235631</v>
      </c>
      <c r="N25" s="6">
        <v>2.583370760436379E-3</v>
      </c>
      <c r="O25" s="6">
        <v>5225</v>
      </c>
      <c r="P25" s="6">
        <v>81.260837272892502</v>
      </c>
      <c r="Q25" s="6">
        <v>22895.071199999998</v>
      </c>
      <c r="R25" s="6">
        <v>0</v>
      </c>
      <c r="S25" s="6">
        <v>17.442442884094952</v>
      </c>
      <c r="T25" s="6">
        <f t="shared" si="4"/>
        <v>13.305524091945378</v>
      </c>
      <c r="U25" s="6" t="e">
        <f t="shared" si="1"/>
        <v>#N/A</v>
      </c>
      <c r="V25" s="6">
        <f t="shared" si="5"/>
        <v>12.572765471255721</v>
      </c>
      <c r="W25" s="6">
        <f t="shared" si="6"/>
        <v>14.038282712635034</v>
      </c>
      <c r="X25" s="6" t="e">
        <f t="shared" si="7"/>
        <v>#N/A</v>
      </c>
      <c r="Y25" s="6" t="e">
        <f t="shared" si="13"/>
        <v>#N/A</v>
      </c>
      <c r="Z25" s="6" t="e">
        <f t="shared" si="13"/>
        <v>#N/A</v>
      </c>
      <c r="AA25" s="6" t="e">
        <f t="shared" si="13"/>
        <v>#N/A</v>
      </c>
      <c r="AB25" s="6" t="e">
        <f t="shared" si="13"/>
        <v>#N/A</v>
      </c>
      <c r="AC25" s="6" t="e">
        <f t="shared" si="13"/>
        <v>#N/A</v>
      </c>
      <c r="AG25">
        <f t="shared" si="3"/>
        <v>-4.6666666666666861E-3</v>
      </c>
      <c r="AH25">
        <f t="shared" si="3"/>
        <v>0</v>
      </c>
      <c r="AI25">
        <f t="shared" si="3"/>
        <v>-2.777777777778212E-2</v>
      </c>
      <c r="AJ25">
        <f t="shared" si="3"/>
        <v>-1.4655172413793127</v>
      </c>
      <c r="AK25">
        <f t="shared" si="3"/>
        <v>0.15000000000000077</v>
      </c>
      <c r="AL25">
        <f t="shared" si="3"/>
        <v>-0.500000000000005</v>
      </c>
      <c r="AM25">
        <f t="shared" si="3"/>
        <v>0</v>
      </c>
      <c r="AN25">
        <f t="shared" si="8"/>
        <v>-1.3484836000000004</v>
      </c>
      <c r="AO25">
        <f t="shared" si="9"/>
        <v>-0.78417474527682174</v>
      </c>
      <c r="AQ25">
        <f t="shared" si="10"/>
        <v>12.572765471255721</v>
      </c>
      <c r="AR25">
        <f t="shared" si="11"/>
        <v>14.038282712635034</v>
      </c>
      <c r="AT25" t="str">
        <f t="shared" si="12"/>
        <v>45420A</v>
      </c>
    </row>
    <row r="26" spans="1:46" hidden="1" x14ac:dyDescent="0.3">
      <c r="A26" s="17">
        <v>45420</v>
      </c>
      <c r="B26" s="18" t="s">
        <v>19</v>
      </c>
      <c r="C26" s="6">
        <v>8.1959999999999997</v>
      </c>
      <c r="D26" s="6">
        <v>37.428571428571431</v>
      </c>
      <c r="E26" s="6">
        <v>27.164285714285711</v>
      </c>
      <c r="F26" s="6">
        <v>55.48</v>
      </c>
      <c r="G26" s="6">
        <v>3.76</v>
      </c>
      <c r="H26" s="6">
        <v>3.351428571428571</v>
      </c>
      <c r="I26" s="6">
        <v>146.28571428571431</v>
      </c>
      <c r="J26" s="6">
        <v>12.082733382003809</v>
      </c>
      <c r="K26" s="6">
        <v>4.1126090827608014E-3</v>
      </c>
      <c r="L26" s="6">
        <v>4.9691559051405987E-2</v>
      </c>
      <c r="M26" s="6">
        <v>15.869729025468301</v>
      </c>
      <c r="N26" s="6">
        <v>3.7727421143535351</v>
      </c>
      <c r="O26" s="6">
        <v>5225</v>
      </c>
      <c r="P26" s="6">
        <v>111.69873596593661</v>
      </c>
      <c r="Q26" s="6">
        <v>13998.88</v>
      </c>
      <c r="R26" s="6">
        <v>0</v>
      </c>
      <c r="S26" s="6">
        <v>15.073818758040209</v>
      </c>
      <c r="T26" s="6">
        <f t="shared" si="4"/>
        <v>3.4530112475033796</v>
      </c>
      <c r="U26" s="6" t="e">
        <f t="shared" si="1"/>
        <v>#N/A</v>
      </c>
      <c r="V26" s="6">
        <f t="shared" si="5"/>
        <v>3.0995629716413138</v>
      </c>
      <c r="W26" s="6">
        <f t="shared" si="6"/>
        <v>3.8064595233654459</v>
      </c>
      <c r="X26" s="6" t="e">
        <f t="shared" si="7"/>
        <v>#N/A</v>
      </c>
      <c r="Y26" s="6" t="e">
        <f t="shared" si="13"/>
        <v>#N/A</v>
      </c>
      <c r="Z26" s="6" t="e">
        <f t="shared" si="13"/>
        <v>#N/A</v>
      </c>
      <c r="AA26" s="6" t="e">
        <f t="shared" si="13"/>
        <v>#N/A</v>
      </c>
      <c r="AB26" s="6" t="e">
        <f t="shared" si="13"/>
        <v>#N/A</v>
      </c>
      <c r="AC26" s="6" t="e">
        <f t="shared" si="13"/>
        <v>#N/A</v>
      </c>
      <c r="AG26">
        <f t="shared" si="3"/>
        <v>-9.1999999999998749E-3</v>
      </c>
      <c r="AH26">
        <f t="shared" si="3"/>
        <v>0</v>
      </c>
      <c r="AI26">
        <f t="shared" si="3"/>
        <v>-0.79523809523809186</v>
      </c>
      <c r="AJ26">
        <f t="shared" si="3"/>
        <v>-0.70689655172413202</v>
      </c>
      <c r="AK26">
        <f t="shared" si="3"/>
        <v>0.15000000000000077</v>
      </c>
      <c r="AL26">
        <f t="shared" si="3"/>
        <v>-0.24285714285714466</v>
      </c>
      <c r="AM26">
        <f t="shared" si="3"/>
        <v>0</v>
      </c>
      <c r="AN26">
        <f t="shared" si="8"/>
        <v>-2.4605075000000007</v>
      </c>
      <c r="AO26">
        <f t="shared" si="9"/>
        <v>-5.7054667640076175</v>
      </c>
      <c r="AQ26">
        <f t="shared" si="10"/>
        <v>3.0995629716413138</v>
      </c>
      <c r="AR26">
        <f t="shared" si="11"/>
        <v>3.8064595233654459</v>
      </c>
      <c r="AT26" t="str">
        <f t="shared" si="12"/>
        <v>45420B</v>
      </c>
    </row>
    <row r="27" spans="1:46" hidden="1" x14ac:dyDescent="0.3">
      <c r="A27" s="17">
        <v>45420</v>
      </c>
      <c r="B27" s="18" t="s">
        <v>20</v>
      </c>
      <c r="C27" s="6">
        <v>8.1966666666666672</v>
      </c>
      <c r="D27" s="6">
        <v>37.700000000000003</v>
      </c>
      <c r="E27" s="6">
        <v>27.305</v>
      </c>
      <c r="F27" s="6">
        <v>55.48</v>
      </c>
      <c r="G27" s="6">
        <v>3.83</v>
      </c>
      <c r="H27" s="6">
        <v>3.3660000000000001</v>
      </c>
      <c r="I27" s="6">
        <v>148.69999999999999</v>
      </c>
      <c r="J27" s="6">
        <v>11.77706215144689</v>
      </c>
      <c r="K27" s="6">
        <v>3.356767156505487E-3</v>
      </c>
      <c r="L27" s="6">
        <v>3.953285543010078E-2</v>
      </c>
      <c r="M27" s="6">
        <v>16.140783266126149</v>
      </c>
      <c r="N27" s="6">
        <v>2.7614676001173408</v>
      </c>
      <c r="O27" s="6">
        <v>5225</v>
      </c>
      <c r="P27" s="6">
        <v>114.836761042132</v>
      </c>
      <c r="Q27" s="6">
        <v>16893.063200000001</v>
      </c>
      <c r="R27" s="6">
        <v>0</v>
      </c>
      <c r="S27" s="6">
        <v>14.878419941005699</v>
      </c>
      <c r="T27" s="6">
        <f t="shared" si="4"/>
        <v>4.4426427540369726</v>
      </c>
      <c r="U27" s="6" t="e">
        <f t="shared" si="1"/>
        <v>#N/A</v>
      </c>
      <c r="V27" s="6">
        <f t="shared" si="5"/>
        <v>4.0891944781749068</v>
      </c>
      <c r="W27" s="6">
        <f t="shared" si="6"/>
        <v>4.7960910298990385</v>
      </c>
      <c r="X27" s="6" t="e">
        <f t="shared" si="7"/>
        <v>#N/A</v>
      </c>
      <c r="Y27" s="6" t="e">
        <f t="shared" ref="Y27:AC36" si="14">VLOOKUP($AT27,hhh,3,0)</f>
        <v>#N/A</v>
      </c>
      <c r="Z27" s="6" t="e">
        <f t="shared" si="14"/>
        <v>#N/A</v>
      </c>
      <c r="AA27" s="6" t="e">
        <f t="shared" si="14"/>
        <v>#N/A</v>
      </c>
      <c r="AB27" s="6" t="e">
        <f t="shared" si="14"/>
        <v>#N/A</v>
      </c>
      <c r="AC27" s="6" t="e">
        <f t="shared" si="14"/>
        <v>#N/A</v>
      </c>
      <c r="AG27">
        <f t="shared" si="3"/>
        <v>-9.3333333333333723E-3</v>
      </c>
      <c r="AH27">
        <f t="shared" si="3"/>
        <v>0</v>
      </c>
      <c r="AI27">
        <f t="shared" si="3"/>
        <v>-0.91249999999999909</v>
      </c>
      <c r="AJ27">
        <f t="shared" si="3"/>
        <v>-0.70689655172413202</v>
      </c>
      <c r="AK27">
        <f t="shared" si="3"/>
        <v>-6.0000000000000053E-2</v>
      </c>
      <c r="AL27">
        <f t="shared" si="3"/>
        <v>-0.16999999999999904</v>
      </c>
      <c r="AM27">
        <f t="shared" si="3"/>
        <v>0</v>
      </c>
      <c r="AN27">
        <f t="shared" si="8"/>
        <v>-2.0987346000000002</v>
      </c>
      <c r="AO27">
        <f t="shared" si="9"/>
        <v>-5.0941243028937784</v>
      </c>
      <c r="AQ27">
        <f t="shared" si="10"/>
        <v>4.0891944781749068</v>
      </c>
      <c r="AR27">
        <f t="shared" si="11"/>
        <v>4.7960910298990385</v>
      </c>
      <c r="AT27" t="str">
        <f t="shared" si="12"/>
        <v>45420C</v>
      </c>
    </row>
    <row r="28" spans="1:46" hidden="1" x14ac:dyDescent="0.3">
      <c r="A28" s="17">
        <v>45420</v>
      </c>
      <c r="B28" s="18" t="s">
        <v>21</v>
      </c>
      <c r="C28" s="6">
        <v>8.2971428571428572</v>
      </c>
      <c r="D28" s="6">
        <v>38.111111111111107</v>
      </c>
      <c r="E28" s="6">
        <v>27.844444444444441</v>
      </c>
      <c r="F28" s="6">
        <v>55.48</v>
      </c>
      <c r="G28" s="6">
        <v>3.83</v>
      </c>
      <c r="H28" s="6">
        <v>3.3466666666666658</v>
      </c>
      <c r="I28" s="6">
        <v>152</v>
      </c>
      <c r="J28" s="6">
        <v>10.07397191158225</v>
      </c>
      <c r="K28" s="6">
        <v>4.5930406426176401E-3</v>
      </c>
      <c r="L28" s="6">
        <v>4.6270162422485772E-2</v>
      </c>
      <c r="M28" s="6">
        <v>15.59494663376692</v>
      </c>
      <c r="N28" s="6">
        <v>2.5838289736752201E-3</v>
      </c>
      <c r="O28" s="6">
        <v>5225</v>
      </c>
      <c r="P28" s="6">
        <v>86.42335941278948</v>
      </c>
      <c r="Q28" s="6">
        <v>22861.585680898879</v>
      </c>
      <c r="R28" s="6">
        <v>0</v>
      </c>
      <c r="S28" s="6">
        <v>14.401281922850449</v>
      </c>
      <c r="T28" s="6">
        <f t="shared" si="4"/>
        <v>7.4827529697204387</v>
      </c>
      <c r="U28" s="6" t="e">
        <f t="shared" si="1"/>
        <v>#N/A</v>
      </c>
      <c r="V28" s="6">
        <f t="shared" si="5"/>
        <v>7.1293046938583728</v>
      </c>
      <c r="W28" s="6">
        <f t="shared" si="6"/>
        <v>7.8362012455825045</v>
      </c>
      <c r="X28" s="6" t="e">
        <f t="shared" si="7"/>
        <v>#N/A</v>
      </c>
      <c r="Y28" s="6" t="e">
        <f t="shared" si="14"/>
        <v>#N/A</v>
      </c>
      <c r="Z28" s="6" t="e">
        <f t="shared" si="14"/>
        <v>#N/A</v>
      </c>
      <c r="AA28" s="6" t="e">
        <f t="shared" si="14"/>
        <v>#N/A</v>
      </c>
      <c r="AB28" s="6" t="e">
        <f t="shared" si="14"/>
        <v>#N/A</v>
      </c>
      <c r="AC28" s="6" t="e">
        <f t="shared" si="14"/>
        <v>#N/A</v>
      </c>
      <c r="AG28">
        <f t="shared" si="3"/>
        <v>-2.942857142857136E-2</v>
      </c>
      <c r="AH28">
        <f t="shared" si="3"/>
        <v>0</v>
      </c>
      <c r="AI28">
        <f t="shared" si="3"/>
        <v>-1.3620370370370338</v>
      </c>
      <c r="AJ28">
        <f t="shared" si="3"/>
        <v>-0.70689655172413202</v>
      </c>
      <c r="AK28">
        <f t="shared" si="3"/>
        <v>-6.0000000000000053E-2</v>
      </c>
      <c r="AL28">
        <f t="shared" si="3"/>
        <v>-0.2666666666666706</v>
      </c>
      <c r="AM28">
        <f t="shared" si="3"/>
        <v>0</v>
      </c>
      <c r="AN28">
        <f t="shared" si="8"/>
        <v>-1.3526692898876405</v>
      </c>
      <c r="AO28">
        <f t="shared" si="9"/>
        <v>-1.687943823164499</v>
      </c>
      <c r="AQ28">
        <f t="shared" si="10"/>
        <v>7.1293046938583728</v>
      </c>
      <c r="AR28">
        <f t="shared" si="11"/>
        <v>7.8362012455825045</v>
      </c>
      <c r="AT28" t="str">
        <f t="shared" si="12"/>
        <v>45420D</v>
      </c>
    </row>
    <row r="29" spans="1:46" hidden="1" x14ac:dyDescent="0.3">
      <c r="A29" s="17">
        <v>45421</v>
      </c>
      <c r="B29" s="18" t="s">
        <v>22</v>
      </c>
      <c r="C29" s="6">
        <v>8.34</v>
      </c>
      <c r="D29" s="6">
        <v>38.285714285714278</v>
      </c>
      <c r="E29" s="6">
        <v>27.355714285714289</v>
      </c>
      <c r="F29" s="6">
        <v>55.48</v>
      </c>
      <c r="G29" s="6">
        <v>3.82</v>
      </c>
      <c r="H29" s="6">
        <v>3.3342857142857141</v>
      </c>
      <c r="I29" s="6">
        <v>155.14285714285711</v>
      </c>
      <c r="J29" s="6">
        <v>9.7424258325195012</v>
      </c>
      <c r="K29" s="6">
        <v>8.8211528090371139E-3</v>
      </c>
      <c r="L29" s="6">
        <v>8.5939426999365146E-2</v>
      </c>
      <c r="M29" s="6">
        <v>17.199376668004501</v>
      </c>
      <c r="N29" s="6">
        <v>2.5823065120388301E-3</v>
      </c>
      <c r="O29" s="6">
        <v>5225</v>
      </c>
      <c r="P29" s="6">
        <v>81.224385003483548</v>
      </c>
      <c r="Q29" s="6">
        <v>38365.7984</v>
      </c>
      <c r="R29" s="6">
        <v>0</v>
      </c>
      <c r="S29" s="6">
        <v>15.135971183580599</v>
      </c>
      <c r="T29" s="6">
        <f t="shared" si="4"/>
        <v>12.055100693770097</v>
      </c>
      <c r="U29" s="6" t="e">
        <f t="shared" si="1"/>
        <v>#N/A</v>
      </c>
      <c r="V29" s="6">
        <f t="shared" si="5"/>
        <v>11.701652417908031</v>
      </c>
      <c r="W29" s="6">
        <f t="shared" si="6"/>
        <v>12.408548969632163</v>
      </c>
      <c r="X29" s="6" t="e">
        <f t="shared" si="7"/>
        <v>#N/A</v>
      </c>
      <c r="Y29" s="6" t="e">
        <f t="shared" si="14"/>
        <v>#N/A</v>
      </c>
      <c r="Z29" s="6" t="e">
        <f t="shared" si="14"/>
        <v>#N/A</v>
      </c>
      <c r="AA29" s="6" t="e">
        <f t="shared" si="14"/>
        <v>#N/A</v>
      </c>
      <c r="AB29" s="6" t="e">
        <f t="shared" si="14"/>
        <v>#N/A</v>
      </c>
      <c r="AC29" s="6" t="e">
        <f t="shared" si="14"/>
        <v>#N/A</v>
      </c>
      <c r="AG29">
        <f t="shared" si="3"/>
        <v>-3.7999999999999902E-2</v>
      </c>
      <c r="AH29">
        <f t="shared" si="3"/>
        <v>0</v>
      </c>
      <c r="AI29">
        <f t="shared" si="3"/>
        <v>-0.95476190476190648</v>
      </c>
      <c r="AJ29">
        <f t="shared" si="3"/>
        <v>-0.70689655172413202</v>
      </c>
      <c r="AK29">
        <f t="shared" si="3"/>
        <v>-2.9999999999999357E-2</v>
      </c>
      <c r="AL29">
        <f t="shared" si="3"/>
        <v>-0.32857142857142918</v>
      </c>
      <c r="AM29">
        <f t="shared" si="3"/>
        <v>0</v>
      </c>
      <c r="AN29">
        <f t="shared" si="8"/>
        <v>0.58535729999999964</v>
      </c>
      <c r="AO29">
        <f t="shared" si="9"/>
        <v>-1.0248516650390016</v>
      </c>
      <c r="AQ29">
        <f t="shared" si="10"/>
        <v>11.701652417908031</v>
      </c>
      <c r="AR29">
        <f t="shared" si="11"/>
        <v>12.408548969632163</v>
      </c>
      <c r="AT29" t="str">
        <f t="shared" si="12"/>
        <v>45421A</v>
      </c>
    </row>
    <row r="30" spans="1:46" hidden="1" x14ac:dyDescent="0.3">
      <c r="A30" s="17">
        <v>45421</v>
      </c>
      <c r="B30" s="18" t="s">
        <v>19</v>
      </c>
      <c r="C30" s="6">
        <v>8.2624999999999993</v>
      </c>
      <c r="D30" s="6">
        <v>38</v>
      </c>
      <c r="E30" s="6">
        <v>28.096</v>
      </c>
      <c r="F30" s="6">
        <v>55.65</v>
      </c>
      <c r="G30" s="6">
        <v>3.82</v>
      </c>
      <c r="H30" s="6">
        <v>3.3039999999999998</v>
      </c>
      <c r="I30" s="6">
        <v>150.19999999999999</v>
      </c>
      <c r="J30" s="6">
        <v>10.375489301321601</v>
      </c>
      <c r="K30" s="6">
        <v>4.7172177284199746E-3</v>
      </c>
      <c r="L30" s="6">
        <v>4.8943442073226033E-2</v>
      </c>
      <c r="M30" s="6">
        <v>16.492200239401392</v>
      </c>
      <c r="N30" s="6">
        <v>2.5824235973505318E-3</v>
      </c>
      <c r="O30" s="6">
        <v>5225</v>
      </c>
      <c r="P30" s="6">
        <v>82.674143556234938</v>
      </c>
      <c r="Q30" s="6">
        <v>15595.33073817209</v>
      </c>
      <c r="R30" s="6">
        <v>0</v>
      </c>
      <c r="S30" s="6">
        <v>15.162658484696671</v>
      </c>
      <c r="T30" s="6">
        <f t="shared" si="4"/>
        <v>6.3361038123630369</v>
      </c>
      <c r="U30" s="6" t="e">
        <f t="shared" si="1"/>
        <v>#N/A</v>
      </c>
      <c r="V30" s="6">
        <f t="shared" si="5"/>
        <v>5.8361038123630387</v>
      </c>
      <c r="W30" s="6">
        <f t="shared" si="6"/>
        <v>6.836103812363036</v>
      </c>
      <c r="X30" s="6" t="e">
        <f t="shared" si="7"/>
        <v>#N/A</v>
      </c>
      <c r="Y30" s="6" t="e">
        <f t="shared" si="14"/>
        <v>#N/A</v>
      </c>
      <c r="Z30" s="6" t="e">
        <f t="shared" si="14"/>
        <v>#N/A</v>
      </c>
      <c r="AA30" s="6" t="e">
        <f t="shared" si="14"/>
        <v>#N/A</v>
      </c>
      <c r="AB30" s="6" t="e">
        <f t="shared" si="14"/>
        <v>#N/A</v>
      </c>
      <c r="AC30" s="6" t="e">
        <f t="shared" si="14"/>
        <v>#N/A</v>
      </c>
      <c r="AG30">
        <f t="shared" si="3"/>
        <v>-2.2499999999999788E-2</v>
      </c>
      <c r="AH30">
        <f t="shared" si="3"/>
        <v>0</v>
      </c>
      <c r="AI30">
        <f t="shared" si="3"/>
        <v>-1.5716666666666661</v>
      </c>
      <c r="AJ30">
        <f t="shared" si="3"/>
        <v>-0.999999999999997</v>
      </c>
      <c r="AK30">
        <f t="shared" si="3"/>
        <v>-2.9999999999999357E-2</v>
      </c>
      <c r="AL30">
        <f t="shared" si="3"/>
        <v>-0.48000000000000048</v>
      </c>
      <c r="AM30">
        <f t="shared" si="3"/>
        <v>0</v>
      </c>
      <c r="AN30">
        <f t="shared" si="8"/>
        <v>-2.2609511577284893</v>
      </c>
      <c r="AO30">
        <f t="shared" si="9"/>
        <v>-2.2909786026432002</v>
      </c>
      <c r="AQ30">
        <f t="shared" si="10"/>
        <v>5.8361038123630387</v>
      </c>
      <c r="AR30">
        <f t="shared" si="11"/>
        <v>6.836103812363036</v>
      </c>
      <c r="AT30" t="str">
        <f t="shared" si="12"/>
        <v>45421B</v>
      </c>
    </row>
    <row r="31" spans="1:46" hidden="1" x14ac:dyDescent="0.3">
      <c r="A31" s="17">
        <v>45421</v>
      </c>
      <c r="B31" s="18" t="s">
        <v>20</v>
      </c>
      <c r="C31" s="6">
        <v>8.25</v>
      </c>
      <c r="D31" s="6">
        <v>38</v>
      </c>
      <c r="E31" s="6">
        <v>28.228571428571431</v>
      </c>
      <c r="F31" s="6">
        <v>55.65</v>
      </c>
      <c r="G31" s="6">
        <v>3.63</v>
      </c>
      <c r="H31" s="6">
        <v>3.34</v>
      </c>
      <c r="I31" s="6">
        <v>151.85714285714289</v>
      </c>
      <c r="J31" s="6">
        <v>9.9537736705622493</v>
      </c>
      <c r="K31" s="6">
        <v>1.0753389206828921E-2</v>
      </c>
      <c r="L31" s="6">
        <v>0.10703680235624199</v>
      </c>
      <c r="M31" s="6">
        <v>18.933097778914689</v>
      </c>
      <c r="N31" s="6">
        <v>2.5829865168351912E-3</v>
      </c>
      <c r="O31" s="6">
        <v>5225</v>
      </c>
      <c r="P31" s="6">
        <v>81.251226861278269</v>
      </c>
      <c r="Q31" s="6">
        <v>42953.364000000001</v>
      </c>
      <c r="R31" s="6">
        <v>0</v>
      </c>
      <c r="S31" s="6">
        <v>17.10344964435096</v>
      </c>
      <c r="T31" s="6">
        <f t="shared" si="4"/>
        <v>13.682210580647334</v>
      </c>
      <c r="U31" s="6" t="e">
        <f t="shared" si="1"/>
        <v>#N/A</v>
      </c>
      <c r="V31" s="6">
        <f t="shared" si="5"/>
        <v>13.182210580647336</v>
      </c>
      <c r="W31" s="6">
        <f t="shared" si="6"/>
        <v>14.182210580647332</v>
      </c>
      <c r="X31" s="6" t="e">
        <f t="shared" si="7"/>
        <v>#N/A</v>
      </c>
      <c r="Y31" s="6" t="e">
        <f t="shared" si="14"/>
        <v>#N/A</v>
      </c>
      <c r="Z31" s="6" t="e">
        <f t="shared" si="14"/>
        <v>#N/A</v>
      </c>
      <c r="AA31" s="6" t="e">
        <f t="shared" si="14"/>
        <v>#N/A</v>
      </c>
      <c r="AB31" s="6" t="e">
        <f t="shared" si="14"/>
        <v>#N/A</v>
      </c>
      <c r="AC31" s="6" t="e">
        <f t="shared" si="14"/>
        <v>#N/A</v>
      </c>
      <c r="AG31">
        <f t="shared" si="3"/>
        <v>-1.9999999999999931E-2</v>
      </c>
      <c r="AH31">
        <f t="shared" si="3"/>
        <v>0</v>
      </c>
      <c r="AI31">
        <f t="shared" si="3"/>
        <v>-1.6821428571428587</v>
      </c>
      <c r="AJ31">
        <f t="shared" si="3"/>
        <v>-0.999999999999997</v>
      </c>
      <c r="AK31">
        <f t="shared" si="3"/>
        <v>0.54000000000000048</v>
      </c>
      <c r="AL31">
        <f t="shared" si="3"/>
        <v>-0.30000000000000027</v>
      </c>
      <c r="AM31">
        <f t="shared" si="3"/>
        <v>0</v>
      </c>
      <c r="AN31">
        <f t="shared" si="8"/>
        <v>1.1588029999999998</v>
      </c>
      <c r="AO31">
        <f t="shared" si="9"/>
        <v>-1.4475473411244977</v>
      </c>
      <c r="AQ31">
        <f t="shared" si="10"/>
        <v>13.182210580647336</v>
      </c>
      <c r="AR31">
        <f t="shared" si="11"/>
        <v>14.182210580647332</v>
      </c>
      <c r="AT31" t="str">
        <f t="shared" si="12"/>
        <v>45421C</v>
      </c>
    </row>
    <row r="32" spans="1:46" hidden="1" x14ac:dyDescent="0.3">
      <c r="A32" s="17">
        <v>45421</v>
      </c>
      <c r="B32" s="18" t="s">
        <v>21</v>
      </c>
      <c r="C32" s="6">
        <v>8.2249999999999996</v>
      </c>
      <c r="D32" s="6">
        <v>37.799999999999997</v>
      </c>
      <c r="E32" s="6">
        <v>27.57</v>
      </c>
      <c r="F32" s="6">
        <v>55.65</v>
      </c>
      <c r="G32" s="6">
        <v>3.57</v>
      </c>
      <c r="H32" s="6">
        <v>3.319999999999999</v>
      </c>
      <c r="I32" s="6">
        <v>152.19999999999999</v>
      </c>
      <c r="J32" s="6">
        <v>9.5502517181050717</v>
      </c>
      <c r="K32" s="6">
        <v>1.13469423809179E-2</v>
      </c>
      <c r="L32" s="6">
        <v>0.1083661559686004</v>
      </c>
      <c r="M32" s="6">
        <v>20.17931518475023</v>
      </c>
      <c r="N32" s="6">
        <v>2.5836082649033322E-3</v>
      </c>
      <c r="O32" s="6">
        <v>5225</v>
      </c>
      <c r="P32" s="6">
        <v>81.270534901362325</v>
      </c>
      <c r="Q32" s="6">
        <v>60194.973223529407</v>
      </c>
      <c r="R32" s="6">
        <v>0</v>
      </c>
      <c r="S32" s="6">
        <v>18.265515488857741</v>
      </c>
      <c r="T32" s="6">
        <f t="shared" si="4"/>
        <v>18.524482568147924</v>
      </c>
      <c r="U32" s="6" t="e">
        <f t="shared" si="1"/>
        <v>#N/A</v>
      </c>
      <c r="V32" s="6">
        <f t="shared" si="5"/>
        <v>18.024482568147928</v>
      </c>
      <c r="W32" s="6">
        <f t="shared" si="6"/>
        <v>19.024482568147924</v>
      </c>
      <c r="X32" s="6" t="e">
        <f t="shared" si="7"/>
        <v>#N/A</v>
      </c>
      <c r="Y32" s="6" t="e">
        <f t="shared" si="14"/>
        <v>#N/A</v>
      </c>
      <c r="Z32" s="6" t="e">
        <f t="shared" si="14"/>
        <v>#N/A</v>
      </c>
      <c r="AA32" s="6" t="e">
        <f t="shared" si="14"/>
        <v>#N/A</v>
      </c>
      <c r="AB32" s="6" t="e">
        <f t="shared" si="14"/>
        <v>#N/A</v>
      </c>
      <c r="AC32" s="6" t="e">
        <f t="shared" si="14"/>
        <v>#N/A</v>
      </c>
      <c r="AG32">
        <f t="shared" si="3"/>
        <v>-1.4999999999999859E-2</v>
      </c>
      <c r="AH32">
        <f t="shared" si="3"/>
        <v>0</v>
      </c>
      <c r="AI32">
        <f t="shared" si="3"/>
        <v>-1.1333333333333329</v>
      </c>
      <c r="AJ32">
        <f t="shared" si="3"/>
        <v>-0.999999999999997</v>
      </c>
      <c r="AK32">
        <f t="shared" si="3"/>
        <v>0.72000000000000064</v>
      </c>
      <c r="AL32">
        <f t="shared" si="3"/>
        <v>-0.4000000000000048</v>
      </c>
      <c r="AM32">
        <f t="shared" si="3"/>
        <v>0</v>
      </c>
      <c r="AN32">
        <f t="shared" si="8"/>
        <v>3.3140041529411755</v>
      </c>
      <c r="AO32">
        <f t="shared" si="9"/>
        <v>-0.6405034362101425</v>
      </c>
      <c r="AQ32">
        <f t="shared" si="10"/>
        <v>18.024482568147928</v>
      </c>
      <c r="AR32">
        <f t="shared" si="11"/>
        <v>19.024482568147924</v>
      </c>
      <c r="AT32" t="str">
        <f t="shared" si="12"/>
        <v>45421D</v>
      </c>
    </row>
    <row r="33" spans="1:46" hidden="1" x14ac:dyDescent="0.3">
      <c r="A33" s="17">
        <v>45422</v>
      </c>
      <c r="B33" s="18" t="s">
        <v>22</v>
      </c>
      <c r="C33" s="6">
        <v>8.25</v>
      </c>
      <c r="D33" s="6">
        <v>37.799999999999997</v>
      </c>
      <c r="E33" s="6">
        <v>26.494</v>
      </c>
      <c r="F33" s="6">
        <v>55.65</v>
      </c>
      <c r="G33" s="6">
        <v>3.54</v>
      </c>
      <c r="H33" s="6">
        <v>3.3159999999999998</v>
      </c>
      <c r="I33" s="6">
        <v>150.80000000000001</v>
      </c>
      <c r="J33" s="6">
        <v>10.222850621802589</v>
      </c>
      <c r="K33" s="6">
        <v>8.9552526956557226E-3</v>
      </c>
      <c r="L33" s="6">
        <v>9.1548210588183382E-2</v>
      </c>
      <c r="M33" s="6">
        <v>18.75953210199377</v>
      </c>
      <c r="N33" s="6">
        <v>2.8609522327181758E-3</v>
      </c>
      <c r="O33" s="6">
        <v>5225</v>
      </c>
      <c r="P33" s="6">
        <v>81.248540328425108</v>
      </c>
      <c r="Q33" s="6">
        <v>34364.336000000003</v>
      </c>
      <c r="R33" s="6">
        <v>0</v>
      </c>
      <c r="S33" s="6">
        <v>17.186640949499111</v>
      </c>
      <c r="T33" s="6">
        <f t="shared" si="4"/>
        <v>13.492338691721928</v>
      </c>
      <c r="U33" s="6" t="e">
        <f t="shared" si="1"/>
        <v>#N/A</v>
      </c>
      <c r="V33" s="6">
        <f t="shared" si="5"/>
        <v>12.99233869172193</v>
      </c>
      <c r="W33" s="6">
        <f t="shared" si="6"/>
        <v>13.992338691721926</v>
      </c>
      <c r="X33" s="6" t="e">
        <f t="shared" si="7"/>
        <v>#N/A</v>
      </c>
      <c r="Y33" s="6" t="e">
        <f t="shared" si="14"/>
        <v>#N/A</v>
      </c>
      <c r="Z33" s="6" t="e">
        <f t="shared" si="14"/>
        <v>#N/A</v>
      </c>
      <c r="AA33" s="6" t="e">
        <f t="shared" si="14"/>
        <v>#N/A</v>
      </c>
      <c r="AB33" s="6" t="e">
        <f t="shared" si="14"/>
        <v>#N/A</v>
      </c>
      <c r="AC33" s="6" t="e">
        <f t="shared" si="14"/>
        <v>#N/A</v>
      </c>
      <c r="AG33">
        <f t="shared" si="3"/>
        <v>-1.9999999999999931E-2</v>
      </c>
      <c r="AH33">
        <f t="shared" si="3"/>
        <v>0</v>
      </c>
      <c r="AI33">
        <f t="shared" si="3"/>
        <v>-0.23666666666666578</v>
      </c>
      <c r="AJ33">
        <f t="shared" si="3"/>
        <v>-0.999999999999997</v>
      </c>
      <c r="AK33">
        <f t="shared" si="3"/>
        <v>0.80999999999999994</v>
      </c>
      <c r="AL33">
        <f t="shared" si="3"/>
        <v>-0.42000000000000037</v>
      </c>
      <c r="AM33">
        <f t="shared" si="3"/>
        <v>0</v>
      </c>
      <c r="AN33">
        <f t="shared" si="8"/>
        <v>8.5174500000000083E-2</v>
      </c>
      <c r="AO33">
        <f t="shared" si="9"/>
        <v>-1.9857012436051775</v>
      </c>
      <c r="AQ33">
        <f t="shared" si="10"/>
        <v>12.99233869172193</v>
      </c>
      <c r="AR33">
        <f t="shared" si="11"/>
        <v>13.992338691721926</v>
      </c>
      <c r="AT33" t="str">
        <f t="shared" si="12"/>
        <v>45422A</v>
      </c>
    </row>
    <row r="34" spans="1:46" hidden="1" x14ac:dyDescent="0.3">
      <c r="A34" s="17">
        <v>45422</v>
      </c>
      <c r="B34" s="18" t="s">
        <v>19</v>
      </c>
      <c r="C34" s="6">
        <v>8.1720000000000006</v>
      </c>
      <c r="D34" s="6">
        <v>38.142857142857153</v>
      </c>
      <c r="E34" s="6">
        <v>27.385714285714279</v>
      </c>
      <c r="F34" s="6">
        <v>56.08</v>
      </c>
      <c r="G34" s="6">
        <v>3.54</v>
      </c>
      <c r="H34" s="6">
        <v>3.342857142857143</v>
      </c>
      <c r="I34" s="6">
        <v>145.28571428571431</v>
      </c>
      <c r="J34" s="6">
        <v>8.2414043234840424</v>
      </c>
      <c r="K34" s="6">
        <v>2.6149184093424808E-3</v>
      </c>
      <c r="L34" s="6">
        <v>2.155059988431314E-2</v>
      </c>
      <c r="M34" s="6">
        <v>19.136350134286239</v>
      </c>
      <c r="N34" s="6">
        <v>0.83109624415178551</v>
      </c>
      <c r="O34" s="6">
        <v>5225</v>
      </c>
      <c r="P34" s="6">
        <v>81.267211802665685</v>
      </c>
      <c r="Q34" s="6">
        <v>8018.3678081279159</v>
      </c>
      <c r="R34" s="6">
        <v>0</v>
      </c>
      <c r="S34" s="6">
        <v>17.39449056068484</v>
      </c>
      <c r="T34" s="6">
        <f t="shared" si="4"/>
        <v>13.574904117685548</v>
      </c>
      <c r="U34" s="6" t="e">
        <f t="shared" si="1"/>
        <v>#N/A</v>
      </c>
      <c r="V34" s="6">
        <f t="shared" si="5"/>
        <v>12.704214462513136</v>
      </c>
      <c r="W34" s="6">
        <f t="shared" si="6"/>
        <v>14.44559377285796</v>
      </c>
      <c r="X34" s="6" t="e">
        <f t="shared" si="7"/>
        <v>#N/A</v>
      </c>
      <c r="Y34" s="6" t="e">
        <f t="shared" si="14"/>
        <v>#N/A</v>
      </c>
      <c r="Z34" s="6" t="e">
        <f t="shared" si="14"/>
        <v>#N/A</v>
      </c>
      <c r="AA34" s="6" t="e">
        <f t="shared" si="14"/>
        <v>#N/A</v>
      </c>
      <c r="AB34" s="6" t="e">
        <f t="shared" si="14"/>
        <v>#N/A</v>
      </c>
      <c r="AC34" s="6" t="e">
        <f t="shared" si="14"/>
        <v>#N/A</v>
      </c>
      <c r="AG34">
        <f t="shared" si="3"/>
        <v>-4.4000000000000488E-3</v>
      </c>
      <c r="AH34">
        <f t="shared" si="3"/>
        <v>0</v>
      </c>
      <c r="AI34">
        <f t="shared" si="3"/>
        <v>-0.97976190476189851</v>
      </c>
      <c r="AJ34">
        <f t="shared" si="3"/>
        <v>-1.7413793103448243</v>
      </c>
      <c r="AK34">
        <f t="shared" si="3"/>
        <v>0.80999999999999994</v>
      </c>
      <c r="AL34">
        <f t="shared" si="3"/>
        <v>-0.2857142857142847</v>
      </c>
      <c r="AM34">
        <f t="shared" si="3"/>
        <v>0</v>
      </c>
      <c r="AN34">
        <f t="shared" si="8"/>
        <v>-3.2080715239840112</v>
      </c>
      <c r="AO34">
        <f t="shared" si="9"/>
        <v>1.9771913530319161</v>
      </c>
      <c r="AQ34">
        <f t="shared" si="10"/>
        <v>12.704214462513136</v>
      </c>
      <c r="AR34">
        <f t="shared" si="11"/>
        <v>14.44559377285796</v>
      </c>
      <c r="AT34" t="str">
        <f t="shared" si="12"/>
        <v>45422B</v>
      </c>
    </row>
    <row r="35" spans="1:46" hidden="1" x14ac:dyDescent="0.3">
      <c r="A35" s="17">
        <v>45422</v>
      </c>
      <c r="B35" s="18" t="s">
        <v>20</v>
      </c>
      <c r="C35" s="6">
        <v>8.18</v>
      </c>
      <c r="D35" s="6">
        <v>37.833333333333343</v>
      </c>
      <c r="E35" s="6">
        <v>27.43333333333333</v>
      </c>
      <c r="F35" s="6">
        <v>56.08</v>
      </c>
      <c r="G35" s="6">
        <v>3.82</v>
      </c>
      <c r="H35" s="6">
        <v>3.3450000000000002</v>
      </c>
      <c r="I35" s="6">
        <v>144.66666666666671</v>
      </c>
      <c r="J35" s="6">
        <v>8.2618182164899689</v>
      </c>
      <c r="K35" s="6">
        <v>1.7746091675872829E-3</v>
      </c>
      <c r="L35" s="6">
        <v>1.466149834792271E-2</v>
      </c>
      <c r="M35" s="6">
        <v>17.06473695085975</v>
      </c>
      <c r="N35" s="6">
        <v>2.5835039588496412E-3</v>
      </c>
      <c r="O35" s="6">
        <v>5225</v>
      </c>
      <c r="P35" s="6">
        <v>81.222280028645599</v>
      </c>
      <c r="Q35" s="6">
        <v>7996</v>
      </c>
      <c r="R35" s="6">
        <v>0</v>
      </c>
      <c r="S35" s="6">
        <v>15.55889661760772</v>
      </c>
      <c r="T35" s="6">
        <f t="shared" si="4"/>
        <v>10.589098918262962</v>
      </c>
      <c r="U35" s="6" t="e">
        <f t="shared" si="1"/>
        <v>#N/A</v>
      </c>
      <c r="V35" s="6">
        <f t="shared" si="5"/>
        <v>9.7184092630905496</v>
      </c>
      <c r="W35" s="6">
        <f t="shared" si="6"/>
        <v>11.459788573435373</v>
      </c>
      <c r="X35" s="6" t="e">
        <f t="shared" si="7"/>
        <v>#N/A</v>
      </c>
      <c r="Y35" s="6" t="e">
        <f t="shared" si="14"/>
        <v>#N/A</v>
      </c>
      <c r="Z35" s="6" t="e">
        <f t="shared" si="14"/>
        <v>#N/A</v>
      </c>
      <c r="AA35" s="6" t="e">
        <f t="shared" si="14"/>
        <v>#N/A</v>
      </c>
      <c r="AB35" s="6" t="e">
        <f t="shared" si="14"/>
        <v>#N/A</v>
      </c>
      <c r="AC35" s="6" t="e">
        <f t="shared" si="14"/>
        <v>#N/A</v>
      </c>
      <c r="AG35">
        <f t="shared" si="3"/>
        <v>-5.9999999999998726E-3</v>
      </c>
      <c r="AH35">
        <f t="shared" si="3"/>
        <v>0</v>
      </c>
      <c r="AI35">
        <f t="shared" si="3"/>
        <v>-1.019444444444441</v>
      </c>
      <c r="AJ35">
        <f t="shared" si="3"/>
        <v>-1.7413793103448243</v>
      </c>
      <c r="AK35">
        <f t="shared" si="3"/>
        <v>-2.9999999999999357E-2</v>
      </c>
      <c r="AL35">
        <f t="shared" si="3"/>
        <v>-0.27499999999999858</v>
      </c>
      <c r="AM35">
        <f t="shared" si="3"/>
        <v>0</v>
      </c>
      <c r="AN35">
        <f t="shared" si="8"/>
        <v>-3.2108675000000004</v>
      </c>
      <c r="AO35">
        <f t="shared" si="9"/>
        <v>1.936363567020063</v>
      </c>
      <c r="AQ35">
        <f t="shared" si="10"/>
        <v>9.7184092630905496</v>
      </c>
      <c r="AR35">
        <f t="shared" si="11"/>
        <v>11.459788573435373</v>
      </c>
      <c r="AT35" t="str">
        <f t="shared" si="12"/>
        <v>45422C</v>
      </c>
    </row>
    <row r="36" spans="1:46" hidden="1" x14ac:dyDescent="0.3">
      <c r="A36" s="17">
        <v>45422</v>
      </c>
      <c r="B36" s="18" t="s">
        <v>21</v>
      </c>
      <c r="C36" s="6">
        <v>8.192499999999999</v>
      </c>
      <c r="D36" s="6">
        <v>37.583333333333343</v>
      </c>
      <c r="E36" s="6">
        <v>27.38333333333334</v>
      </c>
      <c r="F36" s="6">
        <v>56.08</v>
      </c>
      <c r="G36" s="6">
        <v>3.82</v>
      </c>
      <c r="H36" s="6">
        <v>3.351666666666667</v>
      </c>
      <c r="I36" s="6">
        <v>144.08333333333329</v>
      </c>
      <c r="J36" s="6">
        <v>8.3344969872353296</v>
      </c>
      <c r="K36" s="6">
        <v>1.121199181196615E-3</v>
      </c>
      <c r="L36" s="6">
        <v>9.3446311977739057E-3</v>
      </c>
      <c r="M36" s="6">
        <v>16.267939470747429</v>
      </c>
      <c r="N36" s="6">
        <v>2.5867955791330621E-3</v>
      </c>
      <c r="O36" s="6">
        <v>5225</v>
      </c>
      <c r="P36" s="6">
        <v>81.209962818793784</v>
      </c>
      <c r="Q36" s="6">
        <v>5465.845283018868</v>
      </c>
      <c r="R36" s="6">
        <v>0</v>
      </c>
      <c r="S36" s="6">
        <v>14.90404222837542</v>
      </c>
      <c r="T36" s="6">
        <f t="shared" si="4"/>
        <v>9.4031745570372713</v>
      </c>
      <c r="U36" s="6" t="e">
        <f t="shared" si="1"/>
        <v>#N/A</v>
      </c>
      <c r="V36" s="6">
        <f t="shared" si="5"/>
        <v>8.5324849018648585</v>
      </c>
      <c r="W36" s="6">
        <f t="shared" si="6"/>
        <v>10.273864212209682</v>
      </c>
      <c r="X36" s="6" t="e">
        <f t="shared" si="7"/>
        <v>#N/A</v>
      </c>
      <c r="Y36" s="6" t="e">
        <f t="shared" si="14"/>
        <v>#N/A</v>
      </c>
      <c r="Z36" s="6" t="e">
        <f t="shared" si="14"/>
        <v>#N/A</v>
      </c>
      <c r="AA36" s="6" t="e">
        <f t="shared" si="14"/>
        <v>#N/A</v>
      </c>
      <c r="AB36" s="6" t="e">
        <f t="shared" si="14"/>
        <v>#N/A</v>
      </c>
      <c r="AC36" s="6" t="e">
        <f t="shared" si="14"/>
        <v>#N/A</v>
      </c>
      <c r="AG36">
        <f t="shared" si="3"/>
        <v>-8.49999999999973E-3</v>
      </c>
      <c r="AH36">
        <f t="shared" si="3"/>
        <v>0</v>
      </c>
      <c r="AI36">
        <f t="shared" si="3"/>
        <v>-0.97777777777778263</v>
      </c>
      <c r="AJ36">
        <f t="shared" si="3"/>
        <v>-1.7413793103448243</v>
      </c>
      <c r="AK36">
        <f t="shared" si="3"/>
        <v>-2.9999999999999357E-2</v>
      </c>
      <c r="AL36">
        <f t="shared" si="3"/>
        <v>-0.2416666666666645</v>
      </c>
      <c r="AM36">
        <f t="shared" si="3"/>
        <v>0</v>
      </c>
      <c r="AN36">
        <f t="shared" si="8"/>
        <v>-3.5271368396226417</v>
      </c>
      <c r="AO36">
        <f t="shared" si="9"/>
        <v>1.7910060255293416</v>
      </c>
      <c r="AQ36">
        <f t="shared" si="10"/>
        <v>8.5324849018648585</v>
      </c>
      <c r="AR36">
        <f t="shared" si="11"/>
        <v>10.273864212209682</v>
      </c>
      <c r="AT36" t="str">
        <f t="shared" si="12"/>
        <v>45422D</v>
      </c>
    </row>
    <row r="37" spans="1:46" hidden="1" x14ac:dyDescent="0.3">
      <c r="A37" s="17">
        <v>45425</v>
      </c>
      <c r="B37" s="18" t="s">
        <v>19</v>
      </c>
      <c r="C37" s="6">
        <v>8.1999999999999993</v>
      </c>
      <c r="D37" s="6">
        <v>37.111111111111107</v>
      </c>
      <c r="E37" s="6">
        <v>26.596666666666671</v>
      </c>
      <c r="F37" s="6">
        <v>55.4</v>
      </c>
      <c r="G37" s="6">
        <v>3.94</v>
      </c>
      <c r="H37" s="6">
        <v>3.44</v>
      </c>
      <c r="I37" s="6">
        <v>148.11111111111109</v>
      </c>
      <c r="J37" s="6">
        <v>10.90101521375432</v>
      </c>
      <c r="K37" s="6">
        <v>4.8871119013085633E-4</v>
      </c>
      <c r="L37" s="6">
        <v>5.3274481187484428E-3</v>
      </c>
      <c r="M37" s="6">
        <v>13.702167341486801</v>
      </c>
      <c r="N37" s="6">
        <v>5.0083190640550264</v>
      </c>
      <c r="O37" s="6">
        <v>5225</v>
      </c>
      <c r="P37" s="6">
        <v>120.3938209696078</v>
      </c>
      <c r="Q37" s="6">
        <v>748.32</v>
      </c>
      <c r="R37" s="6">
        <v>4149.93</v>
      </c>
      <c r="S37" s="6">
        <v>13.437712321843989</v>
      </c>
      <c r="T37" s="6">
        <f t="shared" si="4"/>
        <v>2.9553456831352474</v>
      </c>
      <c r="U37" s="6" t="e">
        <f t="shared" si="1"/>
        <v>#N/A</v>
      </c>
      <c r="V37" s="6">
        <f t="shared" si="5"/>
        <v>2.6708629245145592</v>
      </c>
      <c r="W37" s="6">
        <f t="shared" si="6"/>
        <v>3.2398284417559355</v>
      </c>
      <c r="X37" s="6" t="e">
        <f t="shared" si="7"/>
        <v>#N/A</v>
      </c>
      <c r="Y37" s="6" t="e">
        <f t="shared" ref="Y37:AC46" si="15">VLOOKUP($AT37,hhh,3,0)</f>
        <v>#N/A</v>
      </c>
      <c r="Z37" s="6" t="e">
        <f t="shared" si="15"/>
        <v>#N/A</v>
      </c>
      <c r="AA37" s="6" t="e">
        <f t="shared" si="15"/>
        <v>#N/A</v>
      </c>
      <c r="AB37" s="6" t="e">
        <f t="shared" si="15"/>
        <v>#N/A</v>
      </c>
      <c r="AC37" s="6" t="e">
        <f t="shared" si="15"/>
        <v>#N/A</v>
      </c>
      <c r="AG37">
        <f t="shared" si="3"/>
        <v>-9.9999999999997868E-3</v>
      </c>
      <c r="AH37">
        <f t="shared" si="3"/>
        <v>0</v>
      </c>
      <c r="AI37">
        <f t="shared" si="3"/>
        <v>-0.32222222222222524</v>
      </c>
      <c r="AJ37">
        <f t="shared" si="3"/>
        <v>-0.56896551724137634</v>
      </c>
      <c r="AK37">
        <f t="shared" si="3"/>
        <v>-0.38999999999999962</v>
      </c>
      <c r="AL37">
        <f t="shared" si="3"/>
        <v>0.20000000000000018</v>
      </c>
      <c r="AM37">
        <f t="shared" si="3"/>
        <v>0</v>
      </c>
      <c r="AN37">
        <f t="shared" si="8"/>
        <v>-4.1168275000000003</v>
      </c>
      <c r="AO37">
        <f t="shared" si="9"/>
        <v>-3.3420304275086394</v>
      </c>
      <c r="AQ37">
        <f t="shared" si="10"/>
        <v>2.6708629245145592</v>
      </c>
      <c r="AR37">
        <f t="shared" si="11"/>
        <v>3.2398284417559355</v>
      </c>
      <c r="AT37" t="str">
        <f t="shared" si="12"/>
        <v>45425B</v>
      </c>
    </row>
    <row r="38" spans="1:46" hidden="1" x14ac:dyDescent="0.3">
      <c r="A38" s="17">
        <v>45425</v>
      </c>
      <c r="B38" s="18" t="s">
        <v>20</v>
      </c>
      <c r="C38" s="6">
        <v>8.1666666666666661</v>
      </c>
      <c r="D38" s="6">
        <v>36.916666666666657</v>
      </c>
      <c r="E38" s="6">
        <v>26.864166666666669</v>
      </c>
      <c r="F38" s="6">
        <v>55.4</v>
      </c>
      <c r="G38" s="6">
        <v>3.94</v>
      </c>
      <c r="H38" s="6">
        <v>3.4016666666666668</v>
      </c>
      <c r="I38" s="6">
        <v>147.33333333333329</v>
      </c>
      <c r="J38" s="6">
        <v>10.719591149319131</v>
      </c>
      <c r="K38" s="6">
        <v>9.7873140617036106E-4</v>
      </c>
      <c r="L38" s="6">
        <v>1.0491600519144471E-2</v>
      </c>
      <c r="M38" s="6">
        <v>14.54804712690154</v>
      </c>
      <c r="N38" s="6">
        <v>2.9361478218081509</v>
      </c>
      <c r="O38" s="6">
        <v>5225</v>
      </c>
      <c r="P38" s="6">
        <v>120.365603927294</v>
      </c>
      <c r="Q38" s="6">
        <v>2578.7199999999998</v>
      </c>
      <c r="R38" s="6">
        <v>7405.1049999999996</v>
      </c>
      <c r="S38" s="6">
        <v>14.411666047708961</v>
      </c>
      <c r="T38" s="6">
        <f t="shared" si="4"/>
        <v>4.3918538057537031</v>
      </c>
      <c r="U38" s="6" t="e">
        <f t="shared" si="1"/>
        <v>#N/A</v>
      </c>
      <c r="V38" s="6">
        <f t="shared" si="5"/>
        <v>4.1073710471330154</v>
      </c>
      <c r="W38" s="6">
        <f t="shared" si="6"/>
        <v>4.6763365643743917</v>
      </c>
      <c r="X38" s="6" t="e">
        <f t="shared" si="7"/>
        <v>#N/A</v>
      </c>
      <c r="Y38" s="6" t="e">
        <f t="shared" si="15"/>
        <v>#N/A</v>
      </c>
      <c r="Z38" s="6" t="e">
        <f t="shared" si="15"/>
        <v>#N/A</v>
      </c>
      <c r="AA38" s="6" t="e">
        <f t="shared" si="15"/>
        <v>#N/A</v>
      </c>
      <c r="AB38" s="6" t="e">
        <f t="shared" si="15"/>
        <v>#N/A</v>
      </c>
      <c r="AC38" s="6" t="e">
        <f t="shared" si="15"/>
        <v>#N/A</v>
      </c>
      <c r="AG38">
        <f t="shared" si="3"/>
        <v>-3.333333333333144E-3</v>
      </c>
      <c r="AH38">
        <f t="shared" si="3"/>
        <v>0</v>
      </c>
      <c r="AI38">
        <f t="shared" si="3"/>
        <v>-0.5451388888888905</v>
      </c>
      <c r="AJ38">
        <f t="shared" si="3"/>
        <v>-0.56896551724137634</v>
      </c>
      <c r="AK38">
        <f t="shared" si="3"/>
        <v>-0.38999999999999962</v>
      </c>
      <c r="AL38">
        <f t="shared" si="3"/>
        <v>8.333333333334636E-3</v>
      </c>
      <c r="AM38">
        <f t="shared" si="3"/>
        <v>0</v>
      </c>
      <c r="AN38">
        <f t="shared" si="8"/>
        <v>-3.8880275000000002</v>
      </c>
      <c r="AO38">
        <f t="shared" si="9"/>
        <v>-2.9791822986382606</v>
      </c>
      <c r="AQ38">
        <f t="shared" si="10"/>
        <v>4.1073710471330154</v>
      </c>
      <c r="AR38">
        <f t="shared" si="11"/>
        <v>4.6763365643743917</v>
      </c>
      <c r="AT38" t="str">
        <f t="shared" si="12"/>
        <v>45425C</v>
      </c>
    </row>
    <row r="39" spans="1:46" hidden="1" x14ac:dyDescent="0.3">
      <c r="A39" s="17">
        <v>45425</v>
      </c>
      <c r="B39" s="18" t="s">
        <v>21</v>
      </c>
      <c r="C39" s="6">
        <v>8.18</v>
      </c>
      <c r="D39" s="6">
        <v>36.5</v>
      </c>
      <c r="E39" s="6">
        <v>27.39</v>
      </c>
      <c r="F39" s="6">
        <v>55.4</v>
      </c>
      <c r="G39" s="6">
        <v>3.94</v>
      </c>
      <c r="H39" s="6">
        <v>3.33</v>
      </c>
      <c r="I39" s="6">
        <v>146.18181818181819</v>
      </c>
      <c r="J39" s="6">
        <v>10.774871606574211</v>
      </c>
      <c r="K39" s="6">
        <v>8.3107620694558581E-4</v>
      </c>
      <c r="L39" s="6">
        <v>8.9547394251173872E-3</v>
      </c>
      <c r="M39" s="6">
        <v>14.35988528665874</v>
      </c>
      <c r="N39" s="6">
        <v>0.86010161280090469</v>
      </c>
      <c r="O39" s="6">
        <v>5225</v>
      </c>
      <c r="P39" s="6">
        <v>112.1518980106719</v>
      </c>
      <c r="Q39" s="6">
        <v>2518.8175609756099</v>
      </c>
      <c r="R39" s="6">
        <v>8690.4215853658534</v>
      </c>
      <c r="S39" s="6">
        <v>14.3854541654646</v>
      </c>
      <c r="T39" s="6">
        <f t="shared" si="4"/>
        <v>3.4471133748489815</v>
      </c>
      <c r="U39" s="6" t="e">
        <f t="shared" si="1"/>
        <v>#N/A</v>
      </c>
      <c r="V39" s="6">
        <f t="shared" si="5"/>
        <v>3.1626306162282933</v>
      </c>
      <c r="W39" s="6">
        <f t="shared" si="6"/>
        <v>3.7315961334696697</v>
      </c>
      <c r="X39" s="6" t="e">
        <f t="shared" si="7"/>
        <v>#N/A</v>
      </c>
      <c r="Y39" s="6" t="e">
        <f t="shared" si="15"/>
        <v>#N/A</v>
      </c>
      <c r="Z39" s="6" t="e">
        <f t="shared" si="15"/>
        <v>#N/A</v>
      </c>
      <c r="AA39" s="6" t="e">
        <f t="shared" si="15"/>
        <v>#N/A</v>
      </c>
      <c r="AB39" s="6" t="e">
        <f t="shared" si="15"/>
        <v>#N/A</v>
      </c>
      <c r="AC39" s="6" t="e">
        <f t="shared" si="15"/>
        <v>#N/A</v>
      </c>
      <c r="AG39">
        <f t="shared" ref="AG39:AM56" si="16">C$3*(C$1-C39)/C$2</f>
        <v>-5.9999999999998726E-3</v>
      </c>
      <c r="AH39">
        <f t="shared" si="16"/>
        <v>0</v>
      </c>
      <c r="AI39">
        <f t="shared" si="16"/>
        <v>-0.98333333333333317</v>
      </c>
      <c r="AJ39">
        <f t="shared" si="16"/>
        <v>-0.56896551724137634</v>
      </c>
      <c r="AK39">
        <f t="shared" si="16"/>
        <v>-0.38999999999999962</v>
      </c>
      <c r="AL39">
        <f t="shared" si="16"/>
        <v>-0.3499999999999992</v>
      </c>
      <c r="AM39">
        <f t="shared" si="16"/>
        <v>0</v>
      </c>
      <c r="AN39">
        <f t="shared" si="8"/>
        <v>-3.8955153048780491</v>
      </c>
      <c r="AO39">
        <f t="shared" si="9"/>
        <v>-3.0897432131484202</v>
      </c>
      <c r="AQ39">
        <f t="shared" si="10"/>
        <v>3.1626306162282933</v>
      </c>
      <c r="AR39">
        <f t="shared" si="11"/>
        <v>3.7315961334696697</v>
      </c>
      <c r="AT39" t="str">
        <f t="shared" si="12"/>
        <v>45425D</v>
      </c>
    </row>
    <row r="40" spans="1:46" hidden="1" x14ac:dyDescent="0.3">
      <c r="A40" s="17">
        <v>45426</v>
      </c>
      <c r="B40" s="18" t="s">
        <v>22</v>
      </c>
      <c r="C40" s="6">
        <v>8.2750000000000004</v>
      </c>
      <c r="D40" s="6">
        <v>37.857142857142847</v>
      </c>
      <c r="E40" s="6">
        <v>27.158571428571431</v>
      </c>
      <c r="F40" s="6">
        <v>55.4</v>
      </c>
      <c r="G40" s="6">
        <v>3.57</v>
      </c>
      <c r="H40" s="6">
        <v>3.2714285714285709</v>
      </c>
      <c r="I40" s="6">
        <v>149.375</v>
      </c>
      <c r="J40" s="6">
        <v>9.3430504117530813</v>
      </c>
      <c r="K40" s="6">
        <v>3.4919081753549889E-3</v>
      </c>
      <c r="L40" s="6">
        <v>3.2625074115554382E-2</v>
      </c>
      <c r="M40" s="6">
        <v>17.183018432756679</v>
      </c>
      <c r="N40" s="6">
        <v>2.643818020743515E-3</v>
      </c>
      <c r="O40" s="6">
        <v>5225</v>
      </c>
      <c r="P40" s="6">
        <v>81.224110636031469</v>
      </c>
      <c r="Q40" s="6">
        <v>14856.48</v>
      </c>
      <c r="R40" s="6">
        <v>10920.16</v>
      </c>
      <c r="S40" s="6">
        <v>16.78405679703738</v>
      </c>
      <c r="T40" s="6">
        <f t="shared" si="4"/>
        <v>11.945814017296492</v>
      </c>
      <c r="U40" s="6" t="e">
        <f t="shared" si="1"/>
        <v>#N/A</v>
      </c>
      <c r="V40" s="6">
        <f t="shared" si="5"/>
        <v>11.661331258675803</v>
      </c>
      <c r="W40" s="6">
        <f t="shared" si="6"/>
        <v>12.230296775917179</v>
      </c>
      <c r="X40" s="6" t="e">
        <f t="shared" si="7"/>
        <v>#N/A</v>
      </c>
      <c r="Y40" s="6" t="e">
        <f t="shared" si="15"/>
        <v>#N/A</v>
      </c>
      <c r="Z40" s="6" t="e">
        <f t="shared" si="15"/>
        <v>#N/A</v>
      </c>
      <c r="AA40" s="6" t="e">
        <f t="shared" si="15"/>
        <v>#N/A</v>
      </c>
      <c r="AB40" s="6" t="e">
        <f t="shared" si="15"/>
        <v>#N/A</v>
      </c>
      <c r="AC40" s="6" t="e">
        <f t="shared" si="15"/>
        <v>#N/A</v>
      </c>
      <c r="AG40">
        <f t="shared" si="16"/>
        <v>-2.5000000000000001E-2</v>
      </c>
      <c r="AH40">
        <f t="shared" si="16"/>
        <v>0</v>
      </c>
      <c r="AI40">
        <f t="shared" si="16"/>
        <v>-0.79047619047619189</v>
      </c>
      <c r="AJ40">
        <f t="shared" si="16"/>
        <v>-0.56896551724137634</v>
      </c>
      <c r="AK40">
        <f t="shared" si="16"/>
        <v>0.72000000000000064</v>
      </c>
      <c r="AL40">
        <f t="shared" si="16"/>
        <v>-0.64285714285714501</v>
      </c>
      <c r="AM40">
        <f t="shared" si="16"/>
        <v>0</v>
      </c>
      <c r="AN40">
        <f t="shared" si="8"/>
        <v>-2.3533075000000006</v>
      </c>
      <c r="AO40">
        <f t="shared" si="9"/>
        <v>-0.22610082350616167</v>
      </c>
      <c r="AQ40">
        <f t="shared" si="10"/>
        <v>11.661331258675803</v>
      </c>
      <c r="AR40">
        <f t="shared" si="11"/>
        <v>12.230296775917179</v>
      </c>
      <c r="AT40" t="str">
        <f t="shared" si="12"/>
        <v>45426A</v>
      </c>
    </row>
    <row r="41" spans="1:46" hidden="1" x14ac:dyDescent="0.3">
      <c r="A41" s="17">
        <v>45426</v>
      </c>
      <c r="B41" s="18" t="s">
        <v>19</v>
      </c>
      <c r="C41" s="6">
        <v>8.08</v>
      </c>
      <c r="D41" s="6">
        <v>37.222222222222221</v>
      </c>
      <c r="E41" s="6">
        <v>27.117777777777778</v>
      </c>
      <c r="F41" s="6">
        <v>55.4</v>
      </c>
      <c r="G41" s="6">
        <v>3.57</v>
      </c>
      <c r="H41" s="6">
        <v>3.2155555555555559</v>
      </c>
      <c r="I41" s="6">
        <v>146.33333333333329</v>
      </c>
      <c r="J41" s="6">
        <v>7.1716415657934736</v>
      </c>
      <c r="K41" s="6">
        <v>7.8099927118566058E-3</v>
      </c>
      <c r="L41" s="6">
        <v>5.6010468360894933E-2</v>
      </c>
      <c r="M41" s="6">
        <v>21.641675708115539</v>
      </c>
      <c r="N41" s="6">
        <v>2.584288227837296E-3</v>
      </c>
      <c r="O41" s="6">
        <v>5225</v>
      </c>
      <c r="P41" s="6">
        <v>81.293192807177604</v>
      </c>
      <c r="Q41" s="6">
        <v>35171.252800000002</v>
      </c>
      <c r="R41" s="6">
        <v>10801.245126436779</v>
      </c>
      <c r="S41" s="6">
        <v>21.98181116177658</v>
      </c>
      <c r="T41" s="6">
        <f t="shared" si="4"/>
        <v>23.065400855008804</v>
      </c>
      <c r="U41" s="6" t="e">
        <f t="shared" si="1"/>
        <v>#N/A</v>
      </c>
      <c r="V41" s="6">
        <f t="shared" si="5"/>
        <v>22.780918096388113</v>
      </c>
      <c r="W41" s="6">
        <f t="shared" si="6"/>
        <v>23.34988361362949</v>
      </c>
      <c r="X41" s="6" t="e">
        <f t="shared" si="7"/>
        <v>#N/A</v>
      </c>
      <c r="Y41" s="6" t="e">
        <f t="shared" si="15"/>
        <v>#N/A</v>
      </c>
      <c r="Z41" s="6" t="e">
        <f t="shared" si="15"/>
        <v>#N/A</v>
      </c>
      <c r="AA41" s="6" t="e">
        <f t="shared" si="15"/>
        <v>#N/A</v>
      </c>
      <c r="AB41" s="6" t="e">
        <f t="shared" si="15"/>
        <v>#N/A</v>
      </c>
      <c r="AC41" s="6" t="e">
        <f t="shared" si="15"/>
        <v>#N/A</v>
      </c>
      <c r="AG41">
        <f t="shared" si="16"/>
        <v>1.4000000000000058E-2</v>
      </c>
      <c r="AH41">
        <f t="shared" si="16"/>
        <v>0</v>
      </c>
      <c r="AI41">
        <f t="shared" si="16"/>
        <v>-0.75648148148148131</v>
      </c>
      <c r="AJ41">
        <f t="shared" si="16"/>
        <v>-0.56896551724137634</v>
      </c>
      <c r="AK41">
        <f t="shared" si="16"/>
        <v>0.72000000000000064</v>
      </c>
      <c r="AL41">
        <f t="shared" si="16"/>
        <v>-0.92222222222221995</v>
      </c>
      <c r="AM41">
        <f t="shared" si="16"/>
        <v>0</v>
      </c>
      <c r="AN41">
        <f t="shared" si="8"/>
        <v>0.18603909999999996</v>
      </c>
      <c r="AO41">
        <f t="shared" si="9"/>
        <v>4.1167168684130537</v>
      </c>
      <c r="AQ41">
        <f t="shared" si="10"/>
        <v>22.780918096388113</v>
      </c>
      <c r="AR41">
        <f t="shared" si="11"/>
        <v>23.34988361362949</v>
      </c>
      <c r="AT41" t="str">
        <f t="shared" si="12"/>
        <v>45426B</v>
      </c>
    </row>
    <row r="42" spans="1:46" hidden="1" x14ac:dyDescent="0.3">
      <c r="A42" s="17">
        <v>45426</v>
      </c>
      <c r="B42" s="18" t="s">
        <v>20</v>
      </c>
      <c r="C42" s="6">
        <v>7.9833333333333334</v>
      </c>
      <c r="D42" s="6">
        <v>37.81818181818182</v>
      </c>
      <c r="E42" s="6">
        <v>26.667272727272721</v>
      </c>
      <c r="F42" s="6">
        <v>55.4</v>
      </c>
      <c r="G42" s="6">
        <v>3.51</v>
      </c>
      <c r="H42" s="6">
        <v>3.230909090909091</v>
      </c>
      <c r="I42" s="6">
        <v>148.72727272727269</v>
      </c>
      <c r="J42" s="6">
        <v>7.8653433718990344</v>
      </c>
      <c r="K42" s="6">
        <v>1.124539827526713E-2</v>
      </c>
      <c r="L42" s="6">
        <v>8.844891878873716E-2</v>
      </c>
      <c r="M42" s="6">
        <v>24.139111086105721</v>
      </c>
      <c r="N42" s="6">
        <v>2.5854994783381822E-3</v>
      </c>
      <c r="O42" s="6">
        <v>5225</v>
      </c>
      <c r="P42" s="6">
        <v>81.331888871792515</v>
      </c>
      <c r="Q42" s="6">
        <v>55455.88</v>
      </c>
      <c r="R42" s="6">
        <v>13060.828</v>
      </c>
      <c r="S42" s="6">
        <v>23.89676393172989</v>
      </c>
      <c r="T42" s="6">
        <f t="shared" si="4"/>
        <v>27.644980765505153</v>
      </c>
      <c r="U42" s="6" t="e">
        <f t="shared" si="1"/>
        <v>#N/A</v>
      </c>
      <c r="V42" s="6">
        <f t="shared" si="5"/>
        <v>27.360498006884466</v>
      </c>
      <c r="W42" s="6">
        <f t="shared" si="6"/>
        <v>27.929463524125843</v>
      </c>
      <c r="X42" s="6" t="e">
        <f t="shared" si="7"/>
        <v>#N/A</v>
      </c>
      <c r="Y42" s="6" t="e">
        <f t="shared" si="15"/>
        <v>#N/A</v>
      </c>
      <c r="Z42" s="6" t="e">
        <f t="shared" si="15"/>
        <v>#N/A</v>
      </c>
      <c r="AA42" s="6" t="e">
        <f t="shared" si="15"/>
        <v>#N/A</v>
      </c>
      <c r="AB42" s="6" t="e">
        <f t="shared" si="15"/>
        <v>#N/A</v>
      </c>
      <c r="AC42" s="6" t="e">
        <f t="shared" si="15"/>
        <v>#N/A</v>
      </c>
      <c r="AG42">
        <f t="shared" si="16"/>
        <v>3.3333333333333395E-2</v>
      </c>
      <c r="AH42">
        <f t="shared" si="16"/>
        <v>0</v>
      </c>
      <c r="AI42">
        <f t="shared" si="16"/>
        <v>-0.38106060606059999</v>
      </c>
      <c r="AJ42">
        <f t="shared" si="16"/>
        <v>-0.56896551724137634</v>
      </c>
      <c r="AK42">
        <f t="shared" si="16"/>
        <v>0.9000000000000008</v>
      </c>
      <c r="AL42">
        <f t="shared" si="16"/>
        <v>-0.8454545454545449</v>
      </c>
      <c r="AM42">
        <f t="shared" si="16"/>
        <v>0</v>
      </c>
      <c r="AN42">
        <f t="shared" si="8"/>
        <v>2.7216174999999994</v>
      </c>
      <c r="AO42">
        <f t="shared" si="9"/>
        <v>2.729313256201932</v>
      </c>
      <c r="AQ42">
        <f t="shared" si="10"/>
        <v>27.360498006884466</v>
      </c>
      <c r="AR42">
        <f t="shared" si="11"/>
        <v>27.929463524125843</v>
      </c>
      <c r="AT42" t="str">
        <f t="shared" si="12"/>
        <v>45426C</v>
      </c>
    </row>
    <row r="43" spans="1:46" hidden="1" x14ac:dyDescent="0.3">
      <c r="A43" s="17">
        <v>45426</v>
      </c>
      <c r="B43" s="18" t="s">
        <v>21</v>
      </c>
      <c r="C43" s="6">
        <v>7.94</v>
      </c>
      <c r="D43" s="6">
        <v>37.888888888888893</v>
      </c>
      <c r="E43" s="6">
        <v>26.81111111111111</v>
      </c>
      <c r="F43" s="6">
        <v>55.4</v>
      </c>
      <c r="G43" s="6">
        <v>3.51</v>
      </c>
      <c r="H43" s="6">
        <v>3.2222222222222219</v>
      </c>
      <c r="I43" s="6">
        <v>148.7777777777778</v>
      </c>
      <c r="J43" s="6">
        <v>8.3248970623824974</v>
      </c>
      <c r="K43" s="6">
        <v>1.2420637799192591E-2</v>
      </c>
      <c r="L43" s="6">
        <v>0.1034005311274154</v>
      </c>
      <c r="M43" s="6">
        <v>24.905614421101539</v>
      </c>
      <c r="N43" s="6">
        <v>2.5858810712366589E-3</v>
      </c>
      <c r="O43" s="6">
        <v>5225</v>
      </c>
      <c r="P43" s="6">
        <v>81.343765341912643</v>
      </c>
      <c r="Q43" s="6">
        <v>63513.665185185193</v>
      </c>
      <c r="R43" s="6">
        <v>13978.941037037041</v>
      </c>
      <c r="S43" s="6">
        <v>24.65089902009089</v>
      </c>
      <c r="T43" s="6">
        <f t="shared" si="4"/>
        <v>28.459731000678822</v>
      </c>
      <c r="U43" s="6" t="e">
        <f t="shared" si="1"/>
        <v>#N/A</v>
      </c>
      <c r="V43" s="6">
        <f t="shared" si="5"/>
        <v>28.175248242058132</v>
      </c>
      <c r="W43" s="6">
        <f t="shared" si="6"/>
        <v>28.744213759299509</v>
      </c>
      <c r="X43" s="6" t="e">
        <f t="shared" si="7"/>
        <v>#N/A</v>
      </c>
      <c r="Y43" s="6" t="e">
        <f t="shared" si="15"/>
        <v>#N/A</v>
      </c>
      <c r="Z43" s="6" t="e">
        <f t="shared" si="15"/>
        <v>#N/A</v>
      </c>
      <c r="AA43" s="6" t="e">
        <f t="shared" si="15"/>
        <v>#N/A</v>
      </c>
      <c r="AB43" s="6" t="e">
        <f t="shared" si="15"/>
        <v>#N/A</v>
      </c>
      <c r="AC43" s="6" t="e">
        <f t="shared" si="15"/>
        <v>#N/A</v>
      </c>
      <c r="AG43">
        <f t="shared" si="16"/>
        <v>4.1999999999999996E-2</v>
      </c>
      <c r="AH43">
        <f t="shared" si="16"/>
        <v>0</v>
      </c>
      <c r="AI43">
        <f t="shared" si="16"/>
        <v>-0.50092592592592433</v>
      </c>
      <c r="AJ43">
        <f t="shared" si="16"/>
        <v>-0.56896551724137634</v>
      </c>
      <c r="AK43">
        <f t="shared" si="16"/>
        <v>0.9000000000000008</v>
      </c>
      <c r="AL43">
        <f t="shared" si="16"/>
        <v>-0.88888888888889028</v>
      </c>
      <c r="AM43">
        <f t="shared" si="16"/>
        <v>0</v>
      </c>
      <c r="AN43">
        <f t="shared" si="8"/>
        <v>3.7288406481481489</v>
      </c>
      <c r="AO43">
        <f t="shared" si="9"/>
        <v>1.8102058752350061</v>
      </c>
      <c r="AQ43">
        <f t="shared" si="10"/>
        <v>28.175248242058132</v>
      </c>
      <c r="AR43">
        <f t="shared" si="11"/>
        <v>28.744213759299509</v>
      </c>
      <c r="AT43" t="str">
        <f t="shared" si="12"/>
        <v>45426D</v>
      </c>
    </row>
    <row r="44" spans="1:46" hidden="1" x14ac:dyDescent="0.3">
      <c r="A44" s="17">
        <v>45427</v>
      </c>
      <c r="B44" s="18" t="s">
        <v>22</v>
      </c>
      <c r="C44" s="6">
        <v>8.1333333333333329</v>
      </c>
      <c r="D44" s="6">
        <v>38.666666666666657</v>
      </c>
      <c r="E44" s="6">
        <v>26.706666666666671</v>
      </c>
      <c r="F44" s="6">
        <v>55.4</v>
      </c>
      <c r="G44" s="6">
        <v>3.51</v>
      </c>
      <c r="H44" s="6">
        <v>3.24</v>
      </c>
      <c r="I44" s="6">
        <v>144</v>
      </c>
      <c r="J44" s="6">
        <v>9.3264757638176103</v>
      </c>
      <c r="K44" s="6">
        <v>4.3178707898565843E-3</v>
      </c>
      <c r="L44" s="6">
        <v>4.0270517272893443E-2</v>
      </c>
      <c r="M44" s="6">
        <v>19.16069640697587</v>
      </c>
      <c r="N44" s="6">
        <v>2.585216472552962E-3</v>
      </c>
      <c r="O44" s="6">
        <v>5225</v>
      </c>
      <c r="P44" s="6">
        <v>81.254751729002066</v>
      </c>
      <c r="Q44" s="6">
        <v>11456.64</v>
      </c>
      <c r="R44" s="6">
        <v>6249.8850000000002</v>
      </c>
      <c r="S44" s="6">
        <v>20.06760915351305</v>
      </c>
      <c r="T44" s="6">
        <f t="shared" si="4"/>
        <v>13.375654690164406</v>
      </c>
      <c r="U44" s="6" t="e">
        <f t="shared" si="1"/>
        <v>#N/A</v>
      </c>
      <c r="V44" s="6">
        <f t="shared" si="5"/>
        <v>13.091171931543718</v>
      </c>
      <c r="W44" s="6">
        <f t="shared" si="6"/>
        <v>13.660137448785093</v>
      </c>
      <c r="X44" s="6" t="e">
        <f t="shared" si="7"/>
        <v>#N/A</v>
      </c>
      <c r="Y44" s="6" t="e">
        <f t="shared" si="15"/>
        <v>#N/A</v>
      </c>
      <c r="Z44" s="6" t="e">
        <f t="shared" si="15"/>
        <v>#N/A</v>
      </c>
      <c r="AA44" s="6" t="e">
        <f t="shared" si="15"/>
        <v>#N/A</v>
      </c>
      <c r="AB44" s="6" t="e">
        <f t="shared" si="15"/>
        <v>#N/A</v>
      </c>
      <c r="AC44" s="6" t="e">
        <f t="shared" si="15"/>
        <v>#N/A</v>
      </c>
      <c r="AG44">
        <f t="shared" si="16"/>
        <v>3.3333333333334992E-3</v>
      </c>
      <c r="AH44">
        <f t="shared" si="16"/>
        <v>0</v>
      </c>
      <c r="AI44">
        <f t="shared" si="16"/>
        <v>-0.41388888888889142</v>
      </c>
      <c r="AJ44">
        <f t="shared" si="16"/>
        <v>-0.56896551724137634</v>
      </c>
      <c r="AK44">
        <f t="shared" si="16"/>
        <v>0.9000000000000008</v>
      </c>
      <c r="AL44">
        <f t="shared" si="16"/>
        <v>-0.79999999999999849</v>
      </c>
      <c r="AM44">
        <f t="shared" si="16"/>
        <v>0</v>
      </c>
      <c r="AN44">
        <f t="shared" si="8"/>
        <v>-2.7782875000000002</v>
      </c>
      <c r="AO44">
        <f t="shared" si="9"/>
        <v>-0.19295152763521983</v>
      </c>
      <c r="AQ44">
        <f t="shared" si="10"/>
        <v>13.091171931543718</v>
      </c>
      <c r="AR44">
        <f t="shared" si="11"/>
        <v>13.660137448785093</v>
      </c>
      <c r="AT44" t="str">
        <f t="shared" si="12"/>
        <v>45427A</v>
      </c>
    </row>
    <row r="45" spans="1:46" hidden="1" x14ac:dyDescent="0.3">
      <c r="A45" s="17">
        <v>45427</v>
      </c>
      <c r="B45" s="18" t="s">
        <v>19</v>
      </c>
      <c r="C45" s="6">
        <v>7.9859999999999998</v>
      </c>
      <c r="D45" s="6">
        <v>37.75</v>
      </c>
      <c r="E45" s="6">
        <v>26.443750000000001</v>
      </c>
      <c r="F45" s="6">
        <v>55.81</v>
      </c>
      <c r="G45" s="6">
        <v>3.64</v>
      </c>
      <c r="H45" s="6">
        <v>3.2475000000000001</v>
      </c>
      <c r="I45" s="6">
        <v>146.75</v>
      </c>
      <c r="J45" s="6">
        <v>8.2401811258965942</v>
      </c>
      <c r="K45" s="6">
        <v>1.8583789873631001E-3</v>
      </c>
      <c r="L45" s="6">
        <v>1.5313379456432239E-2</v>
      </c>
      <c r="M45" s="6">
        <v>21.54834966918515</v>
      </c>
      <c r="N45" s="6">
        <v>2.5883266006085761E-3</v>
      </c>
      <c r="O45" s="6">
        <v>5225</v>
      </c>
      <c r="P45" s="6">
        <v>81.291746957684111</v>
      </c>
      <c r="Q45" s="6">
        <v>6432.865600000001</v>
      </c>
      <c r="R45" s="6">
        <v>9450.3984913793101</v>
      </c>
      <c r="S45" s="6">
        <v>20.428137346820741</v>
      </c>
      <c r="T45" s="6">
        <f t="shared" si="4"/>
        <v>17.250605227664948</v>
      </c>
      <c r="U45" s="6" t="e">
        <f t="shared" si="1"/>
        <v>#N/A</v>
      </c>
      <c r="V45" s="6">
        <f t="shared" si="5"/>
        <v>16.612674193182187</v>
      </c>
      <c r="W45" s="6">
        <f t="shared" si="6"/>
        <v>17.888536262147706</v>
      </c>
      <c r="X45" s="6" t="e">
        <f t="shared" si="7"/>
        <v>#N/A</v>
      </c>
      <c r="Y45" s="6" t="e">
        <f t="shared" si="15"/>
        <v>#N/A</v>
      </c>
      <c r="Z45" s="6" t="e">
        <f t="shared" si="15"/>
        <v>#N/A</v>
      </c>
      <c r="AA45" s="6" t="e">
        <f t="shared" si="15"/>
        <v>#N/A</v>
      </c>
      <c r="AB45" s="6" t="e">
        <f t="shared" si="15"/>
        <v>#N/A</v>
      </c>
      <c r="AC45" s="6" t="e">
        <f t="shared" si="15"/>
        <v>#N/A</v>
      </c>
      <c r="AG45">
        <f t="shared" si="16"/>
        <v>3.2800000000000121E-2</v>
      </c>
      <c r="AH45">
        <f t="shared" si="16"/>
        <v>0</v>
      </c>
      <c r="AI45">
        <f t="shared" si="16"/>
        <v>-0.19479166666666714</v>
      </c>
      <c r="AJ45">
        <f t="shared" si="16"/>
        <v>-1.2758620689655207</v>
      </c>
      <c r="AK45">
        <f t="shared" si="16"/>
        <v>0.50999999999999968</v>
      </c>
      <c r="AL45">
        <f t="shared" si="16"/>
        <v>-0.76249999999999929</v>
      </c>
      <c r="AM45">
        <f t="shared" si="16"/>
        <v>0</v>
      </c>
      <c r="AN45">
        <f t="shared" si="8"/>
        <v>-3.4062593000000003</v>
      </c>
      <c r="AO45">
        <f t="shared" si="9"/>
        <v>1.9796377482068124</v>
      </c>
      <c r="AQ45">
        <f t="shared" si="10"/>
        <v>16.612674193182187</v>
      </c>
      <c r="AR45">
        <f t="shared" si="11"/>
        <v>17.888536262147706</v>
      </c>
      <c r="AT45" t="str">
        <f t="shared" si="12"/>
        <v>45427B</v>
      </c>
    </row>
    <row r="46" spans="1:46" hidden="1" x14ac:dyDescent="0.3">
      <c r="A46" s="17">
        <v>45427</v>
      </c>
      <c r="B46" s="18" t="s">
        <v>20</v>
      </c>
      <c r="C46" s="6">
        <v>7.9328571428571433</v>
      </c>
      <c r="D46" s="6">
        <v>37.769230769230766</v>
      </c>
      <c r="E46" s="6">
        <v>26.411538461538459</v>
      </c>
      <c r="F46" s="6">
        <v>55.81</v>
      </c>
      <c r="G46" s="6">
        <v>3.64</v>
      </c>
      <c r="H46" s="6">
        <v>3.25076923076923</v>
      </c>
      <c r="I46" s="6">
        <v>148.2307692307692</v>
      </c>
      <c r="J46" s="6">
        <v>8.3717922946884986</v>
      </c>
      <c r="K46" s="6">
        <v>2.3009123113757152E-3</v>
      </c>
      <c r="L46" s="6">
        <v>1.926275995912911E-2</v>
      </c>
      <c r="M46" s="6">
        <v>22.487886804644042</v>
      </c>
      <c r="N46" s="6">
        <v>2.5863471580728731E-3</v>
      </c>
      <c r="O46" s="6">
        <v>5225</v>
      </c>
      <c r="P46" s="6">
        <v>81.306304412491599</v>
      </c>
      <c r="Q46" s="6">
        <v>10878.948</v>
      </c>
      <c r="R46" s="6">
        <v>11765.92</v>
      </c>
      <c r="S46" s="6">
        <v>21.007191124545631</v>
      </c>
      <c r="T46" s="6">
        <f t="shared" si="4"/>
        <v>18.825938188110293</v>
      </c>
      <c r="U46" s="6" t="e">
        <f t="shared" si="1"/>
        <v>#N/A</v>
      </c>
      <c r="V46" s="6">
        <f t="shared" si="5"/>
        <v>18.188007153627531</v>
      </c>
      <c r="W46" s="6">
        <f t="shared" si="6"/>
        <v>19.463869222593051</v>
      </c>
      <c r="X46" s="6" t="e">
        <f t="shared" si="7"/>
        <v>#N/A</v>
      </c>
      <c r="Y46" s="6" t="e">
        <f t="shared" si="15"/>
        <v>#N/A</v>
      </c>
      <c r="Z46" s="6" t="e">
        <f t="shared" si="15"/>
        <v>#N/A</v>
      </c>
      <c r="AA46" s="6" t="e">
        <f t="shared" si="15"/>
        <v>#N/A</v>
      </c>
      <c r="AB46" s="6" t="e">
        <f t="shared" si="15"/>
        <v>#N/A</v>
      </c>
      <c r="AC46" s="6" t="e">
        <f t="shared" si="15"/>
        <v>#N/A</v>
      </c>
      <c r="AG46">
        <f t="shared" si="16"/>
        <v>4.3428571428571421E-2</v>
      </c>
      <c r="AH46">
        <f t="shared" si="16"/>
        <v>0</v>
      </c>
      <c r="AI46">
        <f t="shared" si="16"/>
        <v>-0.1679487179487153</v>
      </c>
      <c r="AJ46">
        <f t="shared" si="16"/>
        <v>-1.2758620689655207</v>
      </c>
      <c r="AK46">
        <f t="shared" si="16"/>
        <v>0.50999999999999968</v>
      </c>
      <c r="AL46">
        <f t="shared" si="16"/>
        <v>-0.74615384615384972</v>
      </c>
      <c r="AM46">
        <f t="shared" si="16"/>
        <v>0</v>
      </c>
      <c r="AN46">
        <f t="shared" si="8"/>
        <v>-2.8504990000000001</v>
      </c>
      <c r="AO46">
        <f t="shared" si="9"/>
        <v>1.7164154106230036</v>
      </c>
      <c r="AQ46">
        <f t="shared" si="10"/>
        <v>18.188007153627531</v>
      </c>
      <c r="AR46">
        <f t="shared" si="11"/>
        <v>19.463869222593051</v>
      </c>
      <c r="AT46" t="str">
        <f t="shared" si="12"/>
        <v>45427C</v>
      </c>
    </row>
    <row r="47" spans="1:46" hidden="1" x14ac:dyDescent="0.3">
      <c r="A47" s="17">
        <v>45427</v>
      </c>
      <c r="B47" s="18" t="s">
        <v>21</v>
      </c>
      <c r="C47" s="6">
        <v>7.9512499999999999</v>
      </c>
      <c r="D47" s="6">
        <v>37.46153846153846</v>
      </c>
      <c r="E47" s="6">
        <v>26.861538461538458</v>
      </c>
      <c r="F47" s="6">
        <v>55.81</v>
      </c>
      <c r="G47" s="6">
        <v>3.64</v>
      </c>
      <c r="H47" s="6">
        <v>3.2076923076923078</v>
      </c>
      <c r="I47" s="6">
        <v>147.7692307692308</v>
      </c>
      <c r="J47" s="6">
        <v>8.9153061173696884</v>
      </c>
      <c r="K47" s="6">
        <v>4.3538062488581719E-3</v>
      </c>
      <c r="L47" s="6">
        <v>3.881551548428764E-2</v>
      </c>
      <c r="M47" s="6">
        <v>22.9524091363614</v>
      </c>
      <c r="N47" s="6">
        <v>2.58507701344389E-3</v>
      </c>
      <c r="O47" s="6">
        <v>5225</v>
      </c>
      <c r="P47" s="6">
        <v>81.313501792623782</v>
      </c>
      <c r="Q47" s="6">
        <v>21388.566933333339</v>
      </c>
      <c r="R47" s="6">
        <v>8012.6673076923071</v>
      </c>
      <c r="S47" s="6">
        <v>21.58369960001216</v>
      </c>
      <c r="T47" s="6">
        <f t="shared" si="4"/>
        <v>18.453915467780291</v>
      </c>
      <c r="U47" s="6" t="e">
        <f t="shared" si="1"/>
        <v>#N/A</v>
      </c>
      <c r="V47" s="6">
        <f t="shared" si="5"/>
        <v>17.815984433297533</v>
      </c>
      <c r="W47" s="6">
        <f t="shared" si="6"/>
        <v>19.091846502263053</v>
      </c>
      <c r="X47" s="6" t="e">
        <f t="shared" si="7"/>
        <v>#N/A</v>
      </c>
      <c r="Y47" s="6" t="e">
        <f t="shared" ref="Y47:AC56" si="17">VLOOKUP($AT47,hhh,3,0)</f>
        <v>#N/A</v>
      </c>
      <c r="Z47" s="6" t="e">
        <f t="shared" si="17"/>
        <v>#N/A</v>
      </c>
      <c r="AA47" s="6" t="e">
        <f t="shared" si="17"/>
        <v>#N/A</v>
      </c>
      <c r="AB47" s="6" t="e">
        <f t="shared" si="17"/>
        <v>#N/A</v>
      </c>
      <c r="AC47" s="6" t="e">
        <f t="shared" si="17"/>
        <v>#N/A</v>
      </c>
      <c r="AG47">
        <f t="shared" si="16"/>
        <v>3.9750000000000091E-2</v>
      </c>
      <c r="AH47">
        <f t="shared" si="16"/>
        <v>0</v>
      </c>
      <c r="AI47">
        <f t="shared" si="16"/>
        <v>-0.54294871794871469</v>
      </c>
      <c r="AJ47">
        <f t="shared" si="16"/>
        <v>-1.2758620689655207</v>
      </c>
      <c r="AK47">
        <f t="shared" si="16"/>
        <v>0.50999999999999968</v>
      </c>
      <c r="AL47">
        <f t="shared" si="16"/>
        <v>-0.96153846153846034</v>
      </c>
      <c r="AM47">
        <f t="shared" si="16"/>
        <v>0</v>
      </c>
      <c r="AN47">
        <f t="shared" si="8"/>
        <v>-1.5367966333333329</v>
      </c>
      <c r="AO47">
        <f t="shared" si="9"/>
        <v>0.62938776526062412</v>
      </c>
      <c r="AQ47">
        <f t="shared" si="10"/>
        <v>17.815984433297533</v>
      </c>
      <c r="AR47">
        <f t="shared" si="11"/>
        <v>19.091846502263053</v>
      </c>
      <c r="AT47" t="str">
        <f t="shared" si="12"/>
        <v>45427D</v>
      </c>
    </row>
    <row r="48" spans="1:46" hidden="1" x14ac:dyDescent="0.3">
      <c r="A48" s="17">
        <v>45428</v>
      </c>
      <c r="B48" s="18" t="s">
        <v>22</v>
      </c>
      <c r="C48" s="6">
        <v>8.1383333333333336</v>
      </c>
      <c r="D48" s="6">
        <v>37.81818181818182</v>
      </c>
      <c r="E48" s="6">
        <v>26.91363636363636</v>
      </c>
      <c r="F48" s="6">
        <v>55.81</v>
      </c>
      <c r="G48" s="6">
        <v>3.36</v>
      </c>
      <c r="H48" s="6">
        <v>3.2181818181818178</v>
      </c>
      <c r="I48" s="6">
        <v>149</v>
      </c>
      <c r="J48" s="6">
        <v>8.2964133957280417</v>
      </c>
      <c r="K48" s="6">
        <v>1.046539682168084E-2</v>
      </c>
      <c r="L48" s="6">
        <v>8.6825258383002576E-2</v>
      </c>
      <c r="M48" s="6">
        <v>24.30587988234663</v>
      </c>
      <c r="N48" s="6">
        <v>2.5856351919157691E-3</v>
      </c>
      <c r="O48" s="6">
        <v>5225.0000000000009</v>
      </c>
      <c r="P48" s="6">
        <v>81.334472827930043</v>
      </c>
      <c r="Q48" s="6">
        <v>45232.727200000001</v>
      </c>
      <c r="R48" s="6">
        <v>0</v>
      </c>
      <c r="S48" s="6">
        <v>22.636992753117902</v>
      </c>
      <c r="T48" s="6">
        <f t="shared" si="4"/>
        <v>23.835724244286574</v>
      </c>
      <c r="U48" s="6" t="e">
        <f t="shared" si="1"/>
        <v>#N/A</v>
      </c>
      <c r="V48" s="6">
        <f t="shared" si="5"/>
        <v>23.197793209803816</v>
      </c>
      <c r="W48" s="6">
        <f t="shared" si="6"/>
        <v>24.473655278769336</v>
      </c>
      <c r="X48" s="6" t="e">
        <f t="shared" si="7"/>
        <v>#N/A</v>
      </c>
      <c r="Y48" s="6" t="e">
        <f t="shared" si="17"/>
        <v>#N/A</v>
      </c>
      <c r="Z48" s="6" t="e">
        <f t="shared" si="17"/>
        <v>#N/A</v>
      </c>
      <c r="AA48" s="6" t="e">
        <f t="shared" si="17"/>
        <v>#N/A</v>
      </c>
      <c r="AB48" s="6" t="e">
        <f t="shared" si="17"/>
        <v>#N/A</v>
      </c>
      <c r="AC48" s="6" t="e">
        <f t="shared" si="17"/>
        <v>#N/A</v>
      </c>
      <c r="AG48">
        <f t="shared" si="16"/>
        <v>2.3333333333333431E-3</v>
      </c>
      <c r="AH48">
        <f t="shared" si="16"/>
        <v>0</v>
      </c>
      <c r="AI48">
        <f t="shared" si="16"/>
        <v>-0.58636363636363309</v>
      </c>
      <c r="AJ48">
        <f t="shared" si="16"/>
        <v>-1.2758620689655207</v>
      </c>
      <c r="AK48">
        <f t="shared" si="16"/>
        <v>1.3500000000000003</v>
      </c>
      <c r="AL48">
        <f t="shared" si="16"/>
        <v>-0.90909090909091061</v>
      </c>
      <c r="AM48">
        <f t="shared" si="16"/>
        <v>0</v>
      </c>
      <c r="AN48">
        <f t="shared" si="8"/>
        <v>1.4437233999999999</v>
      </c>
      <c r="AO48">
        <f t="shared" si="9"/>
        <v>1.8671732085439174</v>
      </c>
      <c r="AQ48">
        <f t="shared" si="10"/>
        <v>23.197793209803816</v>
      </c>
      <c r="AR48">
        <f t="shared" si="11"/>
        <v>24.473655278769336</v>
      </c>
      <c r="AT48" t="str">
        <f t="shared" si="12"/>
        <v>45428A</v>
      </c>
    </row>
    <row r="49" spans="1:46" hidden="1" x14ac:dyDescent="0.3">
      <c r="A49" s="17">
        <v>45428</v>
      </c>
      <c r="B49" s="18" t="s">
        <v>19</v>
      </c>
      <c r="C49" s="6">
        <v>8.0599999999999987</v>
      </c>
      <c r="D49" s="6">
        <v>37</v>
      </c>
      <c r="E49" s="6">
        <v>26.84</v>
      </c>
      <c r="F49" s="6">
        <v>55.4</v>
      </c>
      <c r="G49" s="6">
        <v>3.36</v>
      </c>
      <c r="H49" s="6">
        <v>3.25</v>
      </c>
      <c r="I49" s="6">
        <v>141.375</v>
      </c>
      <c r="J49" s="6">
        <v>7.4341023829335597</v>
      </c>
      <c r="K49" s="6">
        <v>4.4984443690510327E-3</v>
      </c>
      <c r="L49" s="6">
        <v>3.3441896003456338E-2</v>
      </c>
      <c r="M49" s="6">
        <v>19.864160814006421</v>
      </c>
      <c r="N49" s="6">
        <v>2.590507415838095E-3</v>
      </c>
      <c r="O49" s="6">
        <v>5225</v>
      </c>
      <c r="P49" s="6">
        <v>81.265653682606398</v>
      </c>
      <c r="Q49" s="6">
        <v>19374.2624</v>
      </c>
      <c r="R49" s="6">
        <v>0</v>
      </c>
      <c r="S49" s="6">
        <v>21.409619017867509</v>
      </c>
      <c r="T49" s="6">
        <f t="shared" si="4"/>
        <v>18.475888589518618</v>
      </c>
      <c r="U49" s="6" t="e">
        <f t="shared" si="1"/>
        <v>#N/A</v>
      </c>
      <c r="V49" s="6">
        <f t="shared" si="5"/>
        <v>18.191405830897928</v>
      </c>
      <c r="W49" s="6">
        <f t="shared" si="6"/>
        <v>18.760371348139305</v>
      </c>
      <c r="X49" s="6" t="e">
        <f t="shared" si="7"/>
        <v>#N/A</v>
      </c>
      <c r="Y49" s="6" t="e">
        <f t="shared" si="17"/>
        <v>#N/A</v>
      </c>
      <c r="Z49" s="6" t="e">
        <f t="shared" si="17"/>
        <v>#N/A</v>
      </c>
      <c r="AA49" s="6" t="e">
        <f t="shared" si="17"/>
        <v>#N/A</v>
      </c>
      <c r="AB49" s="6" t="e">
        <f t="shared" si="17"/>
        <v>#N/A</v>
      </c>
      <c r="AC49" s="6" t="e">
        <f t="shared" si="17"/>
        <v>#N/A</v>
      </c>
      <c r="AG49">
        <f t="shared" si="16"/>
        <v>1.8000000000000328E-2</v>
      </c>
      <c r="AH49">
        <f t="shared" si="16"/>
        <v>0</v>
      </c>
      <c r="AI49">
        <f t="shared" si="16"/>
        <v>-0.52499999999999925</v>
      </c>
      <c r="AJ49">
        <f t="shared" si="16"/>
        <v>-0.56896551724137634</v>
      </c>
      <c r="AK49">
        <f t="shared" si="16"/>
        <v>1.3500000000000003</v>
      </c>
      <c r="AL49">
        <f t="shared" si="16"/>
        <v>-0.74999999999999956</v>
      </c>
      <c r="AM49">
        <f t="shared" si="16"/>
        <v>0</v>
      </c>
      <c r="AN49">
        <f t="shared" si="8"/>
        <v>-1.7885847000000004</v>
      </c>
      <c r="AO49">
        <f t="shared" si="9"/>
        <v>3.5917952341328814</v>
      </c>
      <c r="AQ49">
        <f t="shared" si="10"/>
        <v>18.191405830897928</v>
      </c>
      <c r="AR49">
        <f t="shared" si="11"/>
        <v>18.760371348139305</v>
      </c>
      <c r="AT49" t="str">
        <f t="shared" si="12"/>
        <v>45428B</v>
      </c>
    </row>
    <row r="50" spans="1:46" hidden="1" x14ac:dyDescent="0.3">
      <c r="A50" s="17">
        <v>45428</v>
      </c>
      <c r="B50" s="18" t="s">
        <v>20</v>
      </c>
      <c r="C50" s="6">
        <v>8.0400000000000009</v>
      </c>
      <c r="D50" s="6">
        <v>36.4</v>
      </c>
      <c r="E50" s="6">
        <v>27.47</v>
      </c>
      <c r="F50" s="6">
        <v>55.4</v>
      </c>
      <c r="G50" s="6">
        <v>3.62</v>
      </c>
      <c r="H50" s="6">
        <v>3.266</v>
      </c>
      <c r="I50" s="6">
        <v>139.80000000000001</v>
      </c>
      <c r="J50" s="6">
        <v>7.4347227147030388</v>
      </c>
      <c r="K50" s="6">
        <v>2.4635041373728822E-3</v>
      </c>
      <c r="L50" s="6">
        <v>1.831547016789108E-2</v>
      </c>
      <c r="M50" s="6">
        <v>17.329514901638909</v>
      </c>
      <c r="N50" s="6">
        <v>2.582214291272783E-3</v>
      </c>
      <c r="O50" s="6">
        <v>5225</v>
      </c>
      <c r="P50" s="6">
        <v>81.226379896527021</v>
      </c>
      <c r="Q50" s="6">
        <v>12417.9696</v>
      </c>
      <c r="R50" s="6">
        <v>0</v>
      </c>
      <c r="S50" s="6">
        <v>19.256168471652831</v>
      </c>
      <c r="T50" s="6">
        <f t="shared" si="4"/>
        <v>13.849465413612146</v>
      </c>
      <c r="U50" s="6" t="e">
        <f t="shared" si="1"/>
        <v>#N/A</v>
      </c>
      <c r="V50" s="6">
        <f t="shared" si="5"/>
        <v>13.564982654991457</v>
      </c>
      <c r="W50" s="6">
        <f t="shared" si="6"/>
        <v>14.133948172232834</v>
      </c>
      <c r="X50" s="6" t="e">
        <f t="shared" si="7"/>
        <v>#N/A</v>
      </c>
      <c r="Y50" s="6" t="e">
        <f t="shared" si="17"/>
        <v>#N/A</v>
      </c>
      <c r="Z50" s="6" t="e">
        <f t="shared" si="17"/>
        <v>#N/A</v>
      </c>
      <c r="AA50" s="6" t="e">
        <f t="shared" si="17"/>
        <v>#N/A</v>
      </c>
      <c r="AB50" s="6" t="e">
        <f t="shared" si="17"/>
        <v>#N/A</v>
      </c>
      <c r="AC50" s="6" t="e">
        <f t="shared" si="17"/>
        <v>#N/A</v>
      </c>
      <c r="AG50">
        <f t="shared" si="16"/>
        <v>2.1999999999999888E-2</v>
      </c>
      <c r="AH50">
        <f t="shared" si="16"/>
        <v>0</v>
      </c>
      <c r="AI50">
        <f t="shared" si="16"/>
        <v>-1.0499999999999985</v>
      </c>
      <c r="AJ50">
        <f t="shared" si="16"/>
        <v>-0.56896551724137634</v>
      </c>
      <c r="AK50">
        <f t="shared" si="16"/>
        <v>0.56999999999999973</v>
      </c>
      <c r="AL50">
        <f t="shared" si="16"/>
        <v>-0.66999999999999948</v>
      </c>
      <c r="AM50">
        <f t="shared" si="16"/>
        <v>0</v>
      </c>
      <c r="AN50">
        <f t="shared" si="8"/>
        <v>-2.6581213000000004</v>
      </c>
      <c r="AO50">
        <f t="shared" si="9"/>
        <v>3.5905545705939232</v>
      </c>
      <c r="AQ50">
        <f t="shared" si="10"/>
        <v>13.564982654991457</v>
      </c>
      <c r="AR50">
        <f t="shared" si="11"/>
        <v>14.133948172232834</v>
      </c>
      <c r="AT50" t="str">
        <f t="shared" si="12"/>
        <v>45428C</v>
      </c>
    </row>
    <row r="51" spans="1:46" hidden="1" x14ac:dyDescent="0.3">
      <c r="A51" s="17">
        <v>45428</v>
      </c>
      <c r="B51" s="18" t="s">
        <v>21</v>
      </c>
      <c r="C51" s="6">
        <v>8.0985714285714288</v>
      </c>
      <c r="D51" s="6">
        <v>36.636363636363633</v>
      </c>
      <c r="E51" s="6">
        <v>27.618181818181821</v>
      </c>
      <c r="F51" s="6">
        <v>55.4</v>
      </c>
      <c r="G51" s="6">
        <v>3.62</v>
      </c>
      <c r="H51" s="6">
        <v>3.290909090909091</v>
      </c>
      <c r="I51" s="6">
        <v>141</v>
      </c>
      <c r="J51" s="6">
        <v>7.565013908154083</v>
      </c>
      <c r="K51" s="6">
        <v>3.0407801714891088E-3</v>
      </c>
      <c r="L51" s="6">
        <v>2.3003544288954271E-2</v>
      </c>
      <c r="M51" s="6">
        <v>16.695820727799969</v>
      </c>
      <c r="N51" s="6">
        <v>2.5819253446077951E-3</v>
      </c>
      <c r="O51" s="6">
        <v>5225</v>
      </c>
      <c r="P51" s="6">
        <v>81.216561924048492</v>
      </c>
      <c r="Q51" s="6">
        <v>15883.524799999999</v>
      </c>
      <c r="R51" s="6">
        <v>0</v>
      </c>
      <c r="S51" s="6">
        <v>18.330502520951569</v>
      </c>
      <c r="T51" s="6">
        <f t="shared" si="4"/>
        <v>13.377729573217435</v>
      </c>
      <c r="U51" s="6" t="e">
        <f t="shared" si="1"/>
        <v>#N/A</v>
      </c>
      <c r="V51" s="6">
        <f t="shared" si="5"/>
        <v>13.093246814596746</v>
      </c>
      <c r="W51" s="6">
        <f t="shared" si="6"/>
        <v>13.662212331838123</v>
      </c>
      <c r="X51" s="6" t="e">
        <f t="shared" si="7"/>
        <v>#N/A</v>
      </c>
      <c r="Y51" s="6" t="e">
        <f t="shared" si="17"/>
        <v>#N/A</v>
      </c>
      <c r="Z51" s="6" t="e">
        <f t="shared" si="17"/>
        <v>#N/A</v>
      </c>
      <c r="AA51" s="6" t="e">
        <f t="shared" si="17"/>
        <v>#N/A</v>
      </c>
      <c r="AB51" s="6" t="e">
        <f t="shared" si="17"/>
        <v>#N/A</v>
      </c>
      <c r="AC51" s="6" t="e">
        <f t="shared" si="17"/>
        <v>#N/A</v>
      </c>
      <c r="AG51">
        <f t="shared" si="16"/>
        <v>1.0285714285714322E-2</v>
      </c>
      <c r="AH51">
        <f t="shared" si="16"/>
        <v>0</v>
      </c>
      <c r="AI51">
        <f t="shared" si="16"/>
        <v>-1.1734848484848501</v>
      </c>
      <c r="AJ51">
        <f t="shared" si="16"/>
        <v>-0.56896551724137634</v>
      </c>
      <c r="AK51">
        <f t="shared" si="16"/>
        <v>0.56999999999999973</v>
      </c>
      <c r="AL51">
        <f t="shared" si="16"/>
        <v>-0.54545454545454453</v>
      </c>
      <c r="AM51">
        <f t="shared" si="16"/>
        <v>0</v>
      </c>
      <c r="AN51">
        <f t="shared" si="8"/>
        <v>-2.2249269000000003</v>
      </c>
      <c r="AO51">
        <f t="shared" si="9"/>
        <v>3.3299721836918348</v>
      </c>
      <c r="AQ51">
        <f t="shared" si="10"/>
        <v>13.093246814596746</v>
      </c>
      <c r="AR51">
        <f t="shared" si="11"/>
        <v>13.662212331838123</v>
      </c>
      <c r="AT51" t="str">
        <f t="shared" si="12"/>
        <v>45428D</v>
      </c>
    </row>
    <row r="52" spans="1:46" hidden="1" x14ac:dyDescent="0.3">
      <c r="A52" s="17">
        <v>45432</v>
      </c>
      <c r="B52" s="18" t="s">
        <v>19</v>
      </c>
      <c r="C52" s="6">
        <v>8.1875</v>
      </c>
      <c r="D52" s="6">
        <v>37.571428571428569</v>
      </c>
      <c r="E52" s="6">
        <v>26.98142857142857</v>
      </c>
      <c r="F52" s="6">
        <v>55.73</v>
      </c>
      <c r="G52" s="6">
        <v>3.62</v>
      </c>
      <c r="H52" s="6">
        <v>3.4142857142857141</v>
      </c>
      <c r="I52" s="6">
        <v>146.28571428571431</v>
      </c>
      <c r="J52" s="6">
        <v>8.6630185146338139</v>
      </c>
      <c r="K52" s="6">
        <v>4.9310297445515809E-4</v>
      </c>
      <c r="L52" s="6">
        <v>4.2717601973260404E-3</v>
      </c>
      <c r="M52" s="6">
        <v>15.263226015179439</v>
      </c>
      <c r="N52" s="6">
        <v>2.4563204291965128</v>
      </c>
      <c r="O52" s="6">
        <v>5225</v>
      </c>
      <c r="P52" s="6">
        <v>81.232387116893875</v>
      </c>
      <c r="Q52" s="6">
        <v>1531.2352000000001</v>
      </c>
      <c r="R52" s="6">
        <v>8729.94684375</v>
      </c>
      <c r="S52" s="6">
        <v>14.27455710329764</v>
      </c>
      <c r="T52" s="6">
        <f t="shared" si="4"/>
        <v>9.8915751527106153</v>
      </c>
      <c r="U52" s="6" t="e">
        <f t="shared" si="1"/>
        <v>#N/A</v>
      </c>
      <c r="V52" s="6">
        <f t="shared" si="5"/>
        <v>9.3226096354692398</v>
      </c>
      <c r="W52" s="6">
        <f t="shared" si="6"/>
        <v>10.460540669951992</v>
      </c>
      <c r="X52" s="6" t="e">
        <f t="shared" si="7"/>
        <v>#N/A</v>
      </c>
      <c r="Y52" s="6" t="e">
        <f t="shared" si="17"/>
        <v>#N/A</v>
      </c>
      <c r="Z52" s="6" t="e">
        <f t="shared" si="17"/>
        <v>#N/A</v>
      </c>
      <c r="AA52" s="6" t="e">
        <f t="shared" si="17"/>
        <v>#N/A</v>
      </c>
      <c r="AB52" s="6" t="e">
        <f t="shared" si="17"/>
        <v>#N/A</v>
      </c>
      <c r="AC52" s="6" t="e">
        <f t="shared" si="17"/>
        <v>#N/A</v>
      </c>
      <c r="AG52">
        <f t="shared" si="16"/>
        <v>-7.4999999999999295E-3</v>
      </c>
      <c r="AH52">
        <f t="shared" si="16"/>
        <v>0</v>
      </c>
      <c r="AI52">
        <f t="shared" si="16"/>
        <v>-0.64285714285714057</v>
      </c>
      <c r="AJ52">
        <f t="shared" si="16"/>
        <v>-1.1379310344827527</v>
      </c>
      <c r="AK52">
        <f t="shared" si="16"/>
        <v>0.56999999999999973</v>
      </c>
      <c r="AL52">
        <f t="shared" si="16"/>
        <v>7.1428571428571175E-2</v>
      </c>
      <c r="AM52">
        <f t="shared" si="16"/>
        <v>0</v>
      </c>
      <c r="AN52">
        <f t="shared" si="8"/>
        <v>-4.0189631000000006</v>
      </c>
      <c r="AO52">
        <f t="shared" si="9"/>
        <v>1.1339629707323731</v>
      </c>
      <c r="AQ52">
        <f t="shared" si="10"/>
        <v>9.3226096354692398</v>
      </c>
      <c r="AR52">
        <f t="shared" si="11"/>
        <v>10.460540669951992</v>
      </c>
      <c r="AT52" t="str">
        <f t="shared" si="12"/>
        <v>45432B</v>
      </c>
    </row>
    <row r="53" spans="1:46" hidden="1" x14ac:dyDescent="0.3">
      <c r="A53" s="17">
        <v>45432</v>
      </c>
      <c r="B53" s="18" t="s">
        <v>20</v>
      </c>
      <c r="C53" s="6">
        <v>8.1875</v>
      </c>
      <c r="D53" s="6">
        <v>37.555555555555557</v>
      </c>
      <c r="E53" s="6">
        <v>27.396666666666661</v>
      </c>
      <c r="F53" s="6">
        <v>55.73</v>
      </c>
      <c r="G53" s="6">
        <v>3.8</v>
      </c>
      <c r="H53" s="6">
        <v>3.384444444444445</v>
      </c>
      <c r="I53" s="6">
        <v>146.66666666666671</v>
      </c>
      <c r="J53" s="6">
        <v>9.2310534779569142</v>
      </c>
      <c r="K53" s="6">
        <v>9.8473143251275085E-4</v>
      </c>
      <c r="L53" s="6">
        <v>9.0901085149503232E-3</v>
      </c>
      <c r="M53" s="6">
        <v>14.920693517956179</v>
      </c>
      <c r="N53" s="6">
        <v>2.5950131047680382E-3</v>
      </c>
      <c r="O53" s="6">
        <v>5225</v>
      </c>
      <c r="P53" s="6">
        <v>85.536103165281816</v>
      </c>
      <c r="Q53" s="6">
        <v>4384.8864000000003</v>
      </c>
      <c r="R53" s="6">
        <v>12404.647000000001</v>
      </c>
      <c r="S53" s="6">
        <v>14.09098521154014</v>
      </c>
      <c r="T53" s="6">
        <f t="shared" si="4"/>
        <v>8.1937785531343188</v>
      </c>
      <c r="U53" s="6" t="e">
        <f t="shared" si="1"/>
        <v>#N/A</v>
      </c>
      <c r="V53" s="6">
        <f t="shared" si="5"/>
        <v>7.6248130358929416</v>
      </c>
      <c r="W53" s="6">
        <f t="shared" si="6"/>
        <v>8.7627440703756942</v>
      </c>
      <c r="X53" s="6" t="e">
        <f t="shared" si="7"/>
        <v>#N/A</v>
      </c>
      <c r="Y53" s="6" t="e">
        <f t="shared" si="17"/>
        <v>#N/A</v>
      </c>
      <c r="Z53" s="6" t="e">
        <f t="shared" si="17"/>
        <v>#N/A</v>
      </c>
      <c r="AA53" s="6" t="e">
        <f t="shared" si="17"/>
        <v>#N/A</v>
      </c>
      <c r="AB53" s="6" t="e">
        <f t="shared" si="17"/>
        <v>#N/A</v>
      </c>
      <c r="AC53" s="6" t="e">
        <f t="shared" si="17"/>
        <v>#N/A</v>
      </c>
      <c r="AG53">
        <f t="shared" si="16"/>
        <v>-7.4999999999999295E-3</v>
      </c>
      <c r="AH53">
        <f t="shared" si="16"/>
        <v>0</v>
      </c>
      <c r="AI53">
        <f t="shared" si="16"/>
        <v>-0.9888888888888836</v>
      </c>
      <c r="AJ53">
        <f t="shared" si="16"/>
        <v>-1.1379310344827527</v>
      </c>
      <c r="AK53">
        <f t="shared" si="16"/>
        <v>3.0000000000000689E-2</v>
      </c>
      <c r="AL53">
        <f t="shared" si="16"/>
        <v>-7.7777777777774407E-2</v>
      </c>
      <c r="AM53">
        <f t="shared" si="16"/>
        <v>0</v>
      </c>
      <c r="AN53">
        <f t="shared" si="8"/>
        <v>-3.6622567000000004</v>
      </c>
      <c r="AO53">
        <f t="shared" si="9"/>
        <v>-2.1069559138275906E-3</v>
      </c>
      <c r="AQ53">
        <f t="shared" si="10"/>
        <v>7.6248130358929416</v>
      </c>
      <c r="AR53">
        <f t="shared" si="11"/>
        <v>8.7627440703756942</v>
      </c>
      <c r="AT53" t="str">
        <f t="shared" si="12"/>
        <v>45432C</v>
      </c>
    </row>
    <row r="54" spans="1:46" hidden="1" x14ac:dyDescent="0.3">
      <c r="A54" s="17">
        <v>45432</v>
      </c>
      <c r="B54" s="18" t="s">
        <v>21</v>
      </c>
      <c r="C54" s="6">
        <v>8.0749999999999993</v>
      </c>
      <c r="D54" s="6">
        <v>37.111111111111107</v>
      </c>
      <c r="E54" s="6">
        <v>27.955555555555559</v>
      </c>
      <c r="F54" s="6">
        <v>55.73</v>
      </c>
      <c r="G54" s="6">
        <v>3.8</v>
      </c>
      <c r="H54" s="6">
        <v>3.3</v>
      </c>
      <c r="I54" s="6">
        <v>146.88888888888891</v>
      </c>
      <c r="J54" s="6">
        <v>10.10967709876782</v>
      </c>
      <c r="K54" s="6">
        <v>9.7570984511137699E-4</v>
      </c>
      <c r="L54" s="6">
        <v>9.8641114761647813E-3</v>
      </c>
      <c r="M54" s="6">
        <v>16.798432926966861</v>
      </c>
      <c r="N54" s="6">
        <v>2.5825676299232698E-3</v>
      </c>
      <c r="O54" s="6">
        <v>5225</v>
      </c>
      <c r="P54" s="6">
        <v>82.663418808292874</v>
      </c>
      <c r="Q54" s="6">
        <v>4357.6887999999999</v>
      </c>
      <c r="R54" s="6">
        <v>13515.183713114749</v>
      </c>
      <c r="S54" s="6">
        <v>15.92192165615603</v>
      </c>
      <c r="T54" s="6">
        <f t="shared" si="4"/>
        <v>7.5842251466995565</v>
      </c>
      <c r="U54" s="6" t="e">
        <f t="shared" si="1"/>
        <v>#N/A</v>
      </c>
      <c r="V54" s="6">
        <f t="shared" si="5"/>
        <v>7.0152596294581802</v>
      </c>
      <c r="W54" s="6">
        <f t="shared" si="6"/>
        <v>8.1531906639409328</v>
      </c>
      <c r="X54" s="6" t="e">
        <f t="shared" si="7"/>
        <v>#N/A</v>
      </c>
      <c r="Y54" s="6" t="e">
        <f t="shared" si="17"/>
        <v>#N/A</v>
      </c>
      <c r="Z54" s="6" t="e">
        <f t="shared" si="17"/>
        <v>#N/A</v>
      </c>
      <c r="AA54" s="6" t="e">
        <f t="shared" si="17"/>
        <v>#N/A</v>
      </c>
      <c r="AB54" s="6" t="e">
        <f t="shared" si="17"/>
        <v>#N/A</v>
      </c>
      <c r="AC54" s="6" t="e">
        <f t="shared" si="17"/>
        <v>#N/A</v>
      </c>
      <c r="AG54">
        <f t="shared" si="16"/>
        <v>1.5000000000000215E-2</v>
      </c>
      <c r="AH54">
        <f t="shared" si="16"/>
        <v>0</v>
      </c>
      <c r="AI54">
        <f t="shared" si="16"/>
        <v>-1.4546296296296322</v>
      </c>
      <c r="AJ54">
        <f t="shared" si="16"/>
        <v>-1.1379310344827527</v>
      </c>
      <c r="AK54">
        <f t="shared" si="16"/>
        <v>3.0000000000000689E-2</v>
      </c>
      <c r="AL54">
        <f t="shared" si="16"/>
        <v>-0.50000000000000044</v>
      </c>
      <c r="AM54">
        <f t="shared" si="16"/>
        <v>0</v>
      </c>
      <c r="AN54">
        <f t="shared" si="8"/>
        <v>-3.6656564000000005</v>
      </c>
      <c r="AO54">
        <f t="shared" si="9"/>
        <v>-1.7593541975356395</v>
      </c>
      <c r="AQ54">
        <f t="shared" si="10"/>
        <v>7.0152596294581802</v>
      </c>
      <c r="AR54">
        <f t="shared" si="11"/>
        <v>8.1531906639409328</v>
      </c>
      <c r="AT54" t="str">
        <f t="shared" si="12"/>
        <v>45432D</v>
      </c>
    </row>
    <row r="55" spans="1:46" hidden="1" x14ac:dyDescent="0.3">
      <c r="A55" s="17">
        <v>45433</v>
      </c>
      <c r="B55" s="18" t="s">
        <v>22</v>
      </c>
      <c r="C55" s="6">
        <v>8.1833333333333318</v>
      </c>
      <c r="D55" s="6">
        <v>38.428571428571431</v>
      </c>
      <c r="E55" s="6">
        <v>26.77428571428571</v>
      </c>
      <c r="F55" s="6">
        <v>55.73</v>
      </c>
      <c r="G55" s="6">
        <v>3.44</v>
      </c>
      <c r="H55" s="6">
        <v>3.1714285714285708</v>
      </c>
      <c r="I55" s="6">
        <v>154.71428571428569</v>
      </c>
      <c r="J55" s="6">
        <v>10.040284018533571</v>
      </c>
      <c r="K55" s="6">
        <v>7.8976612316396973E-3</v>
      </c>
      <c r="L55" s="6">
        <v>7.9294761847824205E-2</v>
      </c>
      <c r="M55" s="6">
        <v>24.265832736237829</v>
      </c>
      <c r="N55" s="6">
        <v>2.7321720508394509E-3</v>
      </c>
      <c r="O55" s="6">
        <v>5225</v>
      </c>
      <c r="P55" s="6">
        <v>81.333854911135376</v>
      </c>
      <c r="Q55" s="6">
        <v>32137.242399999999</v>
      </c>
      <c r="R55" s="6">
        <v>8330.259</v>
      </c>
      <c r="S55" s="6">
        <v>21.472213767170079</v>
      </c>
      <c r="T55" s="6">
        <f t="shared" si="4"/>
        <v>19.414607452167413</v>
      </c>
      <c r="U55" s="6" t="e">
        <f t="shared" si="1"/>
        <v>#N/A</v>
      </c>
      <c r="V55" s="6">
        <f t="shared" si="5"/>
        <v>18.845641934926036</v>
      </c>
      <c r="W55" s="6">
        <f t="shared" si="6"/>
        <v>19.98357296940879</v>
      </c>
      <c r="X55" s="6" t="e">
        <f t="shared" si="7"/>
        <v>#N/A</v>
      </c>
      <c r="Y55" s="6" t="e">
        <f t="shared" si="17"/>
        <v>#N/A</v>
      </c>
      <c r="Z55" s="6" t="e">
        <f t="shared" si="17"/>
        <v>#N/A</v>
      </c>
      <c r="AA55" s="6" t="e">
        <f t="shared" si="17"/>
        <v>#N/A</v>
      </c>
      <c r="AB55" s="6" t="e">
        <f t="shared" si="17"/>
        <v>#N/A</v>
      </c>
      <c r="AC55" s="6" t="e">
        <f t="shared" si="17"/>
        <v>#N/A</v>
      </c>
      <c r="AG55">
        <f t="shared" si="16"/>
        <v>-6.6666666666662881E-3</v>
      </c>
      <c r="AH55">
        <f t="shared" si="16"/>
        <v>0</v>
      </c>
      <c r="AI55">
        <f t="shared" si="16"/>
        <v>-0.47023809523809135</v>
      </c>
      <c r="AJ55">
        <f t="shared" si="16"/>
        <v>-1.1379310344827527</v>
      </c>
      <c r="AK55">
        <f t="shared" si="16"/>
        <v>1.1100000000000003</v>
      </c>
      <c r="AL55">
        <f t="shared" si="16"/>
        <v>-1.1428571428571455</v>
      </c>
      <c r="AM55">
        <f t="shared" si="16"/>
        <v>0</v>
      </c>
      <c r="AN55">
        <f t="shared" si="8"/>
        <v>-0.19321220000000039</v>
      </c>
      <c r="AO55">
        <f t="shared" si="9"/>
        <v>-1.6205680370671409</v>
      </c>
      <c r="AQ55">
        <f t="shared" si="10"/>
        <v>18.845641934926036</v>
      </c>
      <c r="AR55">
        <f t="shared" si="11"/>
        <v>19.98357296940879</v>
      </c>
      <c r="AT55" t="str">
        <f t="shared" si="12"/>
        <v>45433A</v>
      </c>
    </row>
    <row r="56" spans="1:46" hidden="1" x14ac:dyDescent="0.3">
      <c r="A56" s="17">
        <v>45433</v>
      </c>
      <c r="B56" s="18" t="s">
        <v>19</v>
      </c>
      <c r="C56" s="6">
        <v>7.9883333333333333</v>
      </c>
      <c r="D56" s="6">
        <v>38.285714285714278</v>
      </c>
      <c r="E56" s="6">
        <v>26.937142857142859</v>
      </c>
      <c r="F56" s="6">
        <v>55.31</v>
      </c>
      <c r="G56" s="6">
        <v>3.55</v>
      </c>
      <c r="H56" s="6">
        <v>3.1885714285714291</v>
      </c>
      <c r="I56" s="6">
        <v>147.28571428571431</v>
      </c>
      <c r="J56" s="6">
        <v>8.3265867957627808</v>
      </c>
      <c r="K56" s="6">
        <v>5.3189482065999528E-3</v>
      </c>
      <c r="L56" s="6">
        <v>4.428868390442129E-2</v>
      </c>
      <c r="M56" s="6">
        <v>22.718330406350141</v>
      </c>
      <c r="N56" s="6">
        <v>2.58481791934569E-3</v>
      </c>
      <c r="O56" s="6">
        <v>5225</v>
      </c>
      <c r="P56" s="6">
        <v>81.309874831949884</v>
      </c>
      <c r="Q56" s="6">
        <v>22278.413789268288</v>
      </c>
      <c r="R56" s="6">
        <v>6536.9</v>
      </c>
      <c r="S56" s="6">
        <v>23.12538455871276</v>
      </c>
      <c r="T56" s="6">
        <f t="shared" si="4"/>
        <v>19.859045081997074</v>
      </c>
      <c r="U56" s="6" t="e">
        <f t="shared" si="1"/>
        <v>#N/A</v>
      </c>
      <c r="V56" s="6">
        <f t="shared" si="5"/>
        <v>19.652148530272935</v>
      </c>
      <c r="W56" s="6">
        <f t="shared" si="6"/>
        <v>20.065941633721213</v>
      </c>
      <c r="X56" s="6" t="e">
        <f t="shared" si="7"/>
        <v>#N/A</v>
      </c>
      <c r="Y56" s="6" t="e">
        <f t="shared" si="17"/>
        <v>#N/A</v>
      </c>
      <c r="Z56" s="6" t="e">
        <f t="shared" si="17"/>
        <v>#N/A</v>
      </c>
      <c r="AA56" s="6" t="e">
        <f t="shared" si="17"/>
        <v>#N/A</v>
      </c>
      <c r="AB56" s="6" t="e">
        <f t="shared" si="17"/>
        <v>#N/A</v>
      </c>
      <c r="AC56" s="6" t="e">
        <f t="shared" si="17"/>
        <v>#N/A</v>
      </c>
      <c r="AG56">
        <f t="shared" si="16"/>
        <v>3.2333333333333415E-2</v>
      </c>
      <c r="AH56">
        <f t="shared" si="16"/>
        <v>0</v>
      </c>
      <c r="AI56">
        <f t="shared" si="16"/>
        <v>-0.60595238095238224</v>
      </c>
      <c r="AJ56">
        <f t="shared" si="16"/>
        <v>-0.4137931034482793</v>
      </c>
      <c r="AK56">
        <f t="shared" si="16"/>
        <v>0.78000000000000069</v>
      </c>
      <c r="AL56">
        <f t="shared" si="16"/>
        <v>-1.0571428571428545</v>
      </c>
      <c r="AM56">
        <f t="shared" si="16"/>
        <v>0</v>
      </c>
      <c r="AN56">
        <f t="shared" si="8"/>
        <v>-1.4255657763414642</v>
      </c>
      <c r="AO56">
        <f t="shared" si="9"/>
        <v>1.8068264084744392</v>
      </c>
      <c r="AQ56">
        <f t="shared" si="10"/>
        <v>19.652148530272935</v>
      </c>
      <c r="AR56">
        <f t="shared" si="11"/>
        <v>20.065941633721213</v>
      </c>
      <c r="AT56" t="str">
        <f t="shared" si="12"/>
        <v>45433B</v>
      </c>
    </row>
    <row r="57" spans="1:46" hidden="1" x14ac:dyDescent="0.3">
      <c r="A57" s="17">
        <v>45433</v>
      </c>
      <c r="B57" s="18" t="s">
        <v>20</v>
      </c>
      <c r="C57" s="6">
        <v>7.9050000000000002</v>
      </c>
      <c r="D57" s="6">
        <v>37.888888888888893</v>
      </c>
      <c r="E57" s="6">
        <v>27.067777777777781</v>
      </c>
      <c r="F57" s="6">
        <v>55.31</v>
      </c>
      <c r="G57" s="6">
        <v>3.55</v>
      </c>
      <c r="H57" s="6">
        <v>3.1822222222222218</v>
      </c>
      <c r="I57" s="6">
        <v>145.33333333333329</v>
      </c>
      <c r="J57" s="6">
        <v>8.4533834350812498</v>
      </c>
      <c r="K57" s="6">
        <v>9.8757147889060107E-3</v>
      </c>
      <c r="L57" s="6">
        <v>8.3483203806124992E-2</v>
      </c>
      <c r="M57" s="6">
        <v>24.07421889257656</v>
      </c>
      <c r="N57" s="6">
        <v>2.5854784761029179E-3</v>
      </c>
      <c r="O57" s="6">
        <v>5225</v>
      </c>
      <c r="P57" s="6">
        <v>81.330883431705885</v>
      </c>
      <c r="Q57" s="6">
        <v>48224.947999999997</v>
      </c>
      <c r="R57" s="6">
        <v>8953.8029999999999</v>
      </c>
      <c r="S57" s="6">
        <v>24.956887110191321</v>
      </c>
      <c r="T57" s="6">
        <f t="shared" si="4"/>
        <v>24.382828141986213</v>
      </c>
      <c r="U57" s="6" t="e">
        <f t="shared" si="1"/>
        <v>#N/A</v>
      </c>
      <c r="V57" s="6">
        <f t="shared" si="5"/>
        <v>24.175931590262074</v>
      </c>
      <c r="W57" s="6">
        <f t="shared" si="6"/>
        <v>24.589724693710352</v>
      </c>
      <c r="X57" s="6" t="e">
        <f t="shared" si="7"/>
        <v>#N/A</v>
      </c>
      <c r="Y57" s="6" t="e">
        <f t="shared" ref="Y57:AC66" si="18">VLOOKUP($AT57,hhh,3,0)</f>
        <v>#N/A</v>
      </c>
      <c r="Z57" s="6" t="e">
        <f t="shared" si="18"/>
        <v>#N/A</v>
      </c>
      <c r="AA57" s="6" t="e">
        <f t="shared" si="18"/>
        <v>#N/A</v>
      </c>
      <c r="AB57" s="6" t="e">
        <f t="shared" si="18"/>
        <v>#N/A</v>
      </c>
      <c r="AC57" s="6" t="e">
        <f t="shared" si="18"/>
        <v>#N/A</v>
      </c>
      <c r="AG57">
        <f>C$3*(C$1-C57)/C$2</f>
        <v>4.9000000000000023E-2</v>
      </c>
      <c r="AH57">
        <f>D$3*(D$1-D57)/D$2</f>
        <v>0</v>
      </c>
      <c r="AI57">
        <f t="shared" ref="AI57:AM67" si="19">E$3*(E$1-E57)/E$2</f>
        <v>-0.71481481481481701</v>
      </c>
      <c r="AJ57">
        <f t="shared" si="19"/>
        <v>-0.4137931034482793</v>
      </c>
      <c r="AK57">
        <f t="shared" si="19"/>
        <v>0.78000000000000069</v>
      </c>
      <c r="AL57">
        <f t="shared" si="19"/>
        <v>-1.0888888888888903</v>
      </c>
      <c r="AM57">
        <f t="shared" si="19"/>
        <v>0</v>
      </c>
      <c r="AN57">
        <f t="shared" si="8"/>
        <v>1.8177509999999992</v>
      </c>
      <c r="AO57">
        <f t="shared" si="9"/>
        <v>1.5532331298375013</v>
      </c>
      <c r="AQ57">
        <f t="shared" si="10"/>
        <v>24.175931590262074</v>
      </c>
      <c r="AR57">
        <f t="shared" si="11"/>
        <v>24.589724693710352</v>
      </c>
      <c r="AT57" t="str">
        <f t="shared" si="12"/>
        <v>45433C</v>
      </c>
    </row>
    <row r="58" spans="1:46" hidden="1" x14ac:dyDescent="0.3">
      <c r="A58" s="17">
        <v>45433</v>
      </c>
      <c r="B58" s="18" t="s">
        <v>21</v>
      </c>
      <c r="C58" s="6">
        <v>7.847142857142857</v>
      </c>
      <c r="D58" s="6">
        <v>37.81818181818182</v>
      </c>
      <c r="E58" s="6">
        <v>26.90909090909091</v>
      </c>
      <c r="F58" s="6">
        <v>55.31</v>
      </c>
      <c r="G58" s="6">
        <v>3.55</v>
      </c>
      <c r="H58" s="6">
        <v>3.169090909090909</v>
      </c>
      <c r="I58" s="6">
        <v>146.18181818181819</v>
      </c>
      <c r="J58" s="6">
        <v>7.5734761018141352</v>
      </c>
      <c r="K58" s="6">
        <v>1.109367274138142E-2</v>
      </c>
      <c r="L58" s="6">
        <v>8.4017665388199117E-2</v>
      </c>
      <c r="M58" s="6">
        <v>25.916819880664828</v>
      </c>
      <c r="N58" s="6">
        <v>2.5863801438118809E-3</v>
      </c>
      <c r="O58" s="6">
        <v>5225</v>
      </c>
      <c r="P58" s="6">
        <v>81.359433343345444</v>
      </c>
      <c r="Q58" s="6">
        <v>55875.687547826092</v>
      </c>
      <c r="R58" s="6">
        <v>8728.8374999999996</v>
      </c>
      <c r="S58" s="6">
        <v>26.59335788539833</v>
      </c>
      <c r="T58" s="6">
        <f t="shared" si="4"/>
        <v>28.991619472740897</v>
      </c>
      <c r="U58" s="6" t="e">
        <f t="shared" si="1"/>
        <v>#N/A</v>
      </c>
      <c r="V58" s="6">
        <f t="shared" si="5"/>
        <v>28.784722921016758</v>
      </c>
      <c r="W58" s="6">
        <f t="shared" si="6"/>
        <v>29.198516024465036</v>
      </c>
      <c r="X58" s="6" t="e">
        <f t="shared" si="7"/>
        <v>#N/A</v>
      </c>
      <c r="Y58" s="6" t="e">
        <f t="shared" si="18"/>
        <v>#N/A</v>
      </c>
      <c r="Z58" s="6" t="e">
        <f t="shared" si="18"/>
        <v>#N/A</v>
      </c>
      <c r="AA58" s="6" t="e">
        <f t="shared" si="18"/>
        <v>#N/A</v>
      </c>
      <c r="AB58" s="6" t="e">
        <f t="shared" si="18"/>
        <v>#N/A</v>
      </c>
      <c r="AC58" s="6" t="e">
        <f t="shared" si="18"/>
        <v>#N/A</v>
      </c>
      <c r="AG58">
        <f t="shared" ref="AG58:AH67" si="20">C$3*(C$1-C58)/C$2</f>
        <v>6.0571428571428679E-2</v>
      </c>
      <c r="AH58">
        <f t="shared" si="20"/>
        <v>0</v>
      </c>
      <c r="AI58">
        <f t="shared" si="19"/>
        <v>-0.58257575757575775</v>
      </c>
      <c r="AJ58">
        <f t="shared" si="19"/>
        <v>-0.4137931034482793</v>
      </c>
      <c r="AK58">
        <f t="shared" si="19"/>
        <v>0.78000000000000069</v>
      </c>
      <c r="AL58">
        <f t="shared" si="19"/>
        <v>-1.1545454545454548</v>
      </c>
      <c r="AM58">
        <f t="shared" si="19"/>
        <v>0</v>
      </c>
      <c r="AN58">
        <f t="shared" si="8"/>
        <v>2.7740934434782614</v>
      </c>
      <c r="AO58">
        <f t="shared" si="9"/>
        <v>3.3130477963717304</v>
      </c>
      <c r="AQ58">
        <f t="shared" si="10"/>
        <v>28.784722921016758</v>
      </c>
      <c r="AR58">
        <f t="shared" si="11"/>
        <v>29.198516024465036</v>
      </c>
      <c r="AT58" t="str">
        <f t="shared" si="12"/>
        <v>45433D</v>
      </c>
    </row>
    <row r="59" spans="1:46" hidden="1" x14ac:dyDescent="0.3">
      <c r="A59" s="17">
        <v>45434</v>
      </c>
      <c r="B59" s="18" t="s">
        <v>22</v>
      </c>
      <c r="C59" s="6">
        <v>8</v>
      </c>
      <c r="D59" s="6">
        <v>37.714285714285722</v>
      </c>
      <c r="E59" s="6">
        <v>26.58</v>
      </c>
      <c r="F59" s="6">
        <v>55.31</v>
      </c>
      <c r="G59" s="6">
        <v>3.2</v>
      </c>
      <c r="H59" s="6">
        <v>3.1971428571428571</v>
      </c>
      <c r="I59" s="6">
        <v>147.85714285714289</v>
      </c>
      <c r="J59" s="6">
        <v>9.5027680097419456</v>
      </c>
      <c r="K59" s="6">
        <v>6.43453383973051E-3</v>
      </c>
      <c r="L59" s="6">
        <v>6.1145882329793101E-2</v>
      </c>
      <c r="M59" s="6">
        <v>23.344217694271201</v>
      </c>
      <c r="N59" s="6">
        <v>0.35390397679884078</v>
      </c>
      <c r="O59" s="6">
        <v>5225</v>
      </c>
      <c r="P59" s="6">
        <v>81.32501595238999</v>
      </c>
      <c r="Q59" s="6">
        <v>22120.315200000001</v>
      </c>
      <c r="R59" s="6">
        <v>0</v>
      </c>
      <c r="S59" s="6">
        <v>23.576116491086051</v>
      </c>
      <c r="T59" s="6">
        <f t="shared" si="4"/>
        <v>18.683837975444124</v>
      </c>
      <c r="U59" s="6" t="e">
        <f t="shared" si="1"/>
        <v>#N/A</v>
      </c>
      <c r="V59" s="6">
        <f t="shared" si="5"/>
        <v>18.476941423719985</v>
      </c>
      <c r="W59" s="6">
        <f t="shared" si="6"/>
        <v>18.890734527168263</v>
      </c>
      <c r="X59" s="6" t="e">
        <f t="shared" si="7"/>
        <v>#N/A</v>
      </c>
      <c r="Y59" s="6" t="e">
        <f t="shared" si="18"/>
        <v>#N/A</v>
      </c>
      <c r="Z59" s="6" t="e">
        <f t="shared" si="18"/>
        <v>#N/A</v>
      </c>
      <c r="AA59" s="6" t="e">
        <f t="shared" si="18"/>
        <v>#N/A</v>
      </c>
      <c r="AB59" s="6" t="e">
        <f t="shared" si="18"/>
        <v>#N/A</v>
      </c>
      <c r="AC59" s="6" t="e">
        <f t="shared" si="18"/>
        <v>#N/A</v>
      </c>
      <c r="AG59">
        <f t="shared" si="20"/>
        <v>3.0000000000000072E-2</v>
      </c>
      <c r="AH59">
        <f t="shared" si="20"/>
        <v>0</v>
      </c>
      <c r="AI59">
        <f t="shared" si="19"/>
        <v>-0.30833333333333124</v>
      </c>
      <c r="AJ59">
        <f t="shared" si="19"/>
        <v>-0.4137931034482793</v>
      </c>
      <c r="AK59">
        <f t="shared" si="19"/>
        <v>1.8299999999999996</v>
      </c>
      <c r="AL59">
        <f t="shared" si="19"/>
        <v>-1.0142857142857142</v>
      </c>
      <c r="AM59">
        <f t="shared" si="19"/>
        <v>0</v>
      </c>
      <c r="AN59">
        <f t="shared" si="8"/>
        <v>-1.4453281000000002</v>
      </c>
      <c r="AO59">
        <f t="shared" si="9"/>
        <v>-0.5455360194838903</v>
      </c>
      <c r="AQ59">
        <f t="shared" si="10"/>
        <v>18.476941423719985</v>
      </c>
      <c r="AR59">
        <f t="shared" si="11"/>
        <v>18.890734527168263</v>
      </c>
      <c r="AT59" t="str">
        <f t="shared" si="12"/>
        <v>45434A</v>
      </c>
    </row>
    <row r="60" spans="1:46" hidden="1" x14ac:dyDescent="0.3">
      <c r="A60" s="17">
        <v>45434</v>
      </c>
      <c r="B60" s="18" t="s">
        <v>19</v>
      </c>
      <c r="C60" s="6">
        <v>8.1333333333333329</v>
      </c>
      <c r="D60" s="6">
        <v>37.6</v>
      </c>
      <c r="E60" s="6">
        <v>27.46</v>
      </c>
      <c r="F60" s="6">
        <v>55.94</v>
      </c>
      <c r="G60" s="6">
        <v>4.2300000000000004</v>
      </c>
      <c r="H60" s="6">
        <v>3.413333333333334</v>
      </c>
      <c r="I60" s="6">
        <v>151.33333333333329</v>
      </c>
      <c r="J60" s="6">
        <v>10.08972922233464</v>
      </c>
      <c r="K60" s="6">
        <v>1.81822253552543E-3</v>
      </c>
      <c r="L60" s="6">
        <v>1.834537304939831E-2</v>
      </c>
      <c r="M60" s="6">
        <v>16.996117823341692</v>
      </c>
      <c r="N60" s="6">
        <v>2.6021325910021908E-3</v>
      </c>
      <c r="O60" s="6">
        <v>5225</v>
      </c>
      <c r="P60" s="6">
        <v>120.35451838249671</v>
      </c>
      <c r="Q60" s="6">
        <v>5842.013023255814</v>
      </c>
      <c r="R60" s="6">
        <v>0</v>
      </c>
      <c r="S60" s="6">
        <v>14.31644034831568</v>
      </c>
      <c r="T60" s="6">
        <f t="shared" si="4"/>
        <v>5.8148768399127277</v>
      </c>
      <c r="U60" s="6" t="e">
        <f t="shared" si="1"/>
        <v>#N/A</v>
      </c>
      <c r="V60" s="6">
        <f t="shared" si="5"/>
        <v>5.0648768399127295</v>
      </c>
      <c r="W60" s="6">
        <f t="shared" si="6"/>
        <v>6.5648768399127251</v>
      </c>
      <c r="X60" s="6" t="e">
        <f t="shared" si="7"/>
        <v>#N/A</v>
      </c>
      <c r="Y60" s="6" t="e">
        <f t="shared" si="18"/>
        <v>#N/A</v>
      </c>
      <c r="Z60" s="6" t="e">
        <f t="shared" si="18"/>
        <v>#N/A</v>
      </c>
      <c r="AA60" s="6" t="e">
        <f t="shared" si="18"/>
        <v>#N/A</v>
      </c>
      <c r="AB60" s="6" t="e">
        <f t="shared" si="18"/>
        <v>#N/A</v>
      </c>
      <c r="AC60" s="6" t="e">
        <f t="shared" si="18"/>
        <v>#N/A</v>
      </c>
      <c r="AG60">
        <f t="shared" si="20"/>
        <v>3.3333333333334992E-3</v>
      </c>
      <c r="AH60">
        <f t="shared" si="20"/>
        <v>0</v>
      </c>
      <c r="AI60">
        <f t="shared" si="19"/>
        <v>-1.0416666666666667</v>
      </c>
      <c r="AJ60">
        <f t="shared" si="19"/>
        <v>-1.4999999999999956</v>
      </c>
      <c r="AK60">
        <f t="shared" si="19"/>
        <v>-1.2600000000000011</v>
      </c>
      <c r="AL60">
        <f t="shared" si="19"/>
        <v>6.6666666666670427E-2</v>
      </c>
      <c r="AM60">
        <f t="shared" si="19"/>
        <v>0</v>
      </c>
      <c r="AN60">
        <f t="shared" si="8"/>
        <v>-3.4801158720930236</v>
      </c>
      <c r="AO60">
        <f t="shared" si="9"/>
        <v>-1.7194584446692787</v>
      </c>
      <c r="AQ60">
        <f t="shared" si="10"/>
        <v>5.0648768399127295</v>
      </c>
      <c r="AR60">
        <f t="shared" si="11"/>
        <v>6.5648768399127251</v>
      </c>
      <c r="AT60" t="str">
        <f t="shared" si="12"/>
        <v>45434B</v>
      </c>
    </row>
    <row r="61" spans="1:46" hidden="1" x14ac:dyDescent="0.3">
      <c r="A61" s="17">
        <v>45434</v>
      </c>
      <c r="B61" s="18" t="s">
        <v>20</v>
      </c>
      <c r="C61" s="6">
        <v>8.1750000000000007</v>
      </c>
      <c r="D61" s="6">
        <v>37.333333333333343</v>
      </c>
      <c r="E61" s="6">
        <v>27.555555555555561</v>
      </c>
      <c r="F61" s="6">
        <v>55.94</v>
      </c>
      <c r="G61" s="6">
        <v>4.2300000000000004</v>
      </c>
      <c r="H61" s="6">
        <v>3.4359999999999999</v>
      </c>
      <c r="I61" s="6">
        <v>154.5</v>
      </c>
      <c r="J61" s="6">
        <v>9.995774935499151</v>
      </c>
      <c r="K61" s="6">
        <v>3.1301571754514062E-3</v>
      </c>
      <c r="L61" s="6">
        <v>3.1288346638549992E-2</v>
      </c>
      <c r="M61" s="6">
        <v>17.067982774298081</v>
      </c>
      <c r="N61" s="6">
        <v>2.6017108308758739E-3</v>
      </c>
      <c r="O61" s="6">
        <v>5225</v>
      </c>
      <c r="P61" s="6">
        <v>120.3561682016111</v>
      </c>
      <c r="Q61" s="6">
        <v>14956.08</v>
      </c>
      <c r="R61" s="6">
        <v>0</v>
      </c>
      <c r="S61" s="6">
        <v>13.61464891249142</v>
      </c>
      <c r="T61" s="6">
        <f t="shared" si="4"/>
        <v>7.2392791070034814</v>
      </c>
      <c r="U61" s="6" t="e">
        <f t="shared" si="1"/>
        <v>#N/A</v>
      </c>
      <c r="V61" s="6">
        <f t="shared" si="5"/>
        <v>6.4892791070034832</v>
      </c>
      <c r="W61" s="6">
        <f t="shared" si="6"/>
        <v>7.9892791070034788</v>
      </c>
      <c r="X61" s="6" t="e">
        <f t="shared" si="7"/>
        <v>#N/A</v>
      </c>
      <c r="Y61" s="6" t="e">
        <f t="shared" si="18"/>
        <v>#N/A</v>
      </c>
      <c r="Z61" s="6" t="e">
        <f t="shared" si="18"/>
        <v>#N/A</v>
      </c>
      <c r="AA61" s="6" t="e">
        <f t="shared" si="18"/>
        <v>#N/A</v>
      </c>
      <c r="AB61" s="6" t="e">
        <f t="shared" si="18"/>
        <v>#N/A</v>
      </c>
      <c r="AC61" s="6" t="e">
        <f t="shared" si="18"/>
        <v>#N/A</v>
      </c>
      <c r="AG61">
        <f t="shared" si="20"/>
        <v>-5.0000000000000712E-3</v>
      </c>
      <c r="AH61">
        <f t="shared" si="20"/>
        <v>0</v>
      </c>
      <c r="AI61">
        <f t="shared" si="19"/>
        <v>-1.1212962962963</v>
      </c>
      <c r="AJ61">
        <f t="shared" si="19"/>
        <v>-1.4999999999999956</v>
      </c>
      <c r="AK61">
        <f t="shared" si="19"/>
        <v>-1.2600000000000011</v>
      </c>
      <c r="AL61">
        <f t="shared" si="19"/>
        <v>0.18000000000000016</v>
      </c>
      <c r="AM61">
        <f t="shared" si="19"/>
        <v>0</v>
      </c>
      <c r="AN61">
        <f t="shared" si="8"/>
        <v>-2.3408575000000003</v>
      </c>
      <c r="AO61">
        <f t="shared" si="9"/>
        <v>-1.5315498709983011</v>
      </c>
      <c r="AQ61">
        <f t="shared" si="10"/>
        <v>6.4892791070034832</v>
      </c>
      <c r="AR61">
        <f t="shared" si="11"/>
        <v>7.9892791070034788</v>
      </c>
      <c r="AT61" t="str">
        <f t="shared" si="12"/>
        <v>45434C</v>
      </c>
    </row>
    <row r="62" spans="1:46" hidden="1" x14ac:dyDescent="0.3">
      <c r="A62" s="17">
        <v>45434</v>
      </c>
      <c r="B62" s="18" t="s">
        <v>21</v>
      </c>
      <c r="C62" s="6">
        <v>8.2966666666666669</v>
      </c>
      <c r="D62" s="6">
        <v>37</v>
      </c>
      <c r="E62" s="6">
        <v>27.87777777777778</v>
      </c>
      <c r="F62" s="6">
        <v>55.94</v>
      </c>
      <c r="G62" s="6">
        <v>4.2300000000000004</v>
      </c>
      <c r="H62" s="6">
        <v>3.4279999999999999</v>
      </c>
      <c r="I62" s="6">
        <v>153.9</v>
      </c>
      <c r="J62" s="6">
        <v>9.7260285898122483</v>
      </c>
      <c r="K62" s="6">
        <v>3.2545972405742581E-3</v>
      </c>
      <c r="L62" s="6">
        <v>3.1654305810149282E-2</v>
      </c>
      <c r="M62" s="6">
        <v>15.65038888922645</v>
      </c>
      <c r="N62" s="6">
        <v>2.6006551495327429E-3</v>
      </c>
      <c r="O62" s="6">
        <v>5225</v>
      </c>
      <c r="P62" s="6">
        <v>120.3236204406618</v>
      </c>
      <c r="Q62" s="6">
        <v>16212.115152374199</v>
      </c>
      <c r="R62" s="6">
        <v>0</v>
      </c>
      <c r="S62" s="6">
        <v>13.31683860145505</v>
      </c>
      <c r="T62" s="6">
        <f t="shared" si="4"/>
        <v>6.1853304555005817</v>
      </c>
      <c r="U62" s="6" t="e">
        <f t="shared" si="1"/>
        <v>#N/A</v>
      </c>
      <c r="V62" s="6">
        <f t="shared" si="5"/>
        <v>5.4353304555005835</v>
      </c>
      <c r="W62" s="6">
        <f t="shared" si="6"/>
        <v>6.935330455500579</v>
      </c>
      <c r="X62" s="6" t="e">
        <f t="shared" si="7"/>
        <v>#N/A</v>
      </c>
      <c r="Y62" s="6" t="e">
        <f t="shared" si="18"/>
        <v>#N/A</v>
      </c>
      <c r="Z62" s="6" t="e">
        <f t="shared" si="18"/>
        <v>#N/A</v>
      </c>
      <c r="AA62" s="6" t="e">
        <f t="shared" si="18"/>
        <v>#N/A</v>
      </c>
      <c r="AB62" s="6" t="e">
        <f t="shared" si="18"/>
        <v>#N/A</v>
      </c>
      <c r="AC62" s="6" t="e">
        <f t="shared" si="18"/>
        <v>#N/A</v>
      </c>
      <c r="AG62">
        <f t="shared" si="20"/>
        <v>-2.9333333333333302E-2</v>
      </c>
      <c r="AH62">
        <f t="shared" si="20"/>
        <v>0</v>
      </c>
      <c r="AI62">
        <f t="shared" si="19"/>
        <v>-1.3898148148148159</v>
      </c>
      <c r="AJ62">
        <f t="shared" si="19"/>
        <v>-1.4999999999999956</v>
      </c>
      <c r="AK62">
        <f t="shared" si="19"/>
        <v>-1.2600000000000011</v>
      </c>
      <c r="AL62">
        <f t="shared" si="19"/>
        <v>0.14000000000000012</v>
      </c>
      <c r="AM62">
        <f t="shared" si="19"/>
        <v>0</v>
      </c>
      <c r="AN62">
        <f t="shared" si="8"/>
        <v>-2.1838531059532253</v>
      </c>
      <c r="AO62">
        <f t="shared" si="9"/>
        <v>-0.99205717962449569</v>
      </c>
      <c r="AQ62">
        <f t="shared" si="10"/>
        <v>5.4353304555005835</v>
      </c>
      <c r="AR62">
        <f t="shared" si="11"/>
        <v>6.935330455500579</v>
      </c>
      <c r="AT62" t="str">
        <f t="shared" si="12"/>
        <v>45434D</v>
      </c>
    </row>
    <row r="63" spans="1:46" hidden="1" x14ac:dyDescent="0.3">
      <c r="A63" s="17">
        <v>45435</v>
      </c>
      <c r="B63" s="18" t="s">
        <v>22</v>
      </c>
      <c r="C63" s="6">
        <v>8.6266666666666669</v>
      </c>
      <c r="D63" s="6">
        <v>38.5</v>
      </c>
      <c r="E63" s="6">
        <v>28.3</v>
      </c>
      <c r="F63" s="6">
        <v>55.94</v>
      </c>
      <c r="G63" s="6">
        <v>3.57</v>
      </c>
      <c r="H63" s="6">
        <v>3.4649999999999999</v>
      </c>
      <c r="I63" s="6">
        <v>162</v>
      </c>
      <c r="J63" s="6">
        <v>8.9609039486023221</v>
      </c>
      <c r="K63" s="6">
        <v>1.829231903214619E-2</v>
      </c>
      <c r="L63" s="6">
        <v>0.16391571384425219</v>
      </c>
      <c r="M63" s="6">
        <v>18.70332589556287</v>
      </c>
      <c r="N63" s="6">
        <v>2.5828826053087509E-3</v>
      </c>
      <c r="O63" s="6">
        <v>5225</v>
      </c>
      <c r="P63" s="6">
        <v>81.247666309795648</v>
      </c>
      <c r="Q63" s="6">
        <v>67895.199999999997</v>
      </c>
      <c r="R63" s="6">
        <v>1001.937</v>
      </c>
      <c r="S63" s="6">
        <v>13.697288797771691</v>
      </c>
      <c r="T63" s="6">
        <f t="shared" si="4"/>
        <v>19.101292623358226</v>
      </c>
      <c r="U63" s="6" t="e">
        <f t="shared" si="1"/>
        <v>#N/A</v>
      </c>
      <c r="V63" s="6">
        <f t="shared" si="5"/>
        <v>18.35129262335823</v>
      </c>
      <c r="W63" s="6">
        <f t="shared" si="6"/>
        <v>19.851292623358226</v>
      </c>
      <c r="X63" s="6" t="e">
        <f t="shared" si="7"/>
        <v>#N/A</v>
      </c>
      <c r="Y63" s="6" t="e">
        <f t="shared" si="18"/>
        <v>#N/A</v>
      </c>
      <c r="Z63" s="6" t="e">
        <f t="shared" si="18"/>
        <v>#N/A</v>
      </c>
      <c r="AA63" s="6" t="e">
        <f t="shared" si="18"/>
        <v>#N/A</v>
      </c>
      <c r="AB63" s="6" t="e">
        <f t="shared" si="18"/>
        <v>#N/A</v>
      </c>
      <c r="AC63" s="6" t="e">
        <f t="shared" si="18"/>
        <v>#N/A</v>
      </c>
      <c r="AG63">
        <f t="shared" si="20"/>
        <v>-9.5333333333333325E-2</v>
      </c>
      <c r="AH63">
        <f t="shared" si="20"/>
        <v>0</v>
      </c>
      <c r="AI63">
        <f t="shared" si="19"/>
        <v>-1.7416666666666667</v>
      </c>
      <c r="AJ63">
        <f t="shared" si="19"/>
        <v>-1.4999999999999956</v>
      </c>
      <c r="AK63">
        <f t="shared" si="19"/>
        <v>0.72000000000000064</v>
      </c>
      <c r="AL63">
        <f t="shared" si="19"/>
        <v>0.32499999999999979</v>
      </c>
      <c r="AM63">
        <f t="shared" si="19"/>
        <v>0</v>
      </c>
      <c r="AN63">
        <f t="shared" si="8"/>
        <v>4.2765324999999992</v>
      </c>
      <c r="AO63">
        <f t="shared" si="9"/>
        <v>0.53819210279535667</v>
      </c>
      <c r="AQ63">
        <f t="shared" si="10"/>
        <v>18.35129262335823</v>
      </c>
      <c r="AR63">
        <f t="shared" si="11"/>
        <v>19.851292623358226</v>
      </c>
      <c r="AT63" t="str">
        <f t="shared" si="12"/>
        <v>45435A</v>
      </c>
    </row>
    <row r="64" spans="1:46" hidden="1" x14ac:dyDescent="0.3">
      <c r="A64" s="17">
        <v>45435</v>
      </c>
      <c r="B64" s="18" t="s">
        <v>19</v>
      </c>
      <c r="C64" s="6">
        <v>8.1</v>
      </c>
      <c r="D64" s="6">
        <v>37.5</v>
      </c>
      <c r="E64" s="6">
        <v>27.01</v>
      </c>
      <c r="F64" s="6">
        <v>55.94</v>
      </c>
      <c r="G64" s="6">
        <v>3.57</v>
      </c>
      <c r="H64" s="6">
        <v>3.29</v>
      </c>
      <c r="I64" s="6">
        <v>150.83333333333329</v>
      </c>
      <c r="J64" s="6">
        <v>8.6707934706826126</v>
      </c>
      <c r="K64" s="6">
        <v>8.435958154244182E-3</v>
      </c>
      <c r="L64" s="6">
        <v>7.314645088277219E-2</v>
      </c>
      <c r="M64" s="6">
        <v>22.345008603094861</v>
      </c>
      <c r="N64" s="6">
        <v>2.5847164660158582E-3</v>
      </c>
      <c r="O64" s="6">
        <v>5225</v>
      </c>
      <c r="P64" s="6">
        <v>81.304090492354035</v>
      </c>
      <c r="Q64" s="6">
        <v>31353.240000000009</v>
      </c>
      <c r="R64" s="6">
        <v>630.71184374999996</v>
      </c>
      <c r="S64" s="6">
        <v>19.800956469933752</v>
      </c>
      <c r="T64" s="6">
        <f t="shared" si="4"/>
        <v>19.014381475531721</v>
      </c>
      <c r="U64" s="6" t="e">
        <f t="shared" si="1"/>
        <v>#N/A</v>
      </c>
      <c r="V64" s="6">
        <f t="shared" si="5"/>
        <v>18.264381475531724</v>
      </c>
      <c r="W64" s="6">
        <f t="shared" si="6"/>
        <v>19.764381475531721</v>
      </c>
      <c r="X64" s="6" t="e">
        <f t="shared" si="7"/>
        <v>#N/A</v>
      </c>
      <c r="Y64" s="6" t="e">
        <f t="shared" si="18"/>
        <v>#N/A</v>
      </c>
      <c r="Z64" s="6" t="e">
        <f t="shared" si="18"/>
        <v>#N/A</v>
      </c>
      <c r="AA64" s="6" t="e">
        <f t="shared" si="18"/>
        <v>#N/A</v>
      </c>
      <c r="AB64" s="6" t="e">
        <f t="shared" si="18"/>
        <v>#N/A</v>
      </c>
      <c r="AC64" s="6" t="e">
        <f t="shared" si="18"/>
        <v>#N/A</v>
      </c>
      <c r="AG64">
        <f t="shared" si="20"/>
        <v>1.0000000000000142E-2</v>
      </c>
      <c r="AH64">
        <f t="shared" si="20"/>
        <v>0</v>
      </c>
      <c r="AI64">
        <f t="shared" si="19"/>
        <v>-0.6666666666666673</v>
      </c>
      <c r="AJ64">
        <f t="shared" si="19"/>
        <v>-1.4999999999999956</v>
      </c>
      <c r="AK64">
        <f t="shared" si="19"/>
        <v>0.72000000000000064</v>
      </c>
      <c r="AL64">
        <f t="shared" si="19"/>
        <v>-0.54999999999999949</v>
      </c>
      <c r="AM64">
        <f t="shared" si="19"/>
        <v>0</v>
      </c>
      <c r="AN64">
        <f t="shared" si="8"/>
        <v>-0.29121249999999921</v>
      </c>
      <c r="AO64">
        <f t="shared" si="9"/>
        <v>1.1184130586347756</v>
      </c>
      <c r="AQ64">
        <f t="shared" si="10"/>
        <v>18.264381475531724</v>
      </c>
      <c r="AR64">
        <f t="shared" si="11"/>
        <v>19.764381475531721</v>
      </c>
      <c r="AT64" t="str">
        <f t="shared" si="12"/>
        <v>45435B</v>
      </c>
    </row>
    <row r="65" spans="1:46" hidden="1" x14ac:dyDescent="0.3">
      <c r="A65" s="17">
        <v>45435</v>
      </c>
      <c r="B65" s="18" t="s">
        <v>20</v>
      </c>
      <c r="C65" s="6">
        <v>8.1</v>
      </c>
      <c r="D65" s="6">
        <v>37.625</v>
      </c>
      <c r="E65" s="6">
        <v>26.99428571428572</v>
      </c>
      <c r="F65" s="6">
        <v>55.94</v>
      </c>
      <c r="G65" s="6">
        <v>3.57</v>
      </c>
      <c r="H65" s="6">
        <v>3.3149999999999999</v>
      </c>
      <c r="I65" s="6">
        <v>149.5</v>
      </c>
      <c r="J65" s="6">
        <v>8.992499739137191</v>
      </c>
      <c r="K65" s="6">
        <v>1.0463377552713239E-2</v>
      </c>
      <c r="L65" s="6">
        <v>9.4091919913267735E-2</v>
      </c>
      <c r="M65" s="6">
        <v>21.95080581900633</v>
      </c>
      <c r="N65" s="6">
        <v>2.58449234549692E-3</v>
      </c>
      <c r="O65" s="6">
        <v>5225</v>
      </c>
      <c r="P65" s="6">
        <v>81.297982615952563</v>
      </c>
      <c r="Q65" s="6">
        <v>50858</v>
      </c>
      <c r="R65" s="6">
        <v>0</v>
      </c>
      <c r="S65" s="6">
        <v>19.731165917201292</v>
      </c>
      <c r="T65" s="6">
        <f t="shared" si="4"/>
        <v>20.474117412160517</v>
      </c>
      <c r="U65" s="6" t="e">
        <f t="shared" si="1"/>
        <v>#N/A</v>
      </c>
      <c r="V65" s="6">
        <f t="shared" si="5"/>
        <v>19.724117412160521</v>
      </c>
      <c r="W65" s="6">
        <f t="shared" si="6"/>
        <v>21.224117412160517</v>
      </c>
      <c r="X65" s="6" t="e">
        <f t="shared" si="7"/>
        <v>#N/A</v>
      </c>
      <c r="Y65" s="6" t="e">
        <f t="shared" si="18"/>
        <v>#N/A</v>
      </c>
      <c r="Z65" s="6" t="e">
        <f t="shared" si="18"/>
        <v>#N/A</v>
      </c>
      <c r="AA65" s="6" t="e">
        <f t="shared" si="18"/>
        <v>#N/A</v>
      </c>
      <c r="AB65" s="6" t="e">
        <f t="shared" si="18"/>
        <v>#N/A</v>
      </c>
      <c r="AC65" s="6" t="e">
        <f t="shared" si="18"/>
        <v>#N/A</v>
      </c>
      <c r="AG65">
        <f t="shared" si="20"/>
        <v>1.0000000000000142E-2</v>
      </c>
      <c r="AH65">
        <f t="shared" si="20"/>
        <v>0</v>
      </c>
      <c r="AI65">
        <f t="shared" si="19"/>
        <v>-0.65357142857143269</v>
      </c>
      <c r="AJ65">
        <f t="shared" si="19"/>
        <v>-1.4999999999999956</v>
      </c>
      <c r="AK65">
        <f t="shared" si="19"/>
        <v>0.72000000000000064</v>
      </c>
      <c r="AL65">
        <f t="shared" si="19"/>
        <v>-0.42499999999999982</v>
      </c>
      <c r="AM65">
        <f t="shared" si="19"/>
        <v>0</v>
      </c>
      <c r="AN65">
        <f t="shared" si="8"/>
        <v>2.1468824999999998</v>
      </c>
      <c r="AO65">
        <f t="shared" si="9"/>
        <v>0.4750005217256188</v>
      </c>
      <c r="AQ65">
        <f t="shared" si="10"/>
        <v>19.724117412160521</v>
      </c>
      <c r="AR65">
        <f t="shared" si="11"/>
        <v>21.224117412160517</v>
      </c>
      <c r="AT65" t="str">
        <f t="shared" si="12"/>
        <v>45435C</v>
      </c>
    </row>
    <row r="66" spans="1:46" hidden="1" x14ac:dyDescent="0.3">
      <c r="A66" s="17">
        <v>45435</v>
      </c>
      <c r="B66" s="18" t="s">
        <v>21</v>
      </c>
      <c r="C66" s="6">
        <v>8.0166666666666675</v>
      </c>
      <c r="D66" s="6">
        <v>37.625</v>
      </c>
      <c r="E66" s="6">
        <v>26.957142857142859</v>
      </c>
      <c r="F66" s="6">
        <v>55.94</v>
      </c>
      <c r="G66" s="6">
        <v>3.57</v>
      </c>
      <c r="H66" s="6">
        <v>3.3075000000000001</v>
      </c>
      <c r="I66" s="6">
        <v>149.75</v>
      </c>
      <c r="J66" s="6">
        <v>8.8661762603669541</v>
      </c>
      <c r="K66" s="6">
        <v>1.4095336813368669E-2</v>
      </c>
      <c r="L66" s="6">
        <v>0.1249717406365657</v>
      </c>
      <c r="M66" s="6">
        <v>24.08190219416193</v>
      </c>
      <c r="N66" s="6">
        <v>2.5854958929266789E-3</v>
      </c>
      <c r="O66" s="6">
        <v>5225</v>
      </c>
      <c r="P66" s="6">
        <v>81.331002498971557</v>
      </c>
      <c r="Q66" s="6">
        <v>71535.756595744679</v>
      </c>
      <c r="R66" s="6">
        <v>0</v>
      </c>
      <c r="S66" s="6">
        <v>21.79965136374231</v>
      </c>
      <c r="T66" s="6">
        <f t="shared" si="4"/>
        <v>25.452699366943733</v>
      </c>
      <c r="U66" s="6" t="e">
        <f t="shared" si="1"/>
        <v>#N/A</v>
      </c>
      <c r="V66" s="6">
        <f t="shared" si="5"/>
        <v>24.702699366943733</v>
      </c>
      <c r="W66" s="6">
        <f t="shared" si="6"/>
        <v>26.20269936694373</v>
      </c>
      <c r="X66" s="6" t="e">
        <f t="shared" si="7"/>
        <v>#N/A</v>
      </c>
      <c r="Y66" s="6" t="e">
        <f t="shared" si="18"/>
        <v>#N/A</v>
      </c>
      <c r="Z66" s="6" t="e">
        <f t="shared" si="18"/>
        <v>#N/A</v>
      </c>
      <c r="AA66" s="6" t="e">
        <f t="shared" si="18"/>
        <v>#N/A</v>
      </c>
      <c r="AB66" s="6" t="e">
        <f t="shared" si="18"/>
        <v>#N/A</v>
      </c>
      <c r="AC66" s="6" t="e">
        <f t="shared" si="18"/>
        <v>#N/A</v>
      </c>
      <c r="AG66">
        <f t="shared" si="20"/>
        <v>2.6666666666666575E-2</v>
      </c>
      <c r="AH66">
        <f t="shared" si="20"/>
        <v>0</v>
      </c>
      <c r="AI66">
        <f t="shared" si="19"/>
        <v>-0.62261904761904852</v>
      </c>
      <c r="AJ66">
        <f t="shared" si="19"/>
        <v>-1.4999999999999956</v>
      </c>
      <c r="AK66">
        <f t="shared" si="19"/>
        <v>0.72000000000000064</v>
      </c>
      <c r="AL66">
        <f t="shared" si="19"/>
        <v>-0.46249999999999902</v>
      </c>
      <c r="AM66">
        <f t="shared" si="19"/>
        <v>0</v>
      </c>
      <c r="AN66">
        <f t="shared" si="8"/>
        <v>4.7316020744680847</v>
      </c>
      <c r="AO66">
        <f t="shared" si="9"/>
        <v>0.72764747926609274</v>
      </c>
      <c r="AQ66">
        <f t="shared" si="10"/>
        <v>24.702699366943733</v>
      </c>
      <c r="AR66">
        <f t="shared" si="11"/>
        <v>26.20269936694373</v>
      </c>
      <c r="AT66" t="str">
        <f t="shared" si="12"/>
        <v>45435D</v>
      </c>
    </row>
    <row r="67" spans="1:46" hidden="1" x14ac:dyDescent="0.3">
      <c r="A67" s="17">
        <v>45436</v>
      </c>
      <c r="B67" s="18" t="s">
        <v>22</v>
      </c>
      <c r="C67" s="6">
        <v>8.35</v>
      </c>
      <c r="D67" s="6">
        <v>38.75</v>
      </c>
      <c r="E67" s="6">
        <v>27.635000000000002</v>
      </c>
      <c r="F67" s="6">
        <v>55.94</v>
      </c>
      <c r="G67" s="6">
        <v>3.56</v>
      </c>
      <c r="H67" s="6">
        <v>3.27</v>
      </c>
      <c r="I67" s="6">
        <v>148</v>
      </c>
      <c r="J67" s="6">
        <v>10.09255765862101</v>
      </c>
      <c r="K67" s="6">
        <v>8.5765088370487342E-3</v>
      </c>
      <c r="L67" s="6">
        <v>8.6558909947586998E-2</v>
      </c>
      <c r="M67" s="6">
        <v>19.366433620425639</v>
      </c>
      <c r="N67" s="6">
        <v>2.5840768057436439E-3</v>
      </c>
      <c r="O67" s="6">
        <v>5225</v>
      </c>
      <c r="P67" s="6">
        <v>81.257939618443331</v>
      </c>
      <c r="Q67" s="6">
        <v>32163.200000000001</v>
      </c>
      <c r="R67" s="6">
        <v>0</v>
      </c>
      <c r="S67" s="6">
        <v>17.513202184682051</v>
      </c>
      <c r="T67" s="6">
        <f t="shared" si="4"/>
        <v>12.573850803183623</v>
      </c>
      <c r="U67" s="6" t="e">
        <f t="shared" si="1"/>
        <v>#N/A</v>
      </c>
      <c r="V67" s="6">
        <f t="shared" si="5"/>
        <v>11.823850803183625</v>
      </c>
      <c r="W67" s="6">
        <f t="shared" si="6"/>
        <v>13.323850803183621</v>
      </c>
      <c r="X67" s="6" t="e">
        <f t="shared" si="7"/>
        <v>#N/A</v>
      </c>
      <c r="Y67" s="6" t="e">
        <f t="shared" ref="Y67:AC76" si="21">VLOOKUP($AT67,hhh,3,0)</f>
        <v>#N/A</v>
      </c>
      <c r="Z67" s="6" t="e">
        <f t="shared" si="21"/>
        <v>#N/A</v>
      </c>
      <c r="AA67" s="6" t="e">
        <f t="shared" si="21"/>
        <v>#N/A</v>
      </c>
      <c r="AB67" s="6" t="e">
        <f t="shared" si="21"/>
        <v>#N/A</v>
      </c>
      <c r="AC67" s="6" t="e">
        <f t="shared" si="21"/>
        <v>#N/A</v>
      </c>
      <c r="AG67">
        <f t="shared" si="20"/>
        <v>-3.9999999999999862E-2</v>
      </c>
      <c r="AH67">
        <f t="shared" si="20"/>
        <v>0</v>
      </c>
      <c r="AI67">
        <f t="shared" si="19"/>
        <v>-1.1875000000000007</v>
      </c>
      <c r="AJ67">
        <f t="shared" si="19"/>
        <v>-1.4999999999999956</v>
      </c>
      <c r="AK67">
        <f t="shared" si="19"/>
        <v>0.74999999999999989</v>
      </c>
      <c r="AL67">
        <f t="shared" si="19"/>
        <v>-0.64999999999999958</v>
      </c>
      <c r="AM67">
        <f t="shared" si="19"/>
        <v>0</v>
      </c>
      <c r="AN67">
        <f t="shared" si="8"/>
        <v>-0.18996750000000021</v>
      </c>
      <c r="AO67">
        <f t="shared" si="9"/>
        <v>-1.7251153172420182</v>
      </c>
      <c r="AQ67">
        <f t="shared" si="10"/>
        <v>11.823850803183625</v>
      </c>
      <c r="AR67">
        <f t="shared" si="11"/>
        <v>13.323850803183621</v>
      </c>
      <c r="AT67" t="str">
        <f t="shared" si="12"/>
        <v>45436A</v>
      </c>
    </row>
    <row r="68" spans="1:46" hidden="1" x14ac:dyDescent="0.3">
      <c r="A68" s="17">
        <v>45436</v>
      </c>
      <c r="B68" s="18" t="s">
        <v>19</v>
      </c>
      <c r="C68" s="6">
        <v>8.2999999999999989</v>
      </c>
      <c r="D68" s="6">
        <v>39.5</v>
      </c>
      <c r="E68" s="6">
        <v>26.954999999999998</v>
      </c>
      <c r="F68" s="6">
        <v>55.94</v>
      </c>
      <c r="G68" s="6">
        <v>3.56</v>
      </c>
      <c r="H68" s="6">
        <v>3.339</v>
      </c>
      <c r="I68" s="6">
        <v>146.30000000000001</v>
      </c>
      <c r="J68" s="6">
        <v>8.4618498919246523</v>
      </c>
      <c r="K68" s="6">
        <v>4.5159891266548869E-3</v>
      </c>
      <c r="L68" s="6">
        <v>3.8213622103317572E-2</v>
      </c>
      <c r="M68" s="6">
        <v>18.71263643541327</v>
      </c>
      <c r="N68" s="6">
        <v>0.65069608443202231</v>
      </c>
      <c r="O68" s="6">
        <v>5225</v>
      </c>
      <c r="P68" s="6">
        <v>81.257851545856951</v>
      </c>
      <c r="Q68" s="6">
        <v>16512.64</v>
      </c>
      <c r="R68" s="6">
        <v>0</v>
      </c>
      <c r="S68" s="6">
        <v>17.2065697748634</v>
      </c>
      <c r="T68" s="6">
        <f t="shared" ref="T68:T131" si="22">AVERAGE(AQ68:AR68)</f>
        <v>14.146815818230637</v>
      </c>
      <c r="U68" s="6" t="e">
        <f t="shared" si="1"/>
        <v>#N/A</v>
      </c>
      <c r="V68" s="6">
        <f t="shared" ref="V68:V131" si="23">M68+SUM(AG68:AO68)+$T$1+R68/$Z$1</f>
        <v>13.396815818230639</v>
      </c>
      <c r="W68" s="6">
        <f t="shared" ref="W68:W131" si="24">M68+SUM(AG68:AO68)+$T$1+R68/$Z$1-AJ68-AM68</f>
        <v>14.896815818230635</v>
      </c>
      <c r="X68" s="6" t="e">
        <f t="shared" si="7"/>
        <v>#N/A</v>
      </c>
      <c r="Y68" s="6" t="e">
        <f t="shared" si="21"/>
        <v>#N/A</v>
      </c>
      <c r="Z68" s="6" t="e">
        <f t="shared" si="21"/>
        <v>#N/A</v>
      </c>
      <c r="AA68" s="6" t="e">
        <f t="shared" si="21"/>
        <v>#N/A</v>
      </c>
      <c r="AB68" s="6" t="e">
        <f t="shared" si="21"/>
        <v>#N/A</v>
      </c>
      <c r="AC68" s="6" t="e">
        <f t="shared" si="21"/>
        <v>#N/A</v>
      </c>
      <c r="AG68">
        <f t="shared" ref="AG68:AG131" si="25">C$3*(C$1-C68)/C$2</f>
        <v>-2.9999999999999718E-2</v>
      </c>
      <c r="AH68">
        <f t="shared" ref="AH68:AH131" si="26">D$3*(D$1-D68)/D$2</f>
        <v>0</v>
      </c>
      <c r="AI68">
        <f t="shared" ref="AI68:AI131" si="27">E$3*(E$1-E68)/E$2</f>
        <v>-0.62083333333333124</v>
      </c>
      <c r="AJ68">
        <f t="shared" ref="AJ68:AJ131" si="28">F$3*(F$1-F68)/F$2</f>
        <v>-1.4999999999999956</v>
      </c>
      <c r="AK68">
        <f t="shared" ref="AK68:AK131" si="29">G$3*(G$1-G68)/G$2</f>
        <v>0.74999999999999989</v>
      </c>
      <c r="AL68">
        <f t="shared" ref="AL68:AL131" si="30">H$3*(H$1-H68)/H$2</f>
        <v>-0.30499999999999972</v>
      </c>
      <c r="AM68">
        <f t="shared" ref="AM68:AM131" si="31">I$3*(I$1-I68)/I$2</f>
        <v>0</v>
      </c>
      <c r="AN68">
        <f t="shared" ref="AN68:AN131" si="32">(Q68-$M$1)/$M$2</f>
        <v>-2.1462875000000006</v>
      </c>
      <c r="AO68">
        <f t="shared" ref="AO68:AO131" si="33">(J68-$Q$1)/$Q$2</f>
        <v>1.5363002161506962</v>
      </c>
      <c r="AQ68">
        <f t="shared" ref="AQ68:AQ131" si="34">M68+SUM(AG68:AO68)+$T$1+R68/$Z$1</f>
        <v>13.396815818230639</v>
      </c>
      <c r="AR68">
        <f t="shared" ref="AR68:AR131" si="35">M68+SUM(AG68:AO68)+$T$1+R68/$Z$1-AJ68-AM68</f>
        <v>14.896815818230635</v>
      </c>
      <c r="AT68" t="str">
        <f t="shared" ref="AT68:AT131" si="36">A68&amp;B68</f>
        <v>45436B</v>
      </c>
    </row>
    <row r="69" spans="1:46" hidden="1" x14ac:dyDescent="0.3">
      <c r="A69" s="17">
        <v>45436</v>
      </c>
      <c r="B69" s="18" t="s">
        <v>20</v>
      </c>
      <c r="C69" s="6">
        <v>8.2999999999999989</v>
      </c>
      <c r="D69" s="6">
        <v>39.444444444444443</v>
      </c>
      <c r="E69" s="6">
        <v>27.095454545454551</v>
      </c>
      <c r="F69" s="6">
        <v>55.94</v>
      </c>
      <c r="G69" s="6">
        <v>3.56</v>
      </c>
      <c r="H69" s="6">
        <v>3.3372727272727269</v>
      </c>
      <c r="I69" s="6">
        <v>146.72727272727269</v>
      </c>
      <c r="J69" s="6">
        <v>8.3970358004709578</v>
      </c>
      <c r="K69" s="6">
        <v>5.4725989041299579E-3</v>
      </c>
      <c r="L69" s="6">
        <v>4.5953608919597391E-2</v>
      </c>
      <c r="M69" s="6">
        <v>19.018990948847499</v>
      </c>
      <c r="N69" s="6">
        <v>2.60741070446358E-3</v>
      </c>
      <c r="O69" s="6">
        <v>5225</v>
      </c>
      <c r="P69" s="6">
        <v>81.25255653116109</v>
      </c>
      <c r="Q69" s="6">
        <v>27170.560000000001</v>
      </c>
      <c r="R69" s="6">
        <v>0</v>
      </c>
      <c r="S69" s="6">
        <v>17.47503906835766</v>
      </c>
      <c r="T69" s="6">
        <f t="shared" si="22"/>
        <v>15.789356696390429</v>
      </c>
      <c r="U69" s="6" t="e">
        <f t="shared" si="1"/>
        <v>#N/A</v>
      </c>
      <c r="V69" s="6">
        <f t="shared" si="23"/>
        <v>15.039356696390431</v>
      </c>
      <c r="W69" s="6">
        <f t="shared" si="24"/>
        <v>16.539356696390428</v>
      </c>
      <c r="X69" s="6" t="e">
        <f t="shared" si="7"/>
        <v>#N/A</v>
      </c>
      <c r="Y69" s="6" t="e">
        <f t="shared" si="21"/>
        <v>#N/A</v>
      </c>
      <c r="Z69" s="6" t="e">
        <f t="shared" si="21"/>
        <v>#N/A</v>
      </c>
      <c r="AA69" s="6" t="e">
        <f t="shared" si="21"/>
        <v>#N/A</v>
      </c>
      <c r="AB69" s="6" t="e">
        <f t="shared" si="21"/>
        <v>#N/A</v>
      </c>
      <c r="AC69" s="6" t="e">
        <f t="shared" si="21"/>
        <v>#N/A</v>
      </c>
      <c r="AG69">
        <f t="shared" si="25"/>
        <v>-2.9999999999999718E-2</v>
      </c>
      <c r="AH69">
        <f t="shared" si="26"/>
        <v>0</v>
      </c>
      <c r="AI69">
        <f t="shared" si="27"/>
        <v>-0.7378787878787918</v>
      </c>
      <c r="AJ69">
        <f t="shared" si="28"/>
        <v>-1.4999999999999956</v>
      </c>
      <c r="AK69">
        <f t="shared" si="29"/>
        <v>0.74999999999999989</v>
      </c>
      <c r="AL69">
        <f t="shared" si="30"/>
        <v>-0.31363636363636482</v>
      </c>
      <c r="AM69">
        <f t="shared" si="31"/>
        <v>0</v>
      </c>
      <c r="AN69">
        <f t="shared" si="32"/>
        <v>-0.81404750000000015</v>
      </c>
      <c r="AO69">
        <f t="shared" si="33"/>
        <v>1.6659283990580853</v>
      </c>
      <c r="AQ69">
        <f t="shared" si="34"/>
        <v>15.039356696390431</v>
      </c>
      <c r="AR69">
        <f t="shared" si="35"/>
        <v>16.539356696390428</v>
      </c>
      <c r="AT69" t="str">
        <f t="shared" si="36"/>
        <v>45436C</v>
      </c>
    </row>
    <row r="70" spans="1:46" hidden="1" x14ac:dyDescent="0.3">
      <c r="A70" s="17">
        <v>45436</v>
      </c>
      <c r="B70" s="18" t="s">
        <v>21</v>
      </c>
      <c r="C70" s="6">
        <v>8.2999999999999989</v>
      </c>
      <c r="D70" s="6">
        <v>39.222222222222221</v>
      </c>
      <c r="E70" s="6">
        <v>27.330909090909088</v>
      </c>
      <c r="F70" s="6">
        <v>55.94</v>
      </c>
      <c r="G70" s="6">
        <v>3.56</v>
      </c>
      <c r="H70" s="6">
        <v>3.3390909090909089</v>
      </c>
      <c r="I70" s="6">
        <v>148.3636363636364</v>
      </c>
      <c r="J70" s="6">
        <v>8.8775077638048803</v>
      </c>
      <c r="K70" s="6">
        <v>9.0815401567935806E-3</v>
      </c>
      <c r="L70" s="6">
        <v>8.062144324924081E-2</v>
      </c>
      <c r="M70" s="6">
        <v>19.83621598096579</v>
      </c>
      <c r="N70" s="6">
        <v>2.5835343578801372E-3</v>
      </c>
      <c r="O70" s="6">
        <v>5225</v>
      </c>
      <c r="P70" s="6">
        <v>81.26521856826308</v>
      </c>
      <c r="Q70" s="6">
        <v>46449.600000000013</v>
      </c>
      <c r="R70" s="6">
        <v>0</v>
      </c>
      <c r="S70" s="6">
        <v>17.89433564857384</v>
      </c>
      <c r="T70" s="6">
        <f t="shared" si="22"/>
        <v>17.868396589719673</v>
      </c>
      <c r="U70" s="6" t="e">
        <f t="shared" si="1"/>
        <v>#N/A</v>
      </c>
      <c r="V70" s="6">
        <f t="shared" si="23"/>
        <v>17.118396589719673</v>
      </c>
      <c r="W70" s="6">
        <f t="shared" si="24"/>
        <v>18.618396589719669</v>
      </c>
      <c r="X70" s="6" t="e">
        <f t="shared" si="7"/>
        <v>#N/A</v>
      </c>
      <c r="Y70" s="6" t="e">
        <f t="shared" si="21"/>
        <v>#N/A</v>
      </c>
      <c r="Z70" s="6" t="e">
        <f t="shared" si="21"/>
        <v>#N/A</v>
      </c>
      <c r="AA70" s="6" t="e">
        <f t="shared" si="21"/>
        <v>#N/A</v>
      </c>
      <c r="AB70" s="6" t="e">
        <f t="shared" si="21"/>
        <v>#N/A</v>
      </c>
      <c r="AC70" s="6" t="e">
        <f t="shared" si="21"/>
        <v>#N/A</v>
      </c>
      <c r="AG70">
        <f t="shared" si="25"/>
        <v>-2.9999999999999718E-2</v>
      </c>
      <c r="AH70">
        <f t="shared" si="26"/>
        <v>0</v>
      </c>
      <c r="AI70">
        <f t="shared" si="27"/>
        <v>-0.93409090909090631</v>
      </c>
      <c r="AJ70">
        <f t="shared" si="28"/>
        <v>-1.4999999999999956</v>
      </c>
      <c r="AK70">
        <f t="shared" si="29"/>
        <v>0.74999999999999989</v>
      </c>
      <c r="AL70">
        <f t="shared" si="30"/>
        <v>-0.30454545454545512</v>
      </c>
      <c r="AM70">
        <f t="shared" si="31"/>
        <v>0</v>
      </c>
      <c r="AN70">
        <f t="shared" si="32"/>
        <v>1.5958325000000013</v>
      </c>
      <c r="AO70">
        <f t="shared" si="33"/>
        <v>0.70498447239024031</v>
      </c>
      <c r="AQ70">
        <f t="shared" si="34"/>
        <v>17.118396589719673</v>
      </c>
      <c r="AR70">
        <f t="shared" si="35"/>
        <v>18.618396589719669</v>
      </c>
      <c r="AT70" t="str">
        <f t="shared" si="36"/>
        <v>45436D</v>
      </c>
    </row>
    <row r="71" spans="1:46" hidden="1" x14ac:dyDescent="0.3">
      <c r="A71" s="17">
        <v>45440</v>
      </c>
      <c r="B71" s="18" t="s">
        <v>19</v>
      </c>
      <c r="C71" s="6">
        <v>8.3000000000000007</v>
      </c>
      <c r="D71" s="6">
        <v>37.833333333333343</v>
      </c>
      <c r="E71" s="6">
        <v>28.34</v>
      </c>
      <c r="F71" s="6">
        <v>55.31</v>
      </c>
      <c r="G71" s="6">
        <v>3.88</v>
      </c>
      <c r="H71" s="6">
        <v>3.4079999999999999</v>
      </c>
      <c r="I71" s="6">
        <v>147.19999999999999</v>
      </c>
      <c r="J71" s="6">
        <v>8.3865412183506667</v>
      </c>
      <c r="K71" s="6">
        <v>4.0271160328779861E-4</v>
      </c>
      <c r="L71" s="6">
        <v>3.377357460081205E-3</v>
      </c>
      <c r="M71" s="6">
        <v>13.24928040103095</v>
      </c>
      <c r="N71" s="6">
        <v>2.5859776963164981E-3</v>
      </c>
      <c r="O71" s="6">
        <v>5225</v>
      </c>
      <c r="P71" s="6">
        <v>93.134095663504894</v>
      </c>
      <c r="Q71" s="6">
        <v>1299.02</v>
      </c>
      <c r="R71" s="6">
        <v>9381.4611249999998</v>
      </c>
      <c r="S71" s="6">
        <v>13.243846862453371</v>
      </c>
      <c r="T71" s="6">
        <f t="shared" si="22"/>
        <v>6.8789940532304774</v>
      </c>
      <c r="U71" s="6" t="e">
        <f t="shared" ref="U71:U134" si="37">VLOOKUP($AT71,ggg,U$4,0)</f>
        <v>#N/A</v>
      </c>
      <c r="V71" s="6">
        <f t="shared" si="23"/>
        <v>6.6720975015063377</v>
      </c>
      <c r="W71" s="6">
        <f t="shared" si="24"/>
        <v>7.0858906049546171</v>
      </c>
      <c r="X71" s="6" t="e">
        <f t="shared" si="7"/>
        <v>#N/A</v>
      </c>
      <c r="Y71" s="6" t="e">
        <f t="shared" si="21"/>
        <v>#N/A</v>
      </c>
      <c r="Z71" s="6" t="e">
        <f t="shared" si="21"/>
        <v>#N/A</v>
      </c>
      <c r="AA71" s="6" t="e">
        <f t="shared" si="21"/>
        <v>#N/A</v>
      </c>
      <c r="AB71" s="6" t="e">
        <f t="shared" si="21"/>
        <v>#N/A</v>
      </c>
      <c r="AC71" s="6" t="e">
        <f t="shared" si="21"/>
        <v>#N/A</v>
      </c>
      <c r="AG71">
        <f t="shared" si="25"/>
        <v>-3.0000000000000072E-2</v>
      </c>
      <c r="AH71">
        <f t="shared" si="26"/>
        <v>0</v>
      </c>
      <c r="AI71">
        <f t="shared" si="27"/>
        <v>-1.7749999999999992</v>
      </c>
      <c r="AJ71">
        <f t="shared" si="28"/>
        <v>-0.4137931034482793</v>
      </c>
      <c r="AK71">
        <f t="shared" si="29"/>
        <v>-0.20999999999999952</v>
      </c>
      <c r="AL71">
        <f t="shared" si="30"/>
        <v>4.0000000000000042E-2</v>
      </c>
      <c r="AM71">
        <f t="shared" si="31"/>
        <v>0</v>
      </c>
      <c r="AN71">
        <f t="shared" si="32"/>
        <v>-4.0479900000000004</v>
      </c>
      <c r="AO71">
        <f t="shared" si="33"/>
        <v>1.6869175632986675</v>
      </c>
      <c r="AQ71">
        <f t="shared" si="34"/>
        <v>6.6720975015063377</v>
      </c>
      <c r="AR71">
        <f t="shared" si="35"/>
        <v>7.0858906049546171</v>
      </c>
      <c r="AT71" t="str">
        <f t="shared" si="36"/>
        <v>45440B</v>
      </c>
    </row>
    <row r="72" spans="1:46" hidden="1" x14ac:dyDescent="0.3">
      <c r="A72" s="17">
        <v>45440</v>
      </c>
      <c r="B72" s="18" t="s">
        <v>20</v>
      </c>
      <c r="C72" s="6">
        <v>8.2799999999999994</v>
      </c>
      <c r="D72" s="6">
        <v>37.444444444444443</v>
      </c>
      <c r="E72" s="6">
        <v>28.225000000000001</v>
      </c>
      <c r="F72" s="6">
        <v>55.31</v>
      </c>
      <c r="G72" s="6">
        <v>3.88</v>
      </c>
      <c r="H72" s="6">
        <v>3.4057142857142861</v>
      </c>
      <c r="I72" s="6">
        <v>146.57142857142861</v>
      </c>
      <c r="J72" s="6">
        <v>8.5544087304152079</v>
      </c>
      <c r="K72" s="6">
        <v>1.2250468220866759E-3</v>
      </c>
      <c r="L72" s="6">
        <v>1.0479551230025671E-2</v>
      </c>
      <c r="M72" s="6">
        <v>13.25137881938412</v>
      </c>
      <c r="N72" s="6">
        <v>2.5863888708759011E-3</v>
      </c>
      <c r="O72" s="6">
        <v>5225</v>
      </c>
      <c r="P72" s="6">
        <v>93.976784980389766</v>
      </c>
      <c r="Q72" s="6">
        <v>5495.4016000000011</v>
      </c>
      <c r="R72" s="6">
        <v>13448.169</v>
      </c>
      <c r="S72" s="6">
        <v>13.24450081669853</v>
      </c>
      <c r="T72" s="6">
        <f t="shared" si="22"/>
        <v>7.6666483937343308</v>
      </c>
      <c r="U72" s="6" t="e">
        <f t="shared" si="37"/>
        <v>#N/A</v>
      </c>
      <c r="V72" s="6">
        <f t="shared" si="23"/>
        <v>7.4597518420101911</v>
      </c>
      <c r="W72" s="6">
        <f t="shared" si="24"/>
        <v>7.8735449454584705</v>
      </c>
      <c r="X72" s="6" t="e">
        <f t="shared" ref="X72:X135" si="38">VLOOKUP($AT72,hhh,3,0)</f>
        <v>#N/A</v>
      </c>
      <c r="Y72" s="6" t="e">
        <f t="shared" si="21"/>
        <v>#N/A</v>
      </c>
      <c r="Z72" s="6" t="e">
        <f t="shared" si="21"/>
        <v>#N/A</v>
      </c>
      <c r="AA72" s="6" t="e">
        <f t="shared" si="21"/>
        <v>#N/A</v>
      </c>
      <c r="AB72" s="6" t="e">
        <f t="shared" si="21"/>
        <v>#N/A</v>
      </c>
      <c r="AC72" s="6" t="e">
        <f t="shared" si="21"/>
        <v>#N/A</v>
      </c>
      <c r="AG72">
        <f t="shared" si="25"/>
        <v>-2.5999999999999801E-2</v>
      </c>
      <c r="AH72">
        <f t="shared" si="26"/>
        <v>0</v>
      </c>
      <c r="AI72">
        <f t="shared" si="27"/>
        <v>-1.6791666666666671</v>
      </c>
      <c r="AJ72">
        <f t="shared" si="28"/>
        <v>-0.4137931034482793</v>
      </c>
      <c r="AK72">
        <f t="shared" si="29"/>
        <v>-0.20999999999999952</v>
      </c>
      <c r="AL72">
        <f t="shared" si="30"/>
        <v>2.8571428571431138E-2</v>
      </c>
      <c r="AM72">
        <f t="shared" si="31"/>
        <v>0</v>
      </c>
      <c r="AN72">
        <f t="shared" si="32"/>
        <v>-3.5234423000000001</v>
      </c>
      <c r="AO72">
        <f t="shared" si="33"/>
        <v>1.3511825391695851</v>
      </c>
      <c r="AQ72">
        <f t="shared" si="34"/>
        <v>7.4597518420101911</v>
      </c>
      <c r="AR72">
        <f t="shared" si="35"/>
        <v>7.8735449454584705</v>
      </c>
      <c r="AT72" t="str">
        <f t="shared" si="36"/>
        <v>45440C</v>
      </c>
    </row>
    <row r="73" spans="1:46" hidden="1" x14ac:dyDescent="0.3">
      <c r="A73" s="17">
        <v>45440</v>
      </c>
      <c r="B73" s="18" t="s">
        <v>21</v>
      </c>
      <c r="C73" s="6">
        <v>8.2966666666666669</v>
      </c>
      <c r="D73" s="6">
        <v>37.333333333333343</v>
      </c>
      <c r="E73" s="6">
        <v>28.037500000000001</v>
      </c>
      <c r="F73" s="6">
        <v>55.31</v>
      </c>
      <c r="G73" s="6">
        <v>3.88</v>
      </c>
      <c r="H73" s="6">
        <v>3.3857142857142861</v>
      </c>
      <c r="I73" s="6">
        <v>145.42857142857139</v>
      </c>
      <c r="J73" s="6">
        <v>8.0971456238049893</v>
      </c>
      <c r="K73" s="6">
        <v>7.2968566302241706E-3</v>
      </c>
      <c r="L73" s="6">
        <v>5.9083710730952067E-2</v>
      </c>
      <c r="M73" s="6">
        <v>13.460312118836979</v>
      </c>
      <c r="N73" s="6">
        <v>2.580666152652099E-3</v>
      </c>
      <c r="O73" s="6">
        <v>5225</v>
      </c>
      <c r="P73" s="6">
        <v>81.407285929611049</v>
      </c>
      <c r="Q73" s="6">
        <v>33354.753599999996</v>
      </c>
      <c r="R73" s="6">
        <v>13991.87084615385</v>
      </c>
      <c r="S73" s="6">
        <v>14.25827530140314</v>
      </c>
      <c r="T73" s="6">
        <f t="shared" si="22"/>
        <v>12.393406303843523</v>
      </c>
      <c r="U73" s="6" t="e">
        <f t="shared" si="37"/>
        <v>#N/A</v>
      </c>
      <c r="V73" s="6">
        <f t="shared" si="23"/>
        <v>12.186509752119383</v>
      </c>
      <c r="W73" s="6">
        <f t="shared" si="24"/>
        <v>12.600302855567662</v>
      </c>
      <c r="X73" s="6" t="e">
        <f t="shared" si="38"/>
        <v>#N/A</v>
      </c>
      <c r="Y73" s="6" t="e">
        <f t="shared" si="21"/>
        <v>#N/A</v>
      </c>
      <c r="Z73" s="6" t="e">
        <f t="shared" si="21"/>
        <v>#N/A</v>
      </c>
      <c r="AA73" s="6" t="e">
        <f t="shared" si="21"/>
        <v>#N/A</v>
      </c>
      <c r="AB73" s="6" t="e">
        <f t="shared" si="21"/>
        <v>#N/A</v>
      </c>
      <c r="AC73" s="6" t="e">
        <f t="shared" si="21"/>
        <v>#N/A</v>
      </c>
      <c r="AG73">
        <f t="shared" si="25"/>
        <v>-2.9333333333333302E-2</v>
      </c>
      <c r="AH73">
        <f t="shared" si="26"/>
        <v>0</v>
      </c>
      <c r="AI73">
        <f t="shared" si="27"/>
        <v>-1.5229166666666671</v>
      </c>
      <c r="AJ73">
        <f t="shared" si="28"/>
        <v>-0.4137931034482793</v>
      </c>
      <c r="AK73">
        <f t="shared" si="29"/>
        <v>-0.20999999999999952</v>
      </c>
      <c r="AL73">
        <f t="shared" si="30"/>
        <v>-7.1428571428568954E-2</v>
      </c>
      <c r="AM73">
        <f t="shared" si="31"/>
        <v>0</v>
      </c>
      <c r="AN73">
        <f t="shared" si="32"/>
        <v>-4.1023300000000748E-2</v>
      </c>
      <c r="AO73">
        <f t="shared" si="33"/>
        <v>2.2657087523900223</v>
      </c>
      <c r="AQ73">
        <f t="shared" si="34"/>
        <v>12.186509752119383</v>
      </c>
      <c r="AR73">
        <f t="shared" si="35"/>
        <v>12.600302855567662</v>
      </c>
      <c r="AT73" t="str">
        <f t="shared" si="36"/>
        <v>45440D</v>
      </c>
    </row>
    <row r="74" spans="1:46" hidden="1" x14ac:dyDescent="0.3">
      <c r="A74" s="17">
        <v>45441</v>
      </c>
      <c r="B74" s="18" t="s">
        <v>22</v>
      </c>
      <c r="C74" s="6">
        <v>8.31</v>
      </c>
      <c r="D74" s="6">
        <v>38.25</v>
      </c>
      <c r="E74" s="6">
        <v>26.074999999999999</v>
      </c>
      <c r="F74" s="6">
        <v>55.31</v>
      </c>
      <c r="G74" s="6">
        <v>3.49</v>
      </c>
      <c r="H74" s="6">
        <v>3.4049999999999998</v>
      </c>
      <c r="I74" s="6">
        <v>151.25</v>
      </c>
      <c r="J74" s="6">
        <v>7.6940291560472343</v>
      </c>
      <c r="K74" s="6">
        <v>1.0521174394390881E-2</v>
      </c>
      <c r="L74" s="6">
        <v>8.0950222546301076E-2</v>
      </c>
      <c r="M74" s="6">
        <v>17.673324515678889</v>
      </c>
      <c r="N74" s="6">
        <v>2.582430744081648E-3</v>
      </c>
      <c r="O74" s="6">
        <v>5225</v>
      </c>
      <c r="P74" s="6">
        <v>81.231706077468161</v>
      </c>
      <c r="Q74" s="6">
        <v>33953.299200000001</v>
      </c>
      <c r="R74" s="6">
        <v>4278.2460000000001</v>
      </c>
      <c r="S74" s="6">
        <v>17.116909894786129</v>
      </c>
      <c r="T74" s="6">
        <f t="shared" si="22"/>
        <v>19.172445301860279</v>
      </c>
      <c r="U74" s="6" t="e">
        <f t="shared" si="37"/>
        <v>#N/A</v>
      </c>
      <c r="V74" s="6">
        <f t="shared" si="23"/>
        <v>18.96554875013614</v>
      </c>
      <c r="W74" s="6">
        <f t="shared" si="24"/>
        <v>19.379341853584418</v>
      </c>
      <c r="X74" s="6" t="e">
        <f t="shared" si="38"/>
        <v>#N/A</v>
      </c>
      <c r="Y74" s="6" t="e">
        <f t="shared" si="21"/>
        <v>#N/A</v>
      </c>
      <c r="Z74" s="6" t="e">
        <f t="shared" si="21"/>
        <v>#N/A</v>
      </c>
      <c r="AA74" s="6" t="e">
        <f t="shared" si="21"/>
        <v>#N/A</v>
      </c>
      <c r="AB74" s="6" t="e">
        <f t="shared" si="21"/>
        <v>#N/A</v>
      </c>
      <c r="AC74" s="6" t="e">
        <f t="shared" si="21"/>
        <v>#N/A</v>
      </c>
      <c r="AG74">
        <f t="shared" si="25"/>
        <v>-3.2000000000000028E-2</v>
      </c>
      <c r="AH74">
        <f t="shared" si="26"/>
        <v>0</v>
      </c>
      <c r="AI74">
        <f t="shared" si="27"/>
        <v>0.11250000000000131</v>
      </c>
      <c r="AJ74">
        <f t="shared" si="28"/>
        <v>-0.4137931034482793</v>
      </c>
      <c r="AK74">
        <f t="shared" si="29"/>
        <v>0.95999999999999941</v>
      </c>
      <c r="AL74">
        <f t="shared" si="30"/>
        <v>2.4999999999999467E-2</v>
      </c>
      <c r="AM74">
        <f t="shared" si="31"/>
        <v>0</v>
      </c>
      <c r="AN74">
        <f t="shared" si="32"/>
        <v>3.3794899999999871E-2</v>
      </c>
      <c r="AO74">
        <f t="shared" si="33"/>
        <v>3.0719416879055323</v>
      </c>
      <c r="AQ74">
        <f t="shared" si="34"/>
        <v>18.96554875013614</v>
      </c>
      <c r="AR74">
        <f t="shared" si="35"/>
        <v>19.379341853584418</v>
      </c>
      <c r="AT74" t="str">
        <f t="shared" si="36"/>
        <v>45441A</v>
      </c>
    </row>
    <row r="75" spans="1:46" hidden="1" x14ac:dyDescent="0.3">
      <c r="A75" s="17">
        <v>45441</v>
      </c>
      <c r="B75" s="18" t="s">
        <v>19</v>
      </c>
      <c r="C75" s="6">
        <v>8.2516666666666669</v>
      </c>
      <c r="D75" s="6">
        <v>37.875</v>
      </c>
      <c r="E75" s="6">
        <v>27.517499999999998</v>
      </c>
      <c r="F75" s="6">
        <v>54.89</v>
      </c>
      <c r="G75" s="6">
        <v>3.8</v>
      </c>
      <c r="H75" s="6">
        <v>3.38</v>
      </c>
      <c r="I75" s="6">
        <v>150.125</v>
      </c>
      <c r="J75" s="6">
        <v>9.459311731716026</v>
      </c>
      <c r="K75" s="6">
        <v>4.9999732816709656E-3</v>
      </c>
      <c r="L75" s="6">
        <v>4.7296305921576853E-2</v>
      </c>
      <c r="M75" s="6">
        <v>13.37145361839481</v>
      </c>
      <c r="N75" s="6">
        <v>2.581813721102309E-3</v>
      </c>
      <c r="O75" s="6">
        <v>5225</v>
      </c>
      <c r="P75" s="6">
        <v>84.49802710807198</v>
      </c>
      <c r="Q75" s="6">
        <v>17646.930687096428</v>
      </c>
      <c r="R75" s="6">
        <v>6636.4751111111109</v>
      </c>
      <c r="S75" s="6">
        <v>14.358214127701</v>
      </c>
      <c r="T75" s="6">
        <f t="shared" si="22"/>
        <v>7.7131441268651404</v>
      </c>
      <c r="U75" s="6" t="e">
        <f t="shared" si="37"/>
        <v>#N/A</v>
      </c>
      <c r="V75" s="6">
        <f t="shared" si="23"/>
        <v>7.8683165406582436</v>
      </c>
      <c r="W75" s="6">
        <f t="shared" si="24"/>
        <v>7.5579717130720372</v>
      </c>
      <c r="X75" s="6" t="e">
        <f t="shared" si="38"/>
        <v>#N/A</v>
      </c>
      <c r="Y75" s="6" t="e">
        <f t="shared" si="21"/>
        <v>#N/A</v>
      </c>
      <c r="Z75" s="6" t="e">
        <f t="shared" si="21"/>
        <v>#N/A</v>
      </c>
      <c r="AA75" s="6" t="e">
        <f t="shared" si="21"/>
        <v>#N/A</v>
      </c>
      <c r="AB75" s="6" t="e">
        <f t="shared" si="21"/>
        <v>#N/A</v>
      </c>
      <c r="AC75" s="6" t="e">
        <f t="shared" si="21"/>
        <v>#N/A</v>
      </c>
      <c r="AG75">
        <f t="shared" si="25"/>
        <v>-2.0333333333333314E-2</v>
      </c>
      <c r="AH75">
        <f t="shared" si="26"/>
        <v>0</v>
      </c>
      <c r="AI75">
        <f t="shared" si="27"/>
        <v>-1.0895833333333313</v>
      </c>
      <c r="AJ75">
        <f t="shared" si="28"/>
        <v>0.31034482758620641</v>
      </c>
      <c r="AK75">
        <f t="shared" si="29"/>
        <v>3.0000000000000689E-2</v>
      </c>
      <c r="AL75">
        <f t="shared" si="30"/>
        <v>-0.10000000000000009</v>
      </c>
      <c r="AM75">
        <f t="shared" si="31"/>
        <v>0</v>
      </c>
      <c r="AN75">
        <f t="shared" si="32"/>
        <v>-2.0045011641129467</v>
      </c>
      <c r="AO75">
        <f t="shared" si="33"/>
        <v>-0.45862346343205118</v>
      </c>
      <c r="AQ75">
        <f t="shared" si="34"/>
        <v>7.8683165406582436</v>
      </c>
      <c r="AR75">
        <f t="shared" si="35"/>
        <v>7.5579717130720372</v>
      </c>
      <c r="AT75" t="str">
        <f t="shared" si="36"/>
        <v>45441B</v>
      </c>
    </row>
    <row r="76" spans="1:46" hidden="1" x14ac:dyDescent="0.3">
      <c r="A76" s="17">
        <v>45441</v>
      </c>
      <c r="B76" s="18" t="s">
        <v>20</v>
      </c>
      <c r="C76" s="6">
        <v>8.2157142857142862</v>
      </c>
      <c r="D76" s="6">
        <v>38</v>
      </c>
      <c r="E76" s="6">
        <v>27.384</v>
      </c>
      <c r="F76" s="6">
        <v>54.89</v>
      </c>
      <c r="G76" s="6">
        <v>3.8</v>
      </c>
      <c r="H76" s="6">
        <v>3.3940000000000001</v>
      </c>
      <c r="I76" s="6">
        <v>151.19999999999999</v>
      </c>
      <c r="J76" s="6">
        <v>9.6349038186385165</v>
      </c>
      <c r="K76" s="6">
        <v>5.2265791381462716E-3</v>
      </c>
      <c r="L76" s="6">
        <v>5.0357587296541932E-2</v>
      </c>
      <c r="M76" s="6">
        <v>13.97294448463944</v>
      </c>
      <c r="N76" s="6">
        <v>2.583279951827111E-3</v>
      </c>
      <c r="O76" s="6">
        <v>5225</v>
      </c>
      <c r="P76" s="6">
        <v>86.834715283558623</v>
      </c>
      <c r="Q76" s="6">
        <v>26172.236799999999</v>
      </c>
      <c r="R76" s="6">
        <v>7358.2979999999998</v>
      </c>
      <c r="S76" s="6">
        <v>14.734469204529169</v>
      </c>
      <c r="T76" s="6">
        <f t="shared" si="22"/>
        <v>9.307782420679322</v>
      </c>
      <c r="U76" s="6" t="e">
        <f t="shared" si="37"/>
        <v>#N/A</v>
      </c>
      <c r="V76" s="6">
        <f t="shared" si="23"/>
        <v>9.4629548344724252</v>
      </c>
      <c r="W76" s="6">
        <f t="shared" si="24"/>
        <v>9.1526100068862188</v>
      </c>
      <c r="X76" s="6" t="e">
        <f t="shared" si="38"/>
        <v>#N/A</v>
      </c>
      <c r="Y76" s="6" t="e">
        <f t="shared" si="21"/>
        <v>#N/A</v>
      </c>
      <c r="Z76" s="6" t="e">
        <f t="shared" si="21"/>
        <v>#N/A</v>
      </c>
      <c r="AA76" s="6" t="e">
        <f t="shared" si="21"/>
        <v>#N/A</v>
      </c>
      <c r="AB76" s="6" t="e">
        <f t="shared" si="21"/>
        <v>#N/A</v>
      </c>
      <c r="AC76" s="6" t="e">
        <f t="shared" si="21"/>
        <v>#N/A</v>
      </c>
      <c r="AG76">
        <f t="shared" si="25"/>
        <v>-1.3142857142857168E-2</v>
      </c>
      <c r="AH76">
        <f t="shared" si="26"/>
        <v>0</v>
      </c>
      <c r="AI76">
        <f t="shared" si="27"/>
        <v>-0.97833333333333294</v>
      </c>
      <c r="AJ76">
        <f t="shared" si="28"/>
        <v>0.31034482758620641</v>
      </c>
      <c r="AK76">
        <f t="shared" si="29"/>
        <v>3.0000000000000689E-2</v>
      </c>
      <c r="AL76">
        <f t="shared" si="30"/>
        <v>-2.9999999999998916E-2</v>
      </c>
      <c r="AM76">
        <f t="shared" si="31"/>
        <v>0</v>
      </c>
      <c r="AN76">
        <f t="shared" si="32"/>
        <v>-0.93883790000000045</v>
      </c>
      <c r="AO76">
        <f t="shared" si="33"/>
        <v>-0.8098076372770322</v>
      </c>
      <c r="AQ76">
        <f t="shared" si="34"/>
        <v>9.4629548344724252</v>
      </c>
      <c r="AR76">
        <f t="shared" si="35"/>
        <v>9.1526100068862188</v>
      </c>
      <c r="AT76" t="str">
        <f t="shared" si="36"/>
        <v>45441C</v>
      </c>
    </row>
    <row r="77" spans="1:46" hidden="1" x14ac:dyDescent="0.3">
      <c r="A77" s="17">
        <v>45441</v>
      </c>
      <c r="B77" s="18" t="s">
        <v>21</v>
      </c>
      <c r="C77" s="6">
        <v>8.161428571428571</v>
      </c>
      <c r="D77" s="6">
        <v>37.777777777777779</v>
      </c>
      <c r="E77" s="6">
        <v>27.466666666666669</v>
      </c>
      <c r="F77" s="6">
        <v>54.89</v>
      </c>
      <c r="G77" s="6">
        <v>3.8</v>
      </c>
      <c r="H77" s="6">
        <v>3.3555555555555561</v>
      </c>
      <c r="I77" s="6">
        <v>152</v>
      </c>
      <c r="J77" s="6">
        <v>9.2622553988255696</v>
      </c>
      <c r="K77" s="6">
        <v>7.3281352688213536E-3</v>
      </c>
      <c r="L77" s="6">
        <v>6.7875060456964648E-2</v>
      </c>
      <c r="M77" s="6">
        <v>15.729217750174691</v>
      </c>
      <c r="N77" s="6">
        <v>2.5818370970817741E-3</v>
      </c>
      <c r="O77" s="6">
        <v>5225</v>
      </c>
      <c r="P77" s="6">
        <v>81.201723058626641</v>
      </c>
      <c r="Q77" s="6">
        <v>38166.029788235297</v>
      </c>
      <c r="R77" s="6">
        <v>7358.2979999999998</v>
      </c>
      <c r="S77" s="6">
        <v>16.380510108117239</v>
      </c>
      <c r="T77" s="6">
        <f t="shared" si="22"/>
        <v>13.058322681115913</v>
      </c>
      <c r="U77" s="6" t="e">
        <f t="shared" si="37"/>
        <v>#N/A</v>
      </c>
      <c r="V77" s="6">
        <f t="shared" si="23"/>
        <v>13.213495094909016</v>
      </c>
      <c r="W77" s="6">
        <f t="shared" si="24"/>
        <v>12.903150267322809</v>
      </c>
      <c r="X77" s="6" t="e">
        <f t="shared" si="38"/>
        <v>#N/A</v>
      </c>
      <c r="Y77" s="6" t="e">
        <f t="shared" ref="Y77:AC86" si="39">VLOOKUP($AT77,hhh,3,0)</f>
        <v>#N/A</v>
      </c>
      <c r="Z77" s="6" t="e">
        <f t="shared" si="39"/>
        <v>#N/A</v>
      </c>
      <c r="AA77" s="6" t="e">
        <f t="shared" si="39"/>
        <v>#N/A</v>
      </c>
      <c r="AB77" s="6" t="e">
        <f t="shared" si="39"/>
        <v>#N/A</v>
      </c>
      <c r="AC77" s="6" t="e">
        <f t="shared" si="39"/>
        <v>#N/A</v>
      </c>
      <c r="AG77">
        <f t="shared" si="25"/>
        <v>-2.2857142857141354E-3</v>
      </c>
      <c r="AH77">
        <f t="shared" si="26"/>
        <v>0</v>
      </c>
      <c r="AI77">
        <f t="shared" si="27"/>
        <v>-1.0472222222222232</v>
      </c>
      <c r="AJ77">
        <f t="shared" si="28"/>
        <v>0.31034482758620641</v>
      </c>
      <c r="AK77">
        <f t="shared" si="29"/>
        <v>3.0000000000000689E-2</v>
      </c>
      <c r="AL77">
        <f t="shared" si="30"/>
        <v>-0.22222222222221921</v>
      </c>
      <c r="AM77">
        <f t="shared" si="31"/>
        <v>0</v>
      </c>
      <c r="AN77">
        <f t="shared" si="32"/>
        <v>0.56038622352941181</v>
      </c>
      <c r="AO77">
        <f t="shared" si="33"/>
        <v>-6.4510797651138319E-2</v>
      </c>
      <c r="AQ77">
        <f t="shared" si="34"/>
        <v>13.213495094909016</v>
      </c>
      <c r="AR77">
        <f t="shared" si="35"/>
        <v>12.903150267322809</v>
      </c>
      <c r="AT77" t="str">
        <f t="shared" si="36"/>
        <v>45441D</v>
      </c>
    </row>
    <row r="78" spans="1:46" hidden="1" x14ac:dyDescent="0.3">
      <c r="A78" s="17">
        <v>45442</v>
      </c>
      <c r="B78" s="18" t="s">
        <v>22</v>
      </c>
      <c r="C78" s="6">
        <v>8.36</v>
      </c>
      <c r="D78" s="6">
        <v>37.6</v>
      </c>
      <c r="E78" s="6">
        <v>27.88</v>
      </c>
      <c r="F78" s="6">
        <v>54.89</v>
      </c>
      <c r="G78" s="6">
        <v>3.8</v>
      </c>
      <c r="H78" s="6">
        <v>3.2559999999999998</v>
      </c>
      <c r="I78" s="6">
        <v>152.6</v>
      </c>
      <c r="J78" s="6">
        <v>8.0245565049999072</v>
      </c>
      <c r="K78" s="6">
        <v>1.257788582817535E-2</v>
      </c>
      <c r="L78" s="6">
        <v>0.10093195554163061</v>
      </c>
      <c r="M78" s="6">
        <v>17.391758356888989</v>
      </c>
      <c r="N78" s="6">
        <v>2.5822354409239861E-3</v>
      </c>
      <c r="O78" s="6">
        <v>5225</v>
      </c>
      <c r="P78" s="6">
        <v>81.227346612908448</v>
      </c>
      <c r="Q78" s="6">
        <v>66448.408800000005</v>
      </c>
      <c r="R78" s="6">
        <v>0</v>
      </c>
      <c r="S78" s="6">
        <v>17.897747346316141</v>
      </c>
      <c r="T78" s="6">
        <f t="shared" si="22"/>
        <v>18.929834694015614</v>
      </c>
      <c r="U78" s="6" t="e">
        <f t="shared" si="37"/>
        <v>#N/A</v>
      </c>
      <c r="V78" s="6">
        <f t="shared" si="23"/>
        <v>19.085007107808718</v>
      </c>
      <c r="W78" s="6">
        <f t="shared" si="24"/>
        <v>18.774662280222511</v>
      </c>
      <c r="X78" s="6" t="e">
        <f t="shared" si="38"/>
        <v>#N/A</v>
      </c>
      <c r="Y78" s="6" t="e">
        <f t="shared" si="39"/>
        <v>#N/A</v>
      </c>
      <c r="Z78" s="6" t="e">
        <f t="shared" si="39"/>
        <v>#N/A</v>
      </c>
      <c r="AA78" s="6" t="e">
        <f t="shared" si="39"/>
        <v>#N/A</v>
      </c>
      <c r="AB78" s="6" t="e">
        <f t="shared" si="39"/>
        <v>#N/A</v>
      </c>
      <c r="AC78" s="6" t="e">
        <f t="shared" si="39"/>
        <v>#N/A</v>
      </c>
      <c r="AG78">
        <f t="shared" si="25"/>
        <v>-4.1999999999999815E-2</v>
      </c>
      <c r="AH78">
        <f t="shared" si="26"/>
        <v>0</v>
      </c>
      <c r="AI78">
        <f t="shared" si="27"/>
        <v>-1.3916666666666653</v>
      </c>
      <c r="AJ78">
        <f t="shared" si="28"/>
        <v>0.31034482758620641</v>
      </c>
      <c r="AK78">
        <f t="shared" si="29"/>
        <v>3.0000000000000689E-2</v>
      </c>
      <c r="AL78">
        <f t="shared" si="30"/>
        <v>-0.72000000000000064</v>
      </c>
      <c r="AM78">
        <f t="shared" si="31"/>
        <v>0</v>
      </c>
      <c r="AN78">
        <f t="shared" si="32"/>
        <v>4.0956836000000001</v>
      </c>
      <c r="AO78">
        <f t="shared" si="33"/>
        <v>2.4108869900001864</v>
      </c>
      <c r="AQ78">
        <f t="shared" si="34"/>
        <v>19.085007107808718</v>
      </c>
      <c r="AR78">
        <f t="shared" si="35"/>
        <v>18.774662280222511</v>
      </c>
      <c r="AT78" t="str">
        <f t="shared" si="36"/>
        <v>45442A</v>
      </c>
    </row>
    <row r="79" spans="1:46" hidden="1" x14ac:dyDescent="0.3">
      <c r="A79" s="17">
        <v>45442</v>
      </c>
      <c r="B79" s="18" t="s">
        <v>19</v>
      </c>
      <c r="C79" s="6">
        <v>8.3249999999999993</v>
      </c>
      <c r="D79" s="6">
        <v>38</v>
      </c>
      <c r="E79" s="6">
        <v>28.225000000000001</v>
      </c>
      <c r="F79" s="6">
        <v>54.89</v>
      </c>
      <c r="G79" s="6">
        <v>3.65</v>
      </c>
      <c r="H79" s="6">
        <v>3.3125</v>
      </c>
      <c r="I79" s="6">
        <v>152.25</v>
      </c>
      <c r="J79" s="6">
        <v>8.9865485706764403</v>
      </c>
      <c r="K79" s="6">
        <v>1.5409032154647521E-3</v>
      </c>
      <c r="L79" s="6">
        <v>1.38474015884855E-2</v>
      </c>
      <c r="M79" s="6">
        <v>14.32120385717141</v>
      </c>
      <c r="N79" s="6">
        <v>2.5806536311882909E-3</v>
      </c>
      <c r="O79" s="6">
        <v>5225</v>
      </c>
      <c r="P79" s="6">
        <v>81.179767074848087</v>
      </c>
      <c r="Q79" s="6">
        <v>6704.49874</v>
      </c>
      <c r="R79" s="6">
        <v>4029.63</v>
      </c>
      <c r="S79" s="6">
        <v>14.911511776541751</v>
      </c>
      <c r="T79" s="6">
        <f t="shared" si="22"/>
        <v>7.4230110554449666</v>
      </c>
      <c r="U79" s="6" t="e">
        <f t="shared" si="37"/>
        <v>#N/A</v>
      </c>
      <c r="V79" s="6">
        <f t="shared" si="23"/>
        <v>7.5781834692380698</v>
      </c>
      <c r="W79" s="6">
        <f t="shared" si="24"/>
        <v>7.2678386416518634</v>
      </c>
      <c r="X79" s="6" t="e">
        <f t="shared" si="38"/>
        <v>#N/A</v>
      </c>
      <c r="Y79" s="6" t="e">
        <f t="shared" si="39"/>
        <v>#N/A</v>
      </c>
      <c r="Z79" s="6" t="e">
        <f t="shared" si="39"/>
        <v>#N/A</v>
      </c>
      <c r="AA79" s="6" t="e">
        <f t="shared" si="39"/>
        <v>#N/A</v>
      </c>
      <c r="AB79" s="6" t="e">
        <f t="shared" si="39"/>
        <v>#N/A</v>
      </c>
      <c r="AC79" s="6" t="e">
        <f t="shared" si="39"/>
        <v>#N/A</v>
      </c>
      <c r="AG79">
        <f t="shared" si="25"/>
        <v>-3.4999999999999788E-2</v>
      </c>
      <c r="AH79">
        <f t="shared" si="26"/>
        <v>0</v>
      </c>
      <c r="AI79">
        <f t="shared" si="27"/>
        <v>-1.6791666666666671</v>
      </c>
      <c r="AJ79">
        <f t="shared" si="28"/>
        <v>0.31034482758620641</v>
      </c>
      <c r="AK79">
        <f t="shared" si="29"/>
        <v>0.48000000000000043</v>
      </c>
      <c r="AL79">
        <f t="shared" si="30"/>
        <v>-0.43749999999999961</v>
      </c>
      <c r="AM79">
        <f t="shared" si="31"/>
        <v>0</v>
      </c>
      <c r="AN79">
        <f t="shared" si="32"/>
        <v>-3.3723051575000005</v>
      </c>
      <c r="AO79">
        <f t="shared" si="33"/>
        <v>0.48690285864712024</v>
      </c>
      <c r="AQ79">
        <f t="shared" si="34"/>
        <v>7.5781834692380698</v>
      </c>
      <c r="AR79">
        <f t="shared" si="35"/>
        <v>7.2678386416518634</v>
      </c>
      <c r="AT79" t="str">
        <f t="shared" si="36"/>
        <v>45442B</v>
      </c>
    </row>
    <row r="80" spans="1:46" hidden="1" x14ac:dyDescent="0.3">
      <c r="A80" s="17">
        <v>45442</v>
      </c>
      <c r="B80" s="18" t="s">
        <v>20</v>
      </c>
      <c r="C80" s="6">
        <v>8.2799999999999994</v>
      </c>
      <c r="D80" s="6">
        <v>38.444444444444443</v>
      </c>
      <c r="E80" s="6">
        <v>28.3</v>
      </c>
      <c r="F80" s="6">
        <v>54.89</v>
      </c>
      <c r="G80" s="6">
        <v>3.65</v>
      </c>
      <c r="H80" s="6">
        <v>3.322222222222222</v>
      </c>
      <c r="I80" s="6">
        <v>151.55555555555549</v>
      </c>
      <c r="J80" s="6">
        <v>10.12123832183056</v>
      </c>
      <c r="K80" s="6">
        <v>8.9729833204280855E-4</v>
      </c>
      <c r="L80" s="6">
        <v>9.0817702643863109E-3</v>
      </c>
      <c r="M80" s="6">
        <v>13.89361472006428</v>
      </c>
      <c r="N80" s="6">
        <v>2.5805204917761721E-3</v>
      </c>
      <c r="O80" s="6">
        <v>5225</v>
      </c>
      <c r="P80" s="6">
        <v>81.173143297085247</v>
      </c>
      <c r="Q80" s="6">
        <v>3960.1927999999998</v>
      </c>
      <c r="R80" s="6">
        <v>4029.63</v>
      </c>
      <c r="S80" s="6">
        <v>14.652250207494729</v>
      </c>
      <c r="T80" s="6">
        <f t="shared" si="22"/>
        <v>4.3781152846407068</v>
      </c>
      <c r="U80" s="6" t="e">
        <f t="shared" si="37"/>
        <v>#N/A</v>
      </c>
      <c r="V80" s="6">
        <f t="shared" si="23"/>
        <v>4.53328769843381</v>
      </c>
      <c r="W80" s="6">
        <f t="shared" si="24"/>
        <v>4.2229428708476036</v>
      </c>
      <c r="X80" s="6" t="e">
        <f t="shared" si="38"/>
        <v>#N/A</v>
      </c>
      <c r="Y80" s="6" t="e">
        <f t="shared" si="39"/>
        <v>#N/A</v>
      </c>
      <c r="Z80" s="6" t="e">
        <f t="shared" si="39"/>
        <v>#N/A</v>
      </c>
      <c r="AA80" s="6" t="e">
        <f t="shared" si="39"/>
        <v>#N/A</v>
      </c>
      <c r="AB80" s="6" t="e">
        <f t="shared" si="39"/>
        <v>#N/A</v>
      </c>
      <c r="AC80" s="6" t="e">
        <f t="shared" si="39"/>
        <v>#N/A</v>
      </c>
      <c r="AG80">
        <f t="shared" si="25"/>
        <v>-2.5999999999999801E-2</v>
      </c>
      <c r="AH80">
        <f t="shared" si="26"/>
        <v>0</v>
      </c>
      <c r="AI80">
        <f t="shared" si="27"/>
        <v>-1.7416666666666667</v>
      </c>
      <c r="AJ80">
        <f t="shared" si="28"/>
        <v>0.31034482758620641</v>
      </c>
      <c r="AK80">
        <f t="shared" si="29"/>
        <v>0.48000000000000043</v>
      </c>
      <c r="AL80">
        <f t="shared" si="30"/>
        <v>-0.38888888888888973</v>
      </c>
      <c r="AM80">
        <f t="shared" si="31"/>
        <v>0</v>
      </c>
      <c r="AN80">
        <f t="shared" si="32"/>
        <v>-3.7153434000000001</v>
      </c>
      <c r="AO80">
        <f t="shared" si="33"/>
        <v>-1.7824766436611199</v>
      </c>
      <c r="AQ80">
        <f t="shared" si="34"/>
        <v>4.53328769843381</v>
      </c>
      <c r="AR80">
        <f t="shared" si="35"/>
        <v>4.2229428708476036</v>
      </c>
      <c r="AT80" t="str">
        <f t="shared" si="36"/>
        <v>45442C</v>
      </c>
    </row>
    <row r="81" spans="1:46" hidden="1" x14ac:dyDescent="0.3">
      <c r="A81" s="17">
        <v>45442</v>
      </c>
      <c r="B81" s="18" t="s">
        <v>21</v>
      </c>
      <c r="C81" s="6">
        <v>8.3000000000000007</v>
      </c>
      <c r="D81" s="6">
        <v>38.200000000000003</v>
      </c>
      <c r="E81" s="6">
        <v>28.12</v>
      </c>
      <c r="F81" s="6">
        <v>54.89</v>
      </c>
      <c r="G81" s="6">
        <v>3.65</v>
      </c>
      <c r="H81" s="6">
        <v>3.2919999999999998</v>
      </c>
      <c r="I81" s="6">
        <v>150.6</v>
      </c>
      <c r="J81" s="6">
        <v>9.5649486421869252</v>
      </c>
      <c r="K81" s="6">
        <v>2.6413422969288939E-3</v>
      </c>
      <c r="L81" s="6">
        <v>2.526430341656092E-2</v>
      </c>
      <c r="M81" s="6">
        <v>14.65090249031077</v>
      </c>
      <c r="N81" s="6">
        <v>2.581584478404955E-3</v>
      </c>
      <c r="O81" s="6">
        <v>5225</v>
      </c>
      <c r="P81" s="6">
        <v>81.184886509753426</v>
      </c>
      <c r="Q81" s="6">
        <v>13184.858235008211</v>
      </c>
      <c r="R81" s="6">
        <v>2549.3832380952381</v>
      </c>
      <c r="S81" s="6">
        <v>15.641597842371119</v>
      </c>
      <c r="T81" s="6">
        <f t="shared" si="22"/>
        <v>7.2109236372012875</v>
      </c>
      <c r="U81" s="6" t="e">
        <f t="shared" si="37"/>
        <v>#N/A</v>
      </c>
      <c r="V81" s="6">
        <f t="shared" si="23"/>
        <v>7.3660960509943907</v>
      </c>
      <c r="W81" s="6">
        <f t="shared" si="24"/>
        <v>7.0557512234081843</v>
      </c>
      <c r="X81" s="6" t="e">
        <f t="shared" si="38"/>
        <v>#N/A</v>
      </c>
      <c r="Y81" s="6" t="e">
        <f t="shared" si="39"/>
        <v>#N/A</v>
      </c>
      <c r="Z81" s="6" t="e">
        <f t="shared" si="39"/>
        <v>#N/A</v>
      </c>
      <c r="AA81" s="6" t="e">
        <f t="shared" si="39"/>
        <v>#N/A</v>
      </c>
      <c r="AB81" s="6" t="e">
        <f t="shared" si="39"/>
        <v>#N/A</v>
      </c>
      <c r="AC81" s="6" t="e">
        <f t="shared" si="39"/>
        <v>#N/A</v>
      </c>
      <c r="AG81">
        <f t="shared" si="25"/>
        <v>-3.0000000000000072E-2</v>
      </c>
      <c r="AH81">
        <f t="shared" si="26"/>
        <v>0</v>
      </c>
      <c r="AI81">
        <f t="shared" si="27"/>
        <v>-1.5916666666666668</v>
      </c>
      <c r="AJ81">
        <f t="shared" si="28"/>
        <v>0.31034482758620641</v>
      </c>
      <c r="AK81">
        <f t="shared" si="29"/>
        <v>0.48000000000000043</v>
      </c>
      <c r="AL81">
        <f t="shared" si="30"/>
        <v>-0.54000000000000059</v>
      </c>
      <c r="AM81">
        <f t="shared" si="31"/>
        <v>0</v>
      </c>
      <c r="AN81">
        <f t="shared" si="32"/>
        <v>-2.562260220623974</v>
      </c>
      <c r="AO81">
        <f t="shared" si="33"/>
        <v>-0.66989728437384954</v>
      </c>
      <c r="AQ81">
        <f t="shared" si="34"/>
        <v>7.3660960509943907</v>
      </c>
      <c r="AR81">
        <f t="shared" si="35"/>
        <v>7.0557512234081843</v>
      </c>
      <c r="AT81" t="str">
        <f t="shared" si="36"/>
        <v>45442D</v>
      </c>
    </row>
    <row r="82" spans="1:46" hidden="1" x14ac:dyDescent="0.3">
      <c r="A82" s="17">
        <v>45443</v>
      </c>
      <c r="B82" s="18" t="s">
        <v>22</v>
      </c>
      <c r="C82" s="6">
        <v>8.1999999999999993</v>
      </c>
      <c r="D82" s="6">
        <v>38.200000000000003</v>
      </c>
      <c r="E82" s="6">
        <v>26.59</v>
      </c>
      <c r="F82" s="6">
        <v>54.89</v>
      </c>
      <c r="G82" s="6">
        <v>3.54</v>
      </c>
      <c r="H82" s="6">
        <v>3.26</v>
      </c>
      <c r="I82" s="6">
        <v>154.6</v>
      </c>
      <c r="J82" s="6">
        <v>9.9225580753173439</v>
      </c>
      <c r="K82" s="6">
        <v>1.2153781583550511E-2</v>
      </c>
      <c r="L82" s="6">
        <v>0.12059660359750229</v>
      </c>
      <c r="M82" s="6">
        <v>20.10792682246095</v>
      </c>
      <c r="N82" s="6">
        <v>2.583560187475604E-3</v>
      </c>
      <c r="O82" s="6">
        <v>5225</v>
      </c>
      <c r="P82" s="6">
        <v>81.269428716718366</v>
      </c>
      <c r="Q82" s="6">
        <v>40040.272800000013</v>
      </c>
      <c r="R82" s="6">
        <v>0</v>
      </c>
      <c r="S82" s="6">
        <v>20.12824666807488</v>
      </c>
      <c r="T82" s="6">
        <f t="shared" si="22"/>
        <v>16.455983018952701</v>
      </c>
      <c r="U82" s="6" t="e">
        <f t="shared" si="37"/>
        <v>#N/A</v>
      </c>
      <c r="V82" s="6">
        <f t="shared" si="23"/>
        <v>16.611155432745804</v>
      </c>
      <c r="W82" s="6">
        <f t="shared" si="24"/>
        <v>16.300810605159597</v>
      </c>
      <c r="X82" s="6" t="e">
        <f t="shared" si="38"/>
        <v>#N/A</v>
      </c>
      <c r="Y82" s="6" t="e">
        <f t="shared" si="39"/>
        <v>#N/A</v>
      </c>
      <c r="Z82" s="6" t="e">
        <f t="shared" si="39"/>
        <v>#N/A</v>
      </c>
      <c r="AA82" s="6" t="e">
        <f t="shared" si="39"/>
        <v>#N/A</v>
      </c>
      <c r="AB82" s="6" t="e">
        <f t="shared" si="39"/>
        <v>#N/A</v>
      </c>
      <c r="AC82" s="6" t="e">
        <f t="shared" si="39"/>
        <v>#N/A</v>
      </c>
      <c r="AG82">
        <f t="shared" si="25"/>
        <v>-9.9999999999997868E-3</v>
      </c>
      <c r="AH82">
        <f t="shared" si="26"/>
        <v>0</v>
      </c>
      <c r="AI82">
        <f t="shared" si="27"/>
        <v>-0.31666666666666587</v>
      </c>
      <c r="AJ82">
        <f t="shared" si="28"/>
        <v>0.31034482758620641</v>
      </c>
      <c r="AK82">
        <f t="shared" si="29"/>
        <v>0.80999999999999994</v>
      </c>
      <c r="AL82">
        <f t="shared" si="30"/>
        <v>-0.70000000000000062</v>
      </c>
      <c r="AM82">
        <f t="shared" si="31"/>
        <v>0</v>
      </c>
      <c r="AN82">
        <f t="shared" si="32"/>
        <v>0.79466660000000133</v>
      </c>
      <c r="AO82">
        <f t="shared" si="33"/>
        <v>-1.385116150634687</v>
      </c>
      <c r="AQ82">
        <f t="shared" si="34"/>
        <v>16.611155432745804</v>
      </c>
      <c r="AR82">
        <f t="shared" si="35"/>
        <v>16.300810605159597</v>
      </c>
      <c r="AT82" t="str">
        <f t="shared" si="36"/>
        <v>45443A</v>
      </c>
    </row>
    <row r="83" spans="1:46" hidden="1" x14ac:dyDescent="0.3">
      <c r="A83" s="17">
        <v>45443</v>
      </c>
      <c r="B83" s="18" t="s">
        <v>19</v>
      </c>
      <c r="C83" s="6">
        <v>8</v>
      </c>
      <c r="D83" s="6">
        <v>37.5</v>
      </c>
      <c r="E83" s="6">
        <v>27.6</v>
      </c>
      <c r="F83" s="6">
        <v>54.89</v>
      </c>
      <c r="G83" s="6">
        <v>3.63</v>
      </c>
      <c r="H83" s="6">
        <v>3.26</v>
      </c>
      <c r="I83" s="6">
        <v>150.83333333333329</v>
      </c>
      <c r="J83" s="6">
        <v>9.9201169896047343</v>
      </c>
      <c r="K83" s="6">
        <v>3.6511901116818581E-3</v>
      </c>
      <c r="L83" s="6">
        <v>3.6220233059172012E-2</v>
      </c>
      <c r="M83" s="6">
        <v>18.362950425447231</v>
      </c>
      <c r="N83" s="6">
        <v>2.5827315188065672E-3</v>
      </c>
      <c r="O83" s="6">
        <v>5225</v>
      </c>
      <c r="P83" s="6">
        <v>81.24239313061868</v>
      </c>
      <c r="Q83" s="6">
        <v>12263.59767901235</v>
      </c>
      <c r="R83" s="6">
        <v>0</v>
      </c>
      <c r="S83" s="6">
        <v>19.298387434592801</v>
      </c>
      <c r="T83" s="6">
        <f t="shared" si="22"/>
        <v>10.172137736574076</v>
      </c>
      <c r="U83" s="6" t="e">
        <f t="shared" si="37"/>
        <v>#N/A</v>
      </c>
      <c r="V83" s="6">
        <f t="shared" si="23"/>
        <v>10.327310150367179</v>
      </c>
      <c r="W83" s="6">
        <f t="shared" si="24"/>
        <v>10.016965322780973</v>
      </c>
      <c r="X83" s="6" t="e">
        <f t="shared" si="38"/>
        <v>#N/A</v>
      </c>
      <c r="Y83" s="6" t="e">
        <f t="shared" si="39"/>
        <v>#N/A</v>
      </c>
      <c r="Z83" s="6" t="e">
        <f t="shared" si="39"/>
        <v>#N/A</v>
      </c>
      <c r="AA83" s="6" t="e">
        <f t="shared" si="39"/>
        <v>#N/A</v>
      </c>
      <c r="AB83" s="6" t="e">
        <f t="shared" si="39"/>
        <v>#N/A</v>
      </c>
      <c r="AC83" s="6" t="e">
        <f t="shared" si="39"/>
        <v>#N/A</v>
      </c>
      <c r="AG83">
        <f t="shared" si="25"/>
        <v>3.0000000000000072E-2</v>
      </c>
      <c r="AH83">
        <f t="shared" si="26"/>
        <v>0</v>
      </c>
      <c r="AI83">
        <f t="shared" si="27"/>
        <v>-1.1583333333333339</v>
      </c>
      <c r="AJ83">
        <f t="shared" si="28"/>
        <v>0.31034482758620641</v>
      </c>
      <c r="AK83">
        <f t="shared" si="29"/>
        <v>0.54000000000000048</v>
      </c>
      <c r="AL83">
        <f t="shared" si="30"/>
        <v>-0.70000000000000062</v>
      </c>
      <c r="AM83">
        <f t="shared" si="31"/>
        <v>0</v>
      </c>
      <c r="AN83">
        <f t="shared" si="32"/>
        <v>-2.6774177901234566</v>
      </c>
      <c r="AO83">
        <f t="shared" si="33"/>
        <v>-1.3802339792094678</v>
      </c>
      <c r="AQ83">
        <f t="shared" si="34"/>
        <v>10.327310150367179</v>
      </c>
      <c r="AR83">
        <f t="shared" si="35"/>
        <v>10.016965322780973</v>
      </c>
      <c r="AT83" t="str">
        <f t="shared" si="36"/>
        <v>45443B</v>
      </c>
    </row>
    <row r="84" spans="1:46" hidden="1" x14ac:dyDescent="0.3">
      <c r="A84" s="17">
        <v>45443</v>
      </c>
      <c r="B84" s="18" t="s">
        <v>20</v>
      </c>
      <c r="C84" s="6">
        <v>8.0333333333333332</v>
      </c>
      <c r="D84" s="6">
        <v>38.299999999999997</v>
      </c>
      <c r="E84" s="6">
        <v>26.644444444444449</v>
      </c>
      <c r="F84" s="6">
        <v>54.89</v>
      </c>
      <c r="G84" s="6">
        <v>3.63</v>
      </c>
      <c r="H84" s="6">
        <v>3.2777777777777781</v>
      </c>
      <c r="I84" s="6">
        <v>151.69999999999999</v>
      </c>
      <c r="J84" s="6">
        <v>9.4463121958854686</v>
      </c>
      <c r="K84" s="6">
        <v>2.7395573880024259E-3</v>
      </c>
      <c r="L84" s="6">
        <v>2.5878714365615459E-2</v>
      </c>
      <c r="M84" s="6">
        <v>18.468745813348029</v>
      </c>
      <c r="N84" s="6">
        <v>2.5828097235788341E-3</v>
      </c>
      <c r="O84" s="6">
        <v>5225</v>
      </c>
      <c r="P84" s="6">
        <v>81.244031699784514</v>
      </c>
      <c r="Q84" s="6">
        <v>12943.887199999999</v>
      </c>
      <c r="R84" s="6">
        <v>0</v>
      </c>
      <c r="S84" s="6">
        <v>19.19362278144391</v>
      </c>
      <c r="T84" s="6">
        <f t="shared" si="22"/>
        <v>12.189097420555381</v>
      </c>
      <c r="U84" s="6" t="e">
        <f t="shared" si="37"/>
        <v>#N/A</v>
      </c>
      <c r="V84" s="6">
        <f t="shared" si="23"/>
        <v>12.344269834348484</v>
      </c>
      <c r="W84" s="6">
        <f t="shared" si="24"/>
        <v>12.033925006762278</v>
      </c>
      <c r="X84" s="6" t="e">
        <f t="shared" si="38"/>
        <v>#N/A</v>
      </c>
      <c r="Y84" s="6" t="e">
        <f t="shared" si="39"/>
        <v>#N/A</v>
      </c>
      <c r="Z84" s="6" t="e">
        <f t="shared" si="39"/>
        <v>#N/A</v>
      </c>
      <c r="AA84" s="6" t="e">
        <f t="shared" si="39"/>
        <v>#N/A</v>
      </c>
      <c r="AB84" s="6" t="e">
        <f t="shared" si="39"/>
        <v>#N/A</v>
      </c>
      <c r="AC84" s="6" t="e">
        <f t="shared" si="39"/>
        <v>#N/A</v>
      </c>
      <c r="AG84">
        <f t="shared" si="25"/>
        <v>2.3333333333333428E-2</v>
      </c>
      <c r="AH84">
        <f t="shared" si="26"/>
        <v>0</v>
      </c>
      <c r="AI84">
        <f t="shared" si="27"/>
        <v>-0.36203703703704038</v>
      </c>
      <c r="AJ84">
        <f t="shared" si="28"/>
        <v>0.31034482758620641</v>
      </c>
      <c r="AK84">
        <f t="shared" si="29"/>
        <v>0.54000000000000048</v>
      </c>
      <c r="AL84">
        <f t="shared" si="30"/>
        <v>-0.61111111111110894</v>
      </c>
      <c r="AM84">
        <f t="shared" si="31"/>
        <v>0</v>
      </c>
      <c r="AN84">
        <f t="shared" si="32"/>
        <v>-2.5923816000000004</v>
      </c>
      <c r="AO84">
        <f t="shared" si="33"/>
        <v>-0.43262439177093626</v>
      </c>
      <c r="AQ84">
        <f t="shared" si="34"/>
        <v>12.344269834348484</v>
      </c>
      <c r="AR84">
        <f t="shared" si="35"/>
        <v>12.033925006762278</v>
      </c>
      <c r="AT84" t="str">
        <f t="shared" si="36"/>
        <v>45443C</v>
      </c>
    </row>
    <row r="85" spans="1:46" hidden="1" x14ac:dyDescent="0.3">
      <c r="A85" s="17">
        <v>45443</v>
      </c>
      <c r="B85" s="18" t="s">
        <v>21</v>
      </c>
      <c r="C85" s="6">
        <v>8.2000000000000011</v>
      </c>
      <c r="D85" s="6">
        <v>38.200000000000003</v>
      </c>
      <c r="E85" s="6">
        <v>27.3</v>
      </c>
      <c r="F85" s="6">
        <v>54.89</v>
      </c>
      <c r="G85" s="6">
        <v>3.63</v>
      </c>
      <c r="H85" s="6">
        <v>3.2577777777777781</v>
      </c>
      <c r="I85" s="6">
        <v>151.19999999999999</v>
      </c>
      <c r="J85" s="6">
        <v>9.2920110831870097</v>
      </c>
      <c r="K85" s="6">
        <v>3.4931060538342272E-3</v>
      </c>
      <c r="L85" s="6">
        <v>3.2457980166975278E-2</v>
      </c>
      <c r="M85" s="6">
        <v>17.062607244865649</v>
      </c>
      <c r="N85" s="6">
        <v>2.5821254860478168E-3</v>
      </c>
      <c r="O85" s="6">
        <v>5225</v>
      </c>
      <c r="P85" s="6">
        <v>81.222245506441638</v>
      </c>
      <c r="Q85" s="6">
        <v>16428.498416991151</v>
      </c>
      <c r="R85" s="6">
        <v>0</v>
      </c>
      <c r="S85" s="6">
        <v>17.908526772431049</v>
      </c>
      <c r="T85" s="6">
        <f t="shared" si="22"/>
        <v>10.847507849964185</v>
      </c>
      <c r="U85" s="6" t="e">
        <f t="shared" si="37"/>
        <v>#N/A</v>
      </c>
      <c r="V85" s="6">
        <f t="shared" si="23"/>
        <v>11.002680263757288</v>
      </c>
      <c r="W85" s="6">
        <f t="shared" si="24"/>
        <v>10.692335436171081</v>
      </c>
      <c r="X85" s="6" t="e">
        <f t="shared" si="38"/>
        <v>#N/A</v>
      </c>
      <c r="Y85" s="6" t="e">
        <f t="shared" si="39"/>
        <v>#N/A</v>
      </c>
      <c r="Z85" s="6" t="e">
        <f t="shared" si="39"/>
        <v>#N/A</v>
      </c>
      <c r="AA85" s="6" t="e">
        <f t="shared" si="39"/>
        <v>#N/A</v>
      </c>
      <c r="AB85" s="6" t="e">
        <f t="shared" si="39"/>
        <v>#N/A</v>
      </c>
      <c r="AC85" s="6" t="e">
        <f t="shared" si="39"/>
        <v>#N/A</v>
      </c>
      <c r="AG85">
        <f t="shared" si="25"/>
        <v>-1.0000000000000142E-2</v>
      </c>
      <c r="AH85">
        <f t="shared" si="26"/>
        <v>0</v>
      </c>
      <c r="AI85">
        <f t="shared" si="27"/>
        <v>-0.90833333333333321</v>
      </c>
      <c r="AJ85">
        <f t="shared" si="28"/>
        <v>0.31034482758620641</v>
      </c>
      <c r="AK85">
        <f t="shared" si="29"/>
        <v>0.54000000000000048</v>
      </c>
      <c r="AL85">
        <f t="shared" si="30"/>
        <v>-0.71111111111110903</v>
      </c>
      <c r="AM85">
        <f t="shared" si="31"/>
        <v>0</v>
      </c>
      <c r="AN85">
        <f t="shared" si="32"/>
        <v>-2.1568051978761065</v>
      </c>
      <c r="AO85">
        <f t="shared" si="33"/>
        <v>-0.12402216637401864</v>
      </c>
      <c r="AQ85">
        <f t="shared" si="34"/>
        <v>11.002680263757288</v>
      </c>
      <c r="AR85">
        <f t="shared" si="35"/>
        <v>10.692335436171081</v>
      </c>
      <c r="AT85" t="str">
        <f t="shared" si="36"/>
        <v>45443D</v>
      </c>
    </row>
    <row r="86" spans="1:46" hidden="1" x14ac:dyDescent="0.3">
      <c r="A86" s="17">
        <v>45446</v>
      </c>
      <c r="B86" s="18" t="s">
        <v>19</v>
      </c>
      <c r="C86" s="6">
        <v>8.1333333333333329</v>
      </c>
      <c r="D86" s="6">
        <v>37.714285714285722</v>
      </c>
      <c r="E86" s="6">
        <v>27.733333333333331</v>
      </c>
      <c r="F86" s="6">
        <v>54.89</v>
      </c>
      <c r="G86" s="6">
        <v>3.63</v>
      </c>
      <c r="H86" s="6">
        <v>3.34</v>
      </c>
      <c r="I86" s="6">
        <v>145.6</v>
      </c>
      <c r="J86" s="6">
        <v>9.361664932116458</v>
      </c>
      <c r="K86" s="6">
        <v>5.3295301266052017E-4</v>
      </c>
      <c r="L86" s="6">
        <v>4.9893275290898102E-3</v>
      </c>
      <c r="M86" s="6">
        <v>13.741267035540661</v>
      </c>
      <c r="N86" s="6">
        <v>2.580596513026345E-3</v>
      </c>
      <c r="O86" s="6">
        <v>5225</v>
      </c>
      <c r="P86" s="6">
        <v>81.170783203626996</v>
      </c>
      <c r="Q86" s="6">
        <v>1179.268</v>
      </c>
      <c r="R86" s="6">
        <v>6853.835</v>
      </c>
      <c r="S86" s="6">
        <v>15.94315026962092</v>
      </c>
      <c r="T86" s="6">
        <f t="shared" si="22"/>
        <v>6.4007688489897419</v>
      </c>
      <c r="U86" s="6" t="e">
        <f t="shared" si="37"/>
        <v>#N/A</v>
      </c>
      <c r="V86" s="6">
        <f t="shared" si="23"/>
        <v>6.5559412627828451</v>
      </c>
      <c r="W86" s="6">
        <f t="shared" si="24"/>
        <v>6.2455964351966387</v>
      </c>
      <c r="X86" s="6" t="e">
        <f t="shared" si="38"/>
        <v>#N/A</v>
      </c>
      <c r="Y86" s="6" t="e">
        <f t="shared" si="39"/>
        <v>#N/A</v>
      </c>
      <c r="Z86" s="6" t="e">
        <f t="shared" si="39"/>
        <v>#N/A</v>
      </c>
      <c r="AA86" s="6" t="e">
        <f t="shared" si="39"/>
        <v>#N/A</v>
      </c>
      <c r="AB86" s="6" t="e">
        <f t="shared" si="39"/>
        <v>#N/A</v>
      </c>
      <c r="AC86" s="6" t="e">
        <f t="shared" si="39"/>
        <v>#N/A</v>
      </c>
      <c r="AG86">
        <f t="shared" si="25"/>
        <v>3.3333333333334992E-3</v>
      </c>
      <c r="AH86">
        <f t="shared" si="26"/>
        <v>0</v>
      </c>
      <c r="AI86">
        <f t="shared" si="27"/>
        <v>-1.2694444444444417</v>
      </c>
      <c r="AJ86">
        <f t="shared" si="28"/>
        <v>0.31034482758620641</v>
      </c>
      <c r="AK86">
        <f t="shared" si="29"/>
        <v>0.54000000000000048</v>
      </c>
      <c r="AL86">
        <f t="shared" si="30"/>
        <v>-0.30000000000000027</v>
      </c>
      <c r="AM86">
        <f t="shared" si="31"/>
        <v>0</v>
      </c>
      <c r="AN86">
        <f t="shared" si="32"/>
        <v>-4.0629590000000002</v>
      </c>
      <c r="AO86">
        <f t="shared" si="33"/>
        <v>-0.26332986423291516</v>
      </c>
      <c r="AQ86">
        <f t="shared" si="34"/>
        <v>6.5559412627828451</v>
      </c>
      <c r="AR86">
        <f t="shared" si="35"/>
        <v>6.2455964351966387</v>
      </c>
      <c r="AT86" t="str">
        <f t="shared" si="36"/>
        <v>45446B</v>
      </c>
    </row>
    <row r="87" spans="1:46" hidden="1" x14ac:dyDescent="0.3">
      <c r="A87" s="17">
        <v>45446</v>
      </c>
      <c r="B87" s="18" t="s">
        <v>20</v>
      </c>
      <c r="C87" s="6">
        <v>8.1333333333333329</v>
      </c>
      <c r="D87" s="6">
        <v>37.714285714285722</v>
      </c>
      <c r="E87" s="6">
        <v>27.733333333333331</v>
      </c>
      <c r="F87" s="6">
        <v>54.89</v>
      </c>
      <c r="G87" s="6">
        <v>3.63</v>
      </c>
      <c r="H87" s="6">
        <v>3.34</v>
      </c>
      <c r="I87" s="6">
        <v>145.6</v>
      </c>
      <c r="J87" s="6">
        <v>9.3477659929492276</v>
      </c>
      <c r="K87" s="6">
        <v>5.3374544600850386E-4</v>
      </c>
      <c r="L87" s="6">
        <v>4.9893275290898102E-3</v>
      </c>
      <c r="M87" s="6">
        <v>13.74999738355592</v>
      </c>
      <c r="N87" s="6">
        <v>2.5805576315518831E-3</v>
      </c>
      <c r="O87" s="6">
        <v>5225</v>
      </c>
      <c r="P87" s="6">
        <v>81.170917997776229</v>
      </c>
      <c r="Q87" s="6">
        <v>1179.268</v>
      </c>
      <c r="R87" s="6">
        <v>6853.835</v>
      </c>
      <c r="S87" s="6">
        <v>15.952476972296621</v>
      </c>
      <c r="T87" s="6">
        <f t="shared" si="22"/>
        <v>6.4372970753394618</v>
      </c>
      <c r="U87" s="6" t="e">
        <f t="shared" si="37"/>
        <v>#N/A</v>
      </c>
      <c r="V87" s="6">
        <f t="shared" si="23"/>
        <v>6.592469489132565</v>
      </c>
      <c r="W87" s="6">
        <f t="shared" si="24"/>
        <v>6.2821246615463586</v>
      </c>
      <c r="X87" s="6" t="e">
        <f t="shared" si="38"/>
        <v>#N/A</v>
      </c>
      <c r="Y87" s="6" t="e">
        <f t="shared" ref="Y87:AC96" si="40">VLOOKUP($AT87,hhh,3,0)</f>
        <v>#N/A</v>
      </c>
      <c r="Z87" s="6" t="e">
        <f t="shared" si="40"/>
        <v>#N/A</v>
      </c>
      <c r="AA87" s="6" t="e">
        <f t="shared" si="40"/>
        <v>#N/A</v>
      </c>
      <c r="AB87" s="6" t="e">
        <f t="shared" si="40"/>
        <v>#N/A</v>
      </c>
      <c r="AC87" s="6" t="e">
        <f t="shared" si="40"/>
        <v>#N/A</v>
      </c>
      <c r="AG87">
        <f t="shared" si="25"/>
        <v>3.3333333333334992E-3</v>
      </c>
      <c r="AH87">
        <f t="shared" si="26"/>
        <v>0</v>
      </c>
      <c r="AI87">
        <f t="shared" si="27"/>
        <v>-1.2694444444444417</v>
      </c>
      <c r="AJ87">
        <f t="shared" si="28"/>
        <v>0.31034482758620641</v>
      </c>
      <c r="AK87">
        <f t="shared" si="29"/>
        <v>0.54000000000000048</v>
      </c>
      <c r="AL87">
        <f t="shared" si="30"/>
        <v>-0.30000000000000027</v>
      </c>
      <c r="AM87">
        <f t="shared" si="31"/>
        <v>0</v>
      </c>
      <c r="AN87">
        <f t="shared" si="32"/>
        <v>-4.0629590000000002</v>
      </c>
      <c r="AO87">
        <f t="shared" si="33"/>
        <v>-0.23553198589845437</v>
      </c>
      <c r="AQ87">
        <f t="shared" si="34"/>
        <v>6.592469489132565</v>
      </c>
      <c r="AR87">
        <f t="shared" si="35"/>
        <v>6.2821246615463586</v>
      </c>
      <c r="AT87" t="str">
        <f t="shared" si="36"/>
        <v>45446C</v>
      </c>
    </row>
    <row r="88" spans="1:46" hidden="1" x14ac:dyDescent="0.3">
      <c r="A88" s="17">
        <v>45446</v>
      </c>
      <c r="B88" s="18" t="s">
        <v>21</v>
      </c>
      <c r="C88" s="6">
        <v>8.1</v>
      </c>
      <c r="D88" s="6">
        <v>37.4</v>
      </c>
      <c r="E88" s="6">
        <v>27.85</v>
      </c>
      <c r="F88" s="6">
        <v>54.89</v>
      </c>
      <c r="G88" s="6">
        <v>3.63</v>
      </c>
      <c r="H88" s="6">
        <v>3.3</v>
      </c>
      <c r="I88" s="6">
        <v>146</v>
      </c>
      <c r="J88" s="6">
        <v>8.3174389645858238</v>
      </c>
      <c r="K88" s="6">
        <v>9.1107625683872718E-4</v>
      </c>
      <c r="L88" s="6">
        <v>7.5778211583394303E-3</v>
      </c>
      <c r="M88" s="6">
        <v>15.54265303506379</v>
      </c>
      <c r="N88" s="6">
        <v>2.5814631911262112E-3</v>
      </c>
      <c r="O88" s="6">
        <v>5225</v>
      </c>
      <c r="P88" s="6">
        <v>81.198696894817687</v>
      </c>
      <c r="Q88" s="6">
        <v>1143.9136000000001</v>
      </c>
      <c r="R88" s="6">
        <v>4373.88</v>
      </c>
      <c r="S88" s="6">
        <v>17.65056819910177</v>
      </c>
      <c r="T88" s="6">
        <f t="shared" si="22"/>
        <v>9.6856375530185783</v>
      </c>
      <c r="U88" s="6" t="e">
        <f t="shared" si="37"/>
        <v>#N/A</v>
      </c>
      <c r="V88" s="6">
        <f t="shared" si="23"/>
        <v>9.8408099668116815</v>
      </c>
      <c r="W88" s="6">
        <f t="shared" si="24"/>
        <v>9.5304651392254751</v>
      </c>
      <c r="X88" s="6" t="e">
        <f t="shared" si="38"/>
        <v>#N/A</v>
      </c>
      <c r="Y88" s="6" t="e">
        <f t="shared" si="40"/>
        <v>#N/A</v>
      </c>
      <c r="Z88" s="6" t="e">
        <f t="shared" si="40"/>
        <v>#N/A</v>
      </c>
      <c r="AA88" s="6" t="e">
        <f t="shared" si="40"/>
        <v>#N/A</v>
      </c>
      <c r="AB88" s="6" t="e">
        <f t="shared" si="40"/>
        <v>#N/A</v>
      </c>
      <c r="AC88" s="6" t="e">
        <f t="shared" si="40"/>
        <v>#N/A</v>
      </c>
      <c r="AG88">
        <f t="shared" si="25"/>
        <v>1.0000000000000142E-2</v>
      </c>
      <c r="AH88">
        <f t="shared" si="26"/>
        <v>0</v>
      </c>
      <c r="AI88">
        <f t="shared" si="27"/>
        <v>-1.3666666666666671</v>
      </c>
      <c r="AJ88">
        <f t="shared" si="28"/>
        <v>0.31034482758620641</v>
      </c>
      <c r="AK88">
        <f t="shared" si="29"/>
        <v>0.54000000000000048</v>
      </c>
      <c r="AL88">
        <f t="shared" si="30"/>
        <v>-0.50000000000000044</v>
      </c>
      <c r="AM88">
        <f t="shared" si="31"/>
        <v>0</v>
      </c>
      <c r="AN88">
        <f t="shared" si="32"/>
        <v>-4.0673783000000006</v>
      </c>
      <c r="AO88">
        <f t="shared" si="33"/>
        <v>1.8251220708283533</v>
      </c>
      <c r="AQ88">
        <f t="shared" si="34"/>
        <v>9.8408099668116815</v>
      </c>
      <c r="AR88">
        <f t="shared" si="35"/>
        <v>9.5304651392254751</v>
      </c>
      <c r="AT88" t="str">
        <f t="shared" si="36"/>
        <v>45446D</v>
      </c>
    </row>
    <row r="89" spans="1:46" hidden="1" x14ac:dyDescent="0.3">
      <c r="A89" s="17">
        <v>45447</v>
      </c>
      <c r="B89" s="18" t="s">
        <v>19</v>
      </c>
      <c r="C89" s="6">
        <v>8.1359999999999992</v>
      </c>
      <c r="D89" s="6">
        <v>38.428571428571431</v>
      </c>
      <c r="E89" s="6">
        <v>27.26285714285714</v>
      </c>
      <c r="F89" s="6">
        <v>55.32</v>
      </c>
      <c r="G89" s="6">
        <v>3.49</v>
      </c>
      <c r="H89" s="6">
        <v>3.28</v>
      </c>
      <c r="I89" s="6">
        <v>149.42857142857139</v>
      </c>
      <c r="J89" s="6">
        <v>7.9221555380581252</v>
      </c>
      <c r="K89" s="6">
        <v>6.2216791516933184E-3</v>
      </c>
      <c r="L89" s="6">
        <v>4.9289109947607997E-2</v>
      </c>
      <c r="M89" s="6">
        <v>20.65779405905478</v>
      </c>
      <c r="N89" s="6">
        <v>2.5838226886171038E-3</v>
      </c>
      <c r="O89" s="6">
        <v>5225</v>
      </c>
      <c r="P89" s="6">
        <v>81.277948221364412</v>
      </c>
      <c r="Q89" s="6">
        <v>20273.458288000002</v>
      </c>
      <c r="R89" s="6">
        <v>11196.44132</v>
      </c>
      <c r="S89" s="6">
        <v>20.510382022542871</v>
      </c>
      <c r="T89" s="6">
        <f t="shared" si="22"/>
        <v>19.266754740178268</v>
      </c>
      <c r="U89" s="6" t="e">
        <f t="shared" si="37"/>
        <v>#N/A</v>
      </c>
      <c r="V89" s="6">
        <f t="shared" si="23"/>
        <v>19.051237498798958</v>
      </c>
      <c r="W89" s="6">
        <f t="shared" si="24"/>
        <v>19.482271981557577</v>
      </c>
      <c r="X89" s="6" t="e">
        <f t="shared" si="38"/>
        <v>#N/A</v>
      </c>
      <c r="Y89" s="6" t="e">
        <f t="shared" si="40"/>
        <v>#N/A</v>
      </c>
      <c r="Z89" s="6" t="e">
        <f t="shared" si="40"/>
        <v>#N/A</v>
      </c>
      <c r="AA89" s="6" t="e">
        <f t="shared" si="40"/>
        <v>#N/A</v>
      </c>
      <c r="AB89" s="6" t="e">
        <f t="shared" si="40"/>
        <v>#N/A</v>
      </c>
      <c r="AC89" s="6" t="e">
        <f t="shared" si="40"/>
        <v>#N/A</v>
      </c>
      <c r="AG89">
        <f t="shared" si="25"/>
        <v>2.8000000000002246E-3</v>
      </c>
      <c r="AH89">
        <f t="shared" si="26"/>
        <v>0</v>
      </c>
      <c r="AI89">
        <f t="shared" si="27"/>
        <v>-0.87738095238094915</v>
      </c>
      <c r="AJ89">
        <f t="shared" si="28"/>
        <v>-0.43103448275862072</v>
      </c>
      <c r="AK89">
        <f t="shared" si="29"/>
        <v>0.95999999999999941</v>
      </c>
      <c r="AL89">
        <f t="shared" si="30"/>
        <v>-0.60000000000000053</v>
      </c>
      <c r="AM89">
        <f t="shared" si="31"/>
        <v>0</v>
      </c>
      <c r="AN89">
        <f t="shared" si="32"/>
        <v>-1.676185214</v>
      </c>
      <c r="AO89">
        <f t="shared" si="33"/>
        <v>2.6156889238837504</v>
      </c>
      <c r="AQ89">
        <f t="shared" si="34"/>
        <v>19.051237498798958</v>
      </c>
      <c r="AR89">
        <f t="shared" si="35"/>
        <v>19.482271981557577</v>
      </c>
      <c r="AT89" t="str">
        <f t="shared" si="36"/>
        <v>45447B</v>
      </c>
    </row>
    <row r="90" spans="1:46" hidden="1" x14ac:dyDescent="0.3">
      <c r="A90" s="17">
        <v>45447</v>
      </c>
      <c r="B90" s="18" t="s">
        <v>20</v>
      </c>
      <c r="C90" s="6">
        <v>8.0971428571428579</v>
      </c>
      <c r="D90" s="6">
        <v>38.272727272727273</v>
      </c>
      <c r="E90" s="6">
        <v>27.56727272727273</v>
      </c>
      <c r="F90" s="6">
        <v>55.32</v>
      </c>
      <c r="G90" s="6">
        <v>3.49</v>
      </c>
      <c r="H90" s="6">
        <v>3.2581818181818178</v>
      </c>
      <c r="I90" s="6">
        <v>147.6363636363636</v>
      </c>
      <c r="J90" s="6">
        <v>8.0860360053137992</v>
      </c>
      <c r="K90" s="6">
        <v>1.2467275037098449E-2</v>
      </c>
      <c r="L90" s="6">
        <v>0.100810834838128</v>
      </c>
      <c r="M90" s="6">
        <v>22.384818520329031</v>
      </c>
      <c r="N90" s="6">
        <v>2.58465179691345E-3</v>
      </c>
      <c r="O90" s="6">
        <v>5225</v>
      </c>
      <c r="P90" s="6">
        <v>81.304707320952716</v>
      </c>
      <c r="Q90" s="6">
        <v>60649.061600000008</v>
      </c>
      <c r="R90" s="6">
        <v>14211.076999999999</v>
      </c>
      <c r="S90" s="6">
        <v>22.673335805501321</v>
      </c>
      <c r="T90" s="6">
        <f t="shared" si="22"/>
        <v>25.73479900674203</v>
      </c>
      <c r="U90" s="6" t="e">
        <f t="shared" si="37"/>
        <v>#N/A</v>
      </c>
      <c r="V90" s="6">
        <f t="shared" si="23"/>
        <v>25.51928176536272</v>
      </c>
      <c r="W90" s="6">
        <f t="shared" si="24"/>
        <v>25.950316248121339</v>
      </c>
      <c r="X90" s="6" t="e">
        <f t="shared" si="38"/>
        <v>#N/A</v>
      </c>
      <c r="Y90" s="6" t="e">
        <f t="shared" si="40"/>
        <v>#N/A</v>
      </c>
      <c r="Z90" s="6" t="e">
        <f t="shared" si="40"/>
        <v>#N/A</v>
      </c>
      <c r="AA90" s="6" t="e">
        <f t="shared" si="40"/>
        <v>#N/A</v>
      </c>
      <c r="AB90" s="6" t="e">
        <f t="shared" si="40"/>
        <v>#N/A</v>
      </c>
      <c r="AC90" s="6" t="e">
        <f t="shared" si="40"/>
        <v>#N/A</v>
      </c>
      <c r="AG90">
        <f t="shared" si="25"/>
        <v>1.0571428571428499E-2</v>
      </c>
      <c r="AH90">
        <f t="shared" si="26"/>
        <v>0</v>
      </c>
      <c r="AI90">
        <f t="shared" si="27"/>
        <v>-1.1310606060606077</v>
      </c>
      <c r="AJ90">
        <f t="shared" si="28"/>
        <v>-0.43103448275862072</v>
      </c>
      <c r="AK90">
        <f t="shared" si="29"/>
        <v>0.95999999999999941</v>
      </c>
      <c r="AL90">
        <f t="shared" si="30"/>
        <v>-0.70909090909091033</v>
      </c>
      <c r="AM90">
        <f t="shared" si="31"/>
        <v>0</v>
      </c>
      <c r="AN90">
        <f t="shared" si="32"/>
        <v>3.3707652000000006</v>
      </c>
      <c r="AO90">
        <f t="shared" si="33"/>
        <v>2.2879279893724025</v>
      </c>
      <c r="AQ90">
        <f t="shared" si="34"/>
        <v>25.51928176536272</v>
      </c>
      <c r="AR90">
        <f t="shared" si="35"/>
        <v>25.950316248121339</v>
      </c>
      <c r="AT90" t="str">
        <f t="shared" si="36"/>
        <v>45447C</v>
      </c>
    </row>
    <row r="91" spans="1:46" hidden="1" x14ac:dyDescent="0.3">
      <c r="A91" s="17">
        <v>45447</v>
      </c>
      <c r="B91" s="18" t="s">
        <v>21</v>
      </c>
      <c r="C91" s="6">
        <v>8.0114285714285707</v>
      </c>
      <c r="D91" s="6">
        <v>37.9</v>
      </c>
      <c r="E91" s="6">
        <v>27.74</v>
      </c>
      <c r="F91" s="6">
        <v>55.32</v>
      </c>
      <c r="G91" s="6">
        <v>3.49</v>
      </c>
      <c r="H91" s="6">
        <v>3.21</v>
      </c>
      <c r="I91" s="6">
        <v>145.6</v>
      </c>
      <c r="J91" s="6">
        <v>8.1750883964543899</v>
      </c>
      <c r="K91" s="6">
        <v>1.103835189156778E-2</v>
      </c>
      <c r="L91" s="6">
        <v>9.0239502464736152E-2</v>
      </c>
      <c r="M91" s="6">
        <v>23.144538924025682</v>
      </c>
      <c r="N91" s="6">
        <v>2.585018785973163E-3</v>
      </c>
      <c r="O91" s="6">
        <v>5225</v>
      </c>
      <c r="P91" s="6">
        <v>81.316478661048393</v>
      </c>
      <c r="Q91" s="6">
        <v>67022.991999999998</v>
      </c>
      <c r="R91" s="6">
        <v>10270.26156521739</v>
      </c>
      <c r="S91" s="6">
        <v>23.928798220132592</v>
      </c>
      <c r="T91" s="6">
        <f t="shared" si="22"/>
        <v>26.252848371104054</v>
      </c>
      <c r="U91" s="6" t="e">
        <f t="shared" si="37"/>
        <v>#N/A</v>
      </c>
      <c r="V91" s="6">
        <f t="shared" si="23"/>
        <v>26.037331129724745</v>
      </c>
      <c r="W91" s="6">
        <f t="shared" si="24"/>
        <v>26.468365612483364</v>
      </c>
      <c r="X91" s="6" t="e">
        <f t="shared" si="38"/>
        <v>#N/A</v>
      </c>
      <c r="Y91" s="6" t="e">
        <f t="shared" si="40"/>
        <v>#N/A</v>
      </c>
      <c r="Z91" s="6" t="e">
        <f t="shared" si="40"/>
        <v>#N/A</v>
      </c>
      <c r="AA91" s="6" t="e">
        <f t="shared" si="40"/>
        <v>#N/A</v>
      </c>
      <c r="AB91" s="6" t="e">
        <f t="shared" si="40"/>
        <v>#N/A</v>
      </c>
      <c r="AC91" s="6" t="e">
        <f t="shared" si="40"/>
        <v>#N/A</v>
      </c>
      <c r="AG91">
        <f t="shared" si="25"/>
        <v>2.7714285714285938E-2</v>
      </c>
      <c r="AH91">
        <f t="shared" si="26"/>
        <v>0</v>
      </c>
      <c r="AI91">
        <f t="shared" si="27"/>
        <v>-1.2749999999999981</v>
      </c>
      <c r="AJ91">
        <f t="shared" si="28"/>
        <v>-0.43103448275862072</v>
      </c>
      <c r="AK91">
        <f t="shared" si="29"/>
        <v>0.95999999999999941</v>
      </c>
      <c r="AL91">
        <f t="shared" si="30"/>
        <v>-0.94999999999999973</v>
      </c>
      <c r="AM91">
        <f t="shared" si="31"/>
        <v>0</v>
      </c>
      <c r="AN91">
        <f t="shared" si="32"/>
        <v>4.1675064999999991</v>
      </c>
      <c r="AO91">
        <f t="shared" si="33"/>
        <v>2.1098232070912211</v>
      </c>
      <c r="AQ91">
        <f t="shared" si="34"/>
        <v>26.037331129724745</v>
      </c>
      <c r="AR91">
        <f t="shared" si="35"/>
        <v>26.468365612483364</v>
      </c>
      <c r="AT91" t="str">
        <f t="shared" si="36"/>
        <v>45447D</v>
      </c>
    </row>
    <row r="92" spans="1:46" hidden="1" x14ac:dyDescent="0.3">
      <c r="A92" s="17">
        <v>45448</v>
      </c>
      <c r="B92" s="18" t="s">
        <v>22</v>
      </c>
      <c r="C92" s="6">
        <v>8.125</v>
      </c>
      <c r="D92" s="6">
        <v>39.571428571428569</v>
      </c>
      <c r="E92" s="6">
        <v>26.65285714285714</v>
      </c>
      <c r="F92" s="6">
        <v>55.32</v>
      </c>
      <c r="G92" s="6">
        <v>3.31</v>
      </c>
      <c r="H92" s="6">
        <v>3.294285714285714</v>
      </c>
      <c r="I92" s="6">
        <v>148</v>
      </c>
      <c r="J92" s="6">
        <v>8.8557481658854211</v>
      </c>
      <c r="K92" s="6">
        <v>6.7389506065328141E-3</v>
      </c>
      <c r="L92" s="6">
        <v>5.9678449473795407E-2</v>
      </c>
      <c r="M92" s="6">
        <v>21.356334974241449</v>
      </c>
      <c r="N92" s="6">
        <v>2.5854637050240722E-3</v>
      </c>
      <c r="O92" s="6">
        <v>5225</v>
      </c>
      <c r="P92" s="6">
        <v>81.288771624648845</v>
      </c>
      <c r="Q92" s="6">
        <v>30509.303199999998</v>
      </c>
      <c r="R92" s="6">
        <v>0</v>
      </c>
      <c r="S92" s="6">
        <v>21.556301740559281</v>
      </c>
      <c r="T92" s="6">
        <f t="shared" si="22"/>
        <v>19.099997753472252</v>
      </c>
      <c r="U92" s="6" t="e">
        <f t="shared" si="37"/>
        <v>#N/A</v>
      </c>
      <c r="V92" s="6">
        <f t="shared" si="23"/>
        <v>18.884480512092942</v>
      </c>
      <c r="W92" s="6">
        <f t="shared" si="24"/>
        <v>19.315514994851561</v>
      </c>
      <c r="X92" s="6" t="e">
        <f t="shared" si="38"/>
        <v>#N/A</v>
      </c>
      <c r="Y92" s="6" t="e">
        <f t="shared" si="40"/>
        <v>#N/A</v>
      </c>
      <c r="Z92" s="6" t="e">
        <f t="shared" si="40"/>
        <v>#N/A</v>
      </c>
      <c r="AA92" s="6" t="e">
        <f t="shared" si="40"/>
        <v>#N/A</v>
      </c>
      <c r="AB92" s="6" t="e">
        <f t="shared" si="40"/>
        <v>#N/A</v>
      </c>
      <c r="AC92" s="6" t="e">
        <f t="shared" si="40"/>
        <v>#N/A</v>
      </c>
      <c r="AG92">
        <f t="shared" si="25"/>
        <v>5.0000000000000712E-3</v>
      </c>
      <c r="AH92">
        <f t="shared" si="26"/>
        <v>0</v>
      </c>
      <c r="AI92">
        <f t="shared" si="27"/>
        <v>-0.36904761904761629</v>
      </c>
      <c r="AJ92">
        <f t="shared" si="28"/>
        <v>-0.43103448275862072</v>
      </c>
      <c r="AK92">
        <f t="shared" si="29"/>
        <v>1.4999999999999998</v>
      </c>
      <c r="AL92">
        <f t="shared" si="30"/>
        <v>-0.52857142857142936</v>
      </c>
      <c r="AM92">
        <f t="shared" si="31"/>
        <v>0</v>
      </c>
      <c r="AN92">
        <f t="shared" si="32"/>
        <v>-0.39670460000000046</v>
      </c>
      <c r="AO92">
        <f t="shared" si="33"/>
        <v>0.74850366822915859</v>
      </c>
      <c r="AQ92">
        <f t="shared" si="34"/>
        <v>18.884480512092942</v>
      </c>
      <c r="AR92">
        <f t="shared" si="35"/>
        <v>19.315514994851561</v>
      </c>
      <c r="AT92" t="str">
        <f t="shared" si="36"/>
        <v>45448A</v>
      </c>
    </row>
    <row r="93" spans="1:46" hidden="1" x14ac:dyDescent="0.3">
      <c r="A93" s="17">
        <v>45448</v>
      </c>
      <c r="B93" s="18" t="s">
        <v>19</v>
      </c>
      <c r="C93" s="6">
        <v>8.2439999999999998</v>
      </c>
      <c r="D93" s="6">
        <v>38.125</v>
      </c>
      <c r="E93" s="6">
        <v>27.23875</v>
      </c>
      <c r="F93" s="6">
        <v>55.17</v>
      </c>
      <c r="G93" s="6">
        <v>3.67</v>
      </c>
      <c r="H93" s="6">
        <v>3.3824999999999998</v>
      </c>
      <c r="I93" s="6">
        <v>151.375</v>
      </c>
      <c r="J93" s="6">
        <v>9.5400421814370109</v>
      </c>
      <c r="K93" s="6">
        <v>7.6743193723314666E-3</v>
      </c>
      <c r="L93" s="6">
        <v>7.3213330525861403E-2</v>
      </c>
      <c r="M93" s="6">
        <v>15.80349834934818</v>
      </c>
      <c r="N93" s="6">
        <v>2.5819830052717478E-3</v>
      </c>
      <c r="O93" s="6">
        <v>5225</v>
      </c>
      <c r="P93" s="6">
        <v>81.202748921704057</v>
      </c>
      <c r="Q93" s="6">
        <v>30706.5088</v>
      </c>
      <c r="R93" s="6">
        <v>0</v>
      </c>
      <c r="S93" s="6">
        <v>15.68019836346804</v>
      </c>
      <c r="T93" s="6">
        <f t="shared" si="22"/>
        <v>11.181561523255766</v>
      </c>
      <c r="U93" s="6" t="e">
        <f t="shared" si="37"/>
        <v>#N/A</v>
      </c>
      <c r="V93" s="6">
        <f t="shared" si="23"/>
        <v>11.095354626704042</v>
      </c>
      <c r="W93" s="6">
        <f t="shared" si="24"/>
        <v>11.267768419807492</v>
      </c>
      <c r="X93" s="6" t="e">
        <f t="shared" si="38"/>
        <v>#N/A</v>
      </c>
      <c r="Y93" s="6" t="e">
        <f t="shared" si="40"/>
        <v>#N/A</v>
      </c>
      <c r="Z93" s="6" t="e">
        <f t="shared" si="40"/>
        <v>#N/A</v>
      </c>
      <c r="AA93" s="6" t="e">
        <f t="shared" si="40"/>
        <v>#N/A</v>
      </c>
      <c r="AB93" s="6" t="e">
        <f t="shared" si="40"/>
        <v>#N/A</v>
      </c>
      <c r="AC93" s="6" t="e">
        <f t="shared" si="40"/>
        <v>#N/A</v>
      </c>
      <c r="AG93">
        <f t="shared" si="25"/>
        <v>-1.8799999999999886E-2</v>
      </c>
      <c r="AH93">
        <f t="shared" si="26"/>
        <v>0</v>
      </c>
      <c r="AI93">
        <f t="shared" si="27"/>
        <v>-0.85729166666666567</v>
      </c>
      <c r="AJ93">
        <f t="shared" si="28"/>
        <v>-0.17241379310345073</v>
      </c>
      <c r="AK93">
        <f t="shared" si="29"/>
        <v>0.42000000000000037</v>
      </c>
      <c r="AL93">
        <f t="shared" si="30"/>
        <v>-8.7500000000000355E-2</v>
      </c>
      <c r="AM93">
        <f t="shared" si="31"/>
        <v>0</v>
      </c>
      <c r="AN93">
        <f t="shared" si="32"/>
        <v>-0.37205390000000033</v>
      </c>
      <c r="AO93">
        <f t="shared" si="33"/>
        <v>-0.62008436287402091</v>
      </c>
      <c r="AQ93">
        <f t="shared" si="34"/>
        <v>11.095354626704042</v>
      </c>
      <c r="AR93">
        <f t="shared" si="35"/>
        <v>11.267768419807492</v>
      </c>
      <c r="AT93" t="str">
        <f t="shared" si="36"/>
        <v>45448B</v>
      </c>
    </row>
    <row r="94" spans="1:46" hidden="1" x14ac:dyDescent="0.3">
      <c r="A94" s="17">
        <v>45448</v>
      </c>
      <c r="B94" s="18" t="s">
        <v>20</v>
      </c>
      <c r="C94" s="6">
        <v>8.1440000000000001</v>
      </c>
      <c r="D94" s="6">
        <v>38.222222222222221</v>
      </c>
      <c r="E94" s="6">
        <v>27.077777777777779</v>
      </c>
      <c r="F94" s="6">
        <v>55.17</v>
      </c>
      <c r="G94" s="6">
        <v>3.67</v>
      </c>
      <c r="H94" s="6">
        <v>3.3755555555555561</v>
      </c>
      <c r="I94" s="6">
        <v>153.11111111111109</v>
      </c>
      <c r="J94" s="6">
        <v>10.802317361186081</v>
      </c>
      <c r="K94" s="6">
        <v>4.0276535823163999E-3</v>
      </c>
      <c r="L94" s="6">
        <v>4.3507992217099743E-2</v>
      </c>
      <c r="M94" s="6">
        <v>15.85011220993464</v>
      </c>
      <c r="N94" s="6">
        <v>2.5814167559650861E-3</v>
      </c>
      <c r="O94" s="6">
        <v>5225</v>
      </c>
      <c r="P94" s="6">
        <v>81.2038039254914</v>
      </c>
      <c r="Q94" s="6">
        <v>16524.64</v>
      </c>
      <c r="R94" s="6">
        <v>0</v>
      </c>
      <c r="S94" s="6">
        <v>15.33023928998586</v>
      </c>
      <c r="T94" s="6">
        <f t="shared" si="22"/>
        <v>7.0503127206403864</v>
      </c>
      <c r="U94" s="6" t="e">
        <f t="shared" si="37"/>
        <v>#N/A</v>
      </c>
      <c r="V94" s="6">
        <f t="shared" si="23"/>
        <v>6.9641058240886604</v>
      </c>
      <c r="W94" s="6">
        <f t="shared" si="24"/>
        <v>7.1365196171921115</v>
      </c>
      <c r="X94" s="6" t="e">
        <f t="shared" si="38"/>
        <v>#N/A</v>
      </c>
      <c r="Y94" s="6" t="e">
        <f t="shared" si="40"/>
        <v>#N/A</v>
      </c>
      <c r="Z94" s="6" t="e">
        <f t="shared" si="40"/>
        <v>#N/A</v>
      </c>
      <c r="AA94" s="6" t="e">
        <f t="shared" si="40"/>
        <v>#N/A</v>
      </c>
      <c r="AB94" s="6" t="e">
        <f t="shared" si="40"/>
        <v>#N/A</v>
      </c>
      <c r="AC94" s="6" t="e">
        <f t="shared" si="40"/>
        <v>#N/A</v>
      </c>
      <c r="AG94">
        <f t="shared" si="25"/>
        <v>1.2000000000000456E-3</v>
      </c>
      <c r="AH94">
        <f t="shared" si="26"/>
        <v>0</v>
      </c>
      <c r="AI94">
        <f t="shared" si="27"/>
        <v>-0.72314814814814876</v>
      </c>
      <c r="AJ94">
        <f t="shared" si="28"/>
        <v>-0.17241379310345073</v>
      </c>
      <c r="AK94">
        <f t="shared" si="29"/>
        <v>0.42000000000000037</v>
      </c>
      <c r="AL94">
        <f t="shared" si="30"/>
        <v>-0.12222222222221914</v>
      </c>
      <c r="AM94">
        <f t="shared" si="31"/>
        <v>0</v>
      </c>
      <c r="AN94">
        <f t="shared" si="32"/>
        <v>-2.1447875000000005</v>
      </c>
      <c r="AO94">
        <f t="shared" si="33"/>
        <v>-3.1446347223721602</v>
      </c>
      <c r="AQ94">
        <f t="shared" si="34"/>
        <v>6.9641058240886604</v>
      </c>
      <c r="AR94">
        <f t="shared" si="35"/>
        <v>7.1365196171921115</v>
      </c>
      <c r="AT94" t="str">
        <f t="shared" si="36"/>
        <v>45448C</v>
      </c>
    </row>
    <row r="95" spans="1:46" hidden="1" x14ac:dyDescent="0.3">
      <c r="A95" s="17">
        <v>45448</v>
      </c>
      <c r="B95" s="18" t="s">
        <v>21</v>
      </c>
      <c r="C95" s="6">
        <v>8.3450000000000006</v>
      </c>
      <c r="D95" s="6">
        <v>37.909090909090907</v>
      </c>
      <c r="E95" s="6">
        <v>27.25454545454545</v>
      </c>
      <c r="F95" s="6">
        <v>55.17</v>
      </c>
      <c r="G95" s="6">
        <v>3.67</v>
      </c>
      <c r="H95" s="6">
        <v>3.376363636363636</v>
      </c>
      <c r="I95" s="6">
        <v>154.90909090909091</v>
      </c>
      <c r="J95" s="6">
        <v>10.38864310459496</v>
      </c>
      <c r="K95" s="6">
        <v>3.365520351409195E-3</v>
      </c>
      <c r="L95" s="6">
        <v>3.496318979204114E-2</v>
      </c>
      <c r="M95" s="6">
        <v>13.84833607929269</v>
      </c>
      <c r="N95" s="6">
        <v>5.1565984275541397E-2</v>
      </c>
      <c r="O95" s="6">
        <v>5225</v>
      </c>
      <c r="P95" s="6">
        <v>81.173200603221048</v>
      </c>
      <c r="Q95" s="6">
        <v>15304.873600000001</v>
      </c>
      <c r="R95" s="6">
        <v>0</v>
      </c>
      <c r="S95" s="6">
        <v>13.220596833143929</v>
      </c>
      <c r="T95" s="6">
        <f t="shared" si="22"/>
        <v>5.5399483099146849</v>
      </c>
      <c r="U95" s="6" t="e">
        <f t="shared" si="37"/>
        <v>#N/A</v>
      </c>
      <c r="V95" s="6">
        <f t="shared" si="23"/>
        <v>5.4537414133629589</v>
      </c>
      <c r="W95" s="6">
        <f t="shared" si="24"/>
        <v>5.62615520646641</v>
      </c>
      <c r="X95" s="6" t="e">
        <f t="shared" si="38"/>
        <v>#N/A</v>
      </c>
      <c r="Y95" s="6" t="e">
        <f t="shared" si="40"/>
        <v>#N/A</v>
      </c>
      <c r="Z95" s="6" t="e">
        <f t="shared" si="40"/>
        <v>#N/A</v>
      </c>
      <c r="AA95" s="6" t="e">
        <f t="shared" si="40"/>
        <v>#N/A</v>
      </c>
      <c r="AB95" s="6" t="e">
        <f t="shared" si="40"/>
        <v>#N/A</v>
      </c>
      <c r="AC95" s="6" t="e">
        <f t="shared" si="40"/>
        <v>#N/A</v>
      </c>
      <c r="AG95">
        <f t="shared" si="25"/>
        <v>-3.9000000000000062E-2</v>
      </c>
      <c r="AH95">
        <f t="shared" si="26"/>
        <v>0</v>
      </c>
      <c r="AI95">
        <f t="shared" si="27"/>
        <v>-0.87045454545454137</v>
      </c>
      <c r="AJ95">
        <f t="shared" si="28"/>
        <v>-0.17241379310345073</v>
      </c>
      <c r="AK95">
        <f t="shared" si="29"/>
        <v>0.42000000000000037</v>
      </c>
      <c r="AL95">
        <f t="shared" si="30"/>
        <v>-0.11818181818181951</v>
      </c>
      <c r="AM95">
        <f t="shared" si="31"/>
        <v>0</v>
      </c>
      <c r="AN95">
        <f t="shared" si="32"/>
        <v>-2.2972583000000002</v>
      </c>
      <c r="AO95">
        <f t="shared" si="33"/>
        <v>-2.3172862091899198</v>
      </c>
      <c r="AQ95">
        <f t="shared" si="34"/>
        <v>5.4537414133629589</v>
      </c>
      <c r="AR95">
        <f t="shared" si="35"/>
        <v>5.62615520646641</v>
      </c>
      <c r="AT95" t="str">
        <f t="shared" si="36"/>
        <v>45448D</v>
      </c>
    </row>
    <row r="96" spans="1:46" hidden="1" x14ac:dyDescent="0.3">
      <c r="A96" s="17">
        <v>45449</v>
      </c>
      <c r="B96" s="18" t="s">
        <v>22</v>
      </c>
      <c r="C96" s="6">
        <v>8.4862500000000001</v>
      </c>
      <c r="D96" s="6">
        <v>38.333333333333343</v>
      </c>
      <c r="E96" s="6">
        <v>27.207692307692309</v>
      </c>
      <c r="F96" s="6">
        <v>55.17</v>
      </c>
      <c r="G96" s="6">
        <v>3.57</v>
      </c>
      <c r="H96" s="6">
        <v>3.3683333333333341</v>
      </c>
      <c r="I96" s="6">
        <v>157.25</v>
      </c>
      <c r="J96" s="6">
        <v>9.7736412637862635</v>
      </c>
      <c r="K96" s="6">
        <v>1.33106076204745E-2</v>
      </c>
      <c r="L96" s="6">
        <v>0.13009310388553749</v>
      </c>
      <c r="M96" s="6">
        <v>16.670662157191011</v>
      </c>
      <c r="N96" s="6">
        <v>2.5819508909008509E-3</v>
      </c>
      <c r="O96" s="6">
        <v>5225</v>
      </c>
      <c r="P96" s="6">
        <v>81.216173171365753</v>
      </c>
      <c r="Q96" s="6">
        <v>56773.572800000002</v>
      </c>
      <c r="R96" s="6">
        <v>0</v>
      </c>
      <c r="S96" s="6">
        <v>15.121600512399709</v>
      </c>
      <c r="T96" s="6">
        <f t="shared" si="22"/>
        <v>15.046508243323174</v>
      </c>
      <c r="U96" s="6" t="e">
        <f t="shared" si="37"/>
        <v>#N/A</v>
      </c>
      <c r="V96" s="6">
        <f t="shared" si="23"/>
        <v>14.960301346771448</v>
      </c>
      <c r="W96" s="6">
        <f t="shared" si="24"/>
        <v>15.132715139874898</v>
      </c>
      <c r="X96" s="6" t="e">
        <f t="shared" si="38"/>
        <v>#N/A</v>
      </c>
      <c r="Y96" s="6" t="e">
        <f t="shared" si="40"/>
        <v>#N/A</v>
      </c>
      <c r="Z96" s="6" t="e">
        <f t="shared" si="40"/>
        <v>#N/A</v>
      </c>
      <c r="AA96" s="6" t="e">
        <f t="shared" si="40"/>
        <v>#N/A</v>
      </c>
      <c r="AB96" s="6" t="e">
        <f t="shared" si="40"/>
        <v>#N/A</v>
      </c>
      <c r="AC96" s="6" t="e">
        <f t="shared" si="40"/>
        <v>#N/A</v>
      </c>
      <c r="AG96">
        <f t="shared" si="25"/>
        <v>-6.7249999999999949E-2</v>
      </c>
      <c r="AH96">
        <f t="shared" si="26"/>
        <v>0</v>
      </c>
      <c r="AI96">
        <f t="shared" si="27"/>
        <v>-0.83141025641025657</v>
      </c>
      <c r="AJ96">
        <f t="shared" si="28"/>
        <v>-0.17241379310345073</v>
      </c>
      <c r="AK96">
        <f t="shared" si="29"/>
        <v>0.72000000000000064</v>
      </c>
      <c r="AL96">
        <f t="shared" si="30"/>
        <v>-0.15833333333332922</v>
      </c>
      <c r="AM96">
        <f t="shared" si="31"/>
        <v>0</v>
      </c>
      <c r="AN96">
        <f t="shared" si="32"/>
        <v>2.8863290999999998</v>
      </c>
      <c r="AO96">
        <f t="shared" si="33"/>
        <v>-1.0872825275725262</v>
      </c>
      <c r="AQ96">
        <f t="shared" si="34"/>
        <v>14.960301346771448</v>
      </c>
      <c r="AR96">
        <f t="shared" si="35"/>
        <v>15.132715139874898</v>
      </c>
      <c r="AT96" t="str">
        <f t="shared" si="36"/>
        <v>45449A</v>
      </c>
    </row>
    <row r="97" spans="1:46" hidden="1" x14ac:dyDescent="0.3">
      <c r="A97" s="17">
        <v>45449</v>
      </c>
      <c r="B97" s="18" t="s">
        <v>19</v>
      </c>
      <c r="C97" s="6">
        <v>8.3066666666666666</v>
      </c>
      <c r="D97" s="6">
        <v>39</v>
      </c>
      <c r="E97" s="6">
        <v>26.90111111111111</v>
      </c>
      <c r="F97" s="6">
        <v>55.6</v>
      </c>
      <c r="G97" s="6">
        <v>3.57</v>
      </c>
      <c r="H97" s="6">
        <v>3.2425000000000002</v>
      </c>
      <c r="I97" s="6">
        <v>154.875</v>
      </c>
      <c r="J97" s="6">
        <v>8.6478497803910628</v>
      </c>
      <c r="K97" s="6">
        <v>1.1411110982888051E-2</v>
      </c>
      <c r="L97" s="6">
        <v>9.8681573607386497E-2</v>
      </c>
      <c r="M97" s="6">
        <v>22.5792553166003</v>
      </c>
      <c r="N97" s="6">
        <v>2.5847548600650412E-3</v>
      </c>
      <c r="O97" s="6">
        <v>5225</v>
      </c>
      <c r="P97" s="6">
        <v>81.307719960890353</v>
      </c>
      <c r="Q97" s="6">
        <v>42596.081846153851</v>
      </c>
      <c r="R97" s="6">
        <v>0</v>
      </c>
      <c r="S97" s="6">
        <v>20.179094391551239</v>
      </c>
      <c r="T97" s="6">
        <f t="shared" si="22"/>
        <v>20.72604267560401</v>
      </c>
      <c r="U97" s="6" t="e">
        <f t="shared" si="37"/>
        <v>#N/A</v>
      </c>
      <c r="V97" s="6">
        <f t="shared" si="23"/>
        <v>20.269146123879871</v>
      </c>
      <c r="W97" s="6">
        <f t="shared" si="24"/>
        <v>21.182939227328148</v>
      </c>
      <c r="X97" s="6" t="e">
        <f t="shared" si="38"/>
        <v>#N/A</v>
      </c>
      <c r="Y97" s="6" t="e">
        <f t="shared" ref="Y97:AC106" si="41">VLOOKUP($AT97,hhh,3,0)</f>
        <v>#N/A</v>
      </c>
      <c r="Z97" s="6" t="e">
        <f t="shared" si="41"/>
        <v>#N/A</v>
      </c>
      <c r="AA97" s="6" t="e">
        <f t="shared" si="41"/>
        <v>#N/A</v>
      </c>
      <c r="AB97" s="6" t="e">
        <f t="shared" si="41"/>
        <v>#N/A</v>
      </c>
      <c r="AC97" s="6" t="e">
        <f t="shared" si="41"/>
        <v>#N/A</v>
      </c>
      <c r="AG97">
        <f t="shared" si="25"/>
        <v>-3.1333333333333262E-2</v>
      </c>
      <c r="AH97">
        <f t="shared" si="26"/>
        <v>0</v>
      </c>
      <c r="AI97">
        <f t="shared" si="27"/>
        <v>-0.57592592592592418</v>
      </c>
      <c r="AJ97">
        <f t="shared" si="28"/>
        <v>-0.9137931034482778</v>
      </c>
      <c r="AK97">
        <f t="shared" si="29"/>
        <v>0.72000000000000064</v>
      </c>
      <c r="AL97">
        <f t="shared" si="30"/>
        <v>-0.78749999999999876</v>
      </c>
      <c r="AM97">
        <f t="shared" si="31"/>
        <v>0</v>
      </c>
      <c r="AN97">
        <f t="shared" si="32"/>
        <v>1.1141427307692311</v>
      </c>
      <c r="AO97">
        <f t="shared" si="33"/>
        <v>1.1643004392178753</v>
      </c>
      <c r="AQ97">
        <f t="shared" si="34"/>
        <v>20.269146123879871</v>
      </c>
      <c r="AR97">
        <f t="shared" si="35"/>
        <v>21.182939227328148</v>
      </c>
      <c r="AT97" t="str">
        <f t="shared" si="36"/>
        <v>45449B</v>
      </c>
    </row>
    <row r="98" spans="1:46" hidden="1" x14ac:dyDescent="0.3">
      <c r="A98" s="17">
        <v>45449</v>
      </c>
      <c r="B98" s="18" t="s">
        <v>20</v>
      </c>
      <c r="C98" s="6">
        <v>8.1879999999999988</v>
      </c>
      <c r="D98" s="6">
        <v>38.25</v>
      </c>
      <c r="E98" s="6">
        <v>26.502500000000001</v>
      </c>
      <c r="F98" s="6">
        <v>55.6</v>
      </c>
      <c r="G98" s="6">
        <v>3.57</v>
      </c>
      <c r="H98" s="6">
        <v>3.1625000000000001</v>
      </c>
      <c r="I98" s="6">
        <v>155.125</v>
      </c>
      <c r="J98" s="6">
        <v>7.8484668141246416</v>
      </c>
      <c r="K98" s="6">
        <v>4.6262867468947382E-3</v>
      </c>
      <c r="L98" s="6">
        <v>3.6309258005628002E-2</v>
      </c>
      <c r="M98" s="6">
        <v>23.816328437024652</v>
      </c>
      <c r="N98" s="6">
        <v>2.5855421589897E-3</v>
      </c>
      <c r="O98" s="6">
        <v>5225</v>
      </c>
      <c r="P98" s="6">
        <v>81.326887573683535</v>
      </c>
      <c r="Q98" s="6">
        <v>20864.28</v>
      </c>
      <c r="R98" s="6">
        <v>0</v>
      </c>
      <c r="S98" s="6">
        <v>21.354242345574161</v>
      </c>
      <c r="T98" s="6">
        <f t="shared" si="22"/>
        <v>20.801315757051231</v>
      </c>
      <c r="U98" s="6" t="e">
        <f t="shared" si="37"/>
        <v>#N/A</v>
      </c>
      <c r="V98" s="6">
        <f t="shared" si="23"/>
        <v>20.344419205327092</v>
      </c>
      <c r="W98" s="6">
        <f t="shared" si="24"/>
        <v>21.25821230877537</v>
      </c>
      <c r="X98" s="6" t="e">
        <f t="shared" si="38"/>
        <v>#N/A</v>
      </c>
      <c r="Y98" s="6" t="e">
        <f t="shared" si="41"/>
        <v>#N/A</v>
      </c>
      <c r="Z98" s="6" t="e">
        <f t="shared" si="41"/>
        <v>#N/A</v>
      </c>
      <c r="AA98" s="6" t="e">
        <f t="shared" si="41"/>
        <v>#N/A</v>
      </c>
      <c r="AB98" s="6" t="e">
        <f t="shared" si="41"/>
        <v>#N/A</v>
      </c>
      <c r="AC98" s="6" t="e">
        <f t="shared" si="41"/>
        <v>#N/A</v>
      </c>
      <c r="AG98">
        <f t="shared" si="25"/>
        <v>-7.5999999999996964E-3</v>
      </c>
      <c r="AH98">
        <f t="shared" si="26"/>
        <v>0</v>
      </c>
      <c r="AI98">
        <f t="shared" si="27"/>
        <v>-0.24375000000000036</v>
      </c>
      <c r="AJ98">
        <f t="shared" si="28"/>
        <v>-0.9137931034482778</v>
      </c>
      <c r="AK98">
        <f t="shared" si="29"/>
        <v>0.72000000000000064</v>
      </c>
      <c r="AL98">
        <f t="shared" si="30"/>
        <v>-1.1874999999999991</v>
      </c>
      <c r="AM98">
        <f t="shared" si="31"/>
        <v>0</v>
      </c>
      <c r="AN98">
        <f t="shared" si="32"/>
        <v>-1.6023325000000004</v>
      </c>
      <c r="AO98">
        <f t="shared" si="33"/>
        <v>2.7630663717507176</v>
      </c>
      <c r="AQ98">
        <f t="shared" si="34"/>
        <v>20.344419205327092</v>
      </c>
      <c r="AR98">
        <f t="shared" si="35"/>
        <v>21.25821230877537</v>
      </c>
      <c r="AT98" t="str">
        <f t="shared" si="36"/>
        <v>45449C</v>
      </c>
    </row>
    <row r="99" spans="1:46" hidden="1" x14ac:dyDescent="0.3">
      <c r="A99" s="17">
        <v>45449</v>
      </c>
      <c r="B99" s="18" t="s">
        <v>21</v>
      </c>
      <c r="C99" s="6">
        <v>8.161428571428571</v>
      </c>
      <c r="D99" s="6">
        <v>37.555555555555557</v>
      </c>
      <c r="E99" s="6">
        <v>26.323333333333331</v>
      </c>
      <c r="F99" s="6">
        <v>55.6</v>
      </c>
      <c r="G99" s="6">
        <v>3.57</v>
      </c>
      <c r="H99" s="6">
        <v>3.1111111111111112</v>
      </c>
      <c r="I99" s="6">
        <v>154.88888888888891</v>
      </c>
      <c r="J99" s="6">
        <v>7.5363828289297947</v>
      </c>
      <c r="K99" s="6">
        <v>5.9612653995376212E-3</v>
      </c>
      <c r="L99" s="6">
        <v>4.492637819576864E-2</v>
      </c>
      <c r="M99" s="6">
        <v>25.063397034374741</v>
      </c>
      <c r="N99" s="6">
        <v>2.5860430441536049E-3</v>
      </c>
      <c r="O99" s="6">
        <v>5225</v>
      </c>
      <c r="P99" s="6">
        <v>81.346210068049984</v>
      </c>
      <c r="Q99" s="6">
        <v>29678.844705882351</v>
      </c>
      <c r="R99" s="6">
        <v>0</v>
      </c>
      <c r="S99" s="6">
        <v>22.65758587594156</v>
      </c>
      <c r="T99" s="6">
        <f t="shared" si="22"/>
        <v>23.672048309851707</v>
      </c>
      <c r="U99" s="6" t="e">
        <f t="shared" si="37"/>
        <v>#N/A</v>
      </c>
      <c r="V99" s="6">
        <f t="shared" si="23"/>
        <v>23.215151758127568</v>
      </c>
      <c r="W99" s="6">
        <f t="shared" si="24"/>
        <v>24.128944861575846</v>
      </c>
      <c r="X99" s="6" t="e">
        <f t="shared" si="38"/>
        <v>#N/A</v>
      </c>
      <c r="Y99" s="6" t="e">
        <f t="shared" si="41"/>
        <v>#N/A</v>
      </c>
      <c r="Z99" s="6" t="e">
        <f t="shared" si="41"/>
        <v>#N/A</v>
      </c>
      <c r="AA99" s="6" t="e">
        <f t="shared" si="41"/>
        <v>#N/A</v>
      </c>
      <c r="AB99" s="6" t="e">
        <f t="shared" si="41"/>
        <v>#N/A</v>
      </c>
      <c r="AC99" s="6" t="e">
        <f t="shared" si="41"/>
        <v>#N/A</v>
      </c>
      <c r="AG99">
        <f t="shared" si="25"/>
        <v>-2.2857142857141354E-3</v>
      </c>
      <c r="AH99">
        <f t="shared" si="26"/>
        <v>0</v>
      </c>
      <c r="AI99">
        <f t="shared" si="27"/>
        <v>-9.4444444444441444E-2</v>
      </c>
      <c r="AJ99">
        <f t="shared" si="28"/>
        <v>-0.9137931034482778</v>
      </c>
      <c r="AK99">
        <f t="shared" si="29"/>
        <v>0.72000000000000064</v>
      </c>
      <c r="AL99">
        <f t="shared" si="30"/>
        <v>-1.4444444444444438</v>
      </c>
      <c r="AM99">
        <f t="shared" si="31"/>
        <v>0</v>
      </c>
      <c r="AN99">
        <f t="shared" si="32"/>
        <v>-0.50051191176470633</v>
      </c>
      <c r="AO99">
        <f t="shared" si="33"/>
        <v>3.3872343421404114</v>
      </c>
      <c r="AQ99">
        <f t="shared" si="34"/>
        <v>23.215151758127568</v>
      </c>
      <c r="AR99">
        <f t="shared" si="35"/>
        <v>24.128944861575846</v>
      </c>
      <c r="AT99" t="str">
        <f t="shared" si="36"/>
        <v>45449D</v>
      </c>
    </row>
    <row r="100" spans="1:46" hidden="1" x14ac:dyDescent="0.3">
      <c r="A100" s="17">
        <v>45450</v>
      </c>
      <c r="B100" s="18" t="s">
        <v>22</v>
      </c>
      <c r="C100" s="6">
        <v>8.08</v>
      </c>
      <c r="D100" s="6">
        <v>36</v>
      </c>
      <c r="E100" s="6">
        <v>25.725000000000001</v>
      </c>
      <c r="F100" s="6">
        <v>55.6</v>
      </c>
      <c r="G100" s="6">
        <v>3.13</v>
      </c>
      <c r="H100" s="6">
        <v>3.03</v>
      </c>
      <c r="I100" s="6">
        <v>150.25</v>
      </c>
      <c r="J100" s="6">
        <v>7.868921927071824</v>
      </c>
      <c r="K100" s="6">
        <v>6.7205903928254443E-3</v>
      </c>
      <c r="L100" s="6">
        <v>5.2883801104972379E-2</v>
      </c>
      <c r="M100" s="6">
        <v>27.059561221544168</v>
      </c>
      <c r="N100" s="6">
        <v>2.2976877653792762</v>
      </c>
      <c r="O100" s="6">
        <v>5225</v>
      </c>
      <c r="P100" s="6">
        <v>81.41270029038256</v>
      </c>
      <c r="Q100" s="6">
        <v>23929.919999999998</v>
      </c>
      <c r="R100" s="6">
        <v>0</v>
      </c>
      <c r="S100" s="6">
        <v>26.018003675318081</v>
      </c>
      <c r="T100" s="6">
        <f t="shared" si="22"/>
        <v>25.713859982343049</v>
      </c>
      <c r="U100" s="6" t="e">
        <f t="shared" si="37"/>
        <v>#N/A</v>
      </c>
      <c r="V100" s="6">
        <f t="shared" si="23"/>
        <v>25.25696343061891</v>
      </c>
      <c r="W100" s="6">
        <f t="shared" si="24"/>
        <v>26.170756534067188</v>
      </c>
      <c r="X100" s="6" t="e">
        <f t="shared" si="38"/>
        <v>#N/A</v>
      </c>
      <c r="Y100" s="6" t="e">
        <f t="shared" si="41"/>
        <v>#N/A</v>
      </c>
      <c r="Z100" s="6" t="e">
        <f t="shared" si="41"/>
        <v>#N/A</v>
      </c>
      <c r="AA100" s="6" t="e">
        <f t="shared" si="41"/>
        <v>#N/A</v>
      </c>
      <c r="AB100" s="6" t="e">
        <f t="shared" si="41"/>
        <v>#N/A</v>
      </c>
      <c r="AC100" s="6" t="e">
        <f t="shared" si="41"/>
        <v>#N/A</v>
      </c>
      <c r="AG100">
        <f t="shared" si="25"/>
        <v>1.4000000000000058E-2</v>
      </c>
      <c r="AH100">
        <f t="shared" si="26"/>
        <v>0</v>
      </c>
      <c r="AI100">
        <f t="shared" si="27"/>
        <v>0.40416666666666623</v>
      </c>
      <c r="AJ100">
        <f t="shared" si="28"/>
        <v>-0.9137931034482778</v>
      </c>
      <c r="AK100">
        <f t="shared" si="29"/>
        <v>2.0400000000000005</v>
      </c>
      <c r="AL100">
        <f t="shared" si="30"/>
        <v>-1.8500000000000005</v>
      </c>
      <c r="AM100">
        <f t="shared" si="31"/>
        <v>0</v>
      </c>
      <c r="AN100">
        <f t="shared" si="32"/>
        <v>-1.2191275000000006</v>
      </c>
      <c r="AO100">
        <f t="shared" si="33"/>
        <v>2.7221561458563528</v>
      </c>
      <c r="AQ100">
        <f t="shared" si="34"/>
        <v>25.25696343061891</v>
      </c>
      <c r="AR100">
        <f t="shared" si="35"/>
        <v>26.170756534067188</v>
      </c>
      <c r="AT100" t="str">
        <f t="shared" si="36"/>
        <v>45450A</v>
      </c>
    </row>
    <row r="101" spans="1:46" hidden="1" x14ac:dyDescent="0.3">
      <c r="A101" s="17">
        <v>45450</v>
      </c>
      <c r="B101" s="18" t="s">
        <v>19</v>
      </c>
      <c r="C101" s="6">
        <v>8.2324999999999999</v>
      </c>
      <c r="D101" s="6">
        <v>38.333333333333343</v>
      </c>
      <c r="E101" s="6">
        <v>26.40666666666667</v>
      </c>
      <c r="F101" s="6">
        <v>56.02</v>
      </c>
      <c r="G101" s="6">
        <v>3.66</v>
      </c>
      <c r="H101" s="6">
        <v>3.2833333333333332</v>
      </c>
      <c r="I101" s="6">
        <v>144.16666666666671</v>
      </c>
      <c r="J101" s="6">
        <v>9.4100234253862443</v>
      </c>
      <c r="K101" s="6">
        <v>2.1895463986733661E-3</v>
      </c>
      <c r="L101" s="6">
        <v>2.0603682902486459E-2</v>
      </c>
      <c r="M101" s="6">
        <v>18.18400694667196</v>
      </c>
      <c r="N101" s="6">
        <v>4.0534143534443423</v>
      </c>
      <c r="O101" s="6">
        <v>5225</v>
      </c>
      <c r="P101" s="6">
        <v>81.302419656503133</v>
      </c>
      <c r="Q101" s="6">
        <v>9689.880000000001</v>
      </c>
      <c r="R101" s="6">
        <v>0</v>
      </c>
      <c r="S101" s="6">
        <v>16.585372658781061</v>
      </c>
      <c r="T101" s="6">
        <f t="shared" si="22"/>
        <v>10.692139856435865</v>
      </c>
      <c r="U101" s="6" t="e">
        <f t="shared" si="37"/>
        <v>#N/A</v>
      </c>
      <c r="V101" s="6">
        <f t="shared" si="23"/>
        <v>9.8731743391944846</v>
      </c>
      <c r="W101" s="6">
        <f t="shared" si="24"/>
        <v>11.511105373677248</v>
      </c>
      <c r="X101" s="6" t="e">
        <f t="shared" si="38"/>
        <v>#N/A</v>
      </c>
      <c r="Y101" s="6" t="e">
        <f t="shared" si="41"/>
        <v>#N/A</v>
      </c>
      <c r="Z101" s="6" t="e">
        <f t="shared" si="41"/>
        <v>#N/A</v>
      </c>
      <c r="AA101" s="6" t="e">
        <f t="shared" si="41"/>
        <v>#N/A</v>
      </c>
      <c r="AB101" s="6" t="e">
        <f t="shared" si="41"/>
        <v>#N/A</v>
      </c>
      <c r="AC101" s="6" t="e">
        <f t="shared" si="41"/>
        <v>#N/A</v>
      </c>
      <c r="AG101">
        <f t="shared" si="25"/>
        <v>-1.6499999999999914E-2</v>
      </c>
      <c r="AH101">
        <f t="shared" si="26"/>
        <v>0</v>
      </c>
      <c r="AI101">
        <f t="shared" si="27"/>
        <v>-0.16388888888889083</v>
      </c>
      <c r="AJ101">
        <f t="shared" si="28"/>
        <v>-1.6379310344827636</v>
      </c>
      <c r="AK101">
        <f t="shared" si="29"/>
        <v>0.44999999999999968</v>
      </c>
      <c r="AL101">
        <f t="shared" si="30"/>
        <v>-0.58333333333333348</v>
      </c>
      <c r="AM101">
        <f t="shared" si="31"/>
        <v>0</v>
      </c>
      <c r="AN101">
        <f t="shared" si="32"/>
        <v>-2.9991325</v>
      </c>
      <c r="AO101">
        <f t="shared" si="33"/>
        <v>-0.36004685077248766</v>
      </c>
      <c r="AQ101">
        <f t="shared" si="34"/>
        <v>9.8731743391944846</v>
      </c>
      <c r="AR101">
        <f t="shared" si="35"/>
        <v>11.511105373677248</v>
      </c>
      <c r="AT101" t="str">
        <f t="shared" si="36"/>
        <v>45450B</v>
      </c>
    </row>
    <row r="102" spans="1:46" hidden="1" x14ac:dyDescent="0.3">
      <c r="A102" s="17">
        <v>45450</v>
      </c>
      <c r="B102" s="18" t="s">
        <v>20</v>
      </c>
      <c r="C102" s="6">
        <v>8.3216666666666672</v>
      </c>
      <c r="D102" s="6">
        <v>38.6</v>
      </c>
      <c r="E102" s="6">
        <v>26.283999999999999</v>
      </c>
      <c r="F102" s="6">
        <v>56.02</v>
      </c>
      <c r="G102" s="6">
        <v>3.66</v>
      </c>
      <c r="H102" s="6">
        <v>3.3420000000000001</v>
      </c>
      <c r="I102" s="6">
        <v>147.1</v>
      </c>
      <c r="J102" s="6">
        <v>9.0194245484310382</v>
      </c>
      <c r="K102" s="6">
        <v>2.0020062557681122E-3</v>
      </c>
      <c r="L102" s="6">
        <v>1.8056944369387418E-2</v>
      </c>
      <c r="M102" s="6">
        <v>17.240272045431048</v>
      </c>
      <c r="N102" s="6">
        <v>5.0668624207289978</v>
      </c>
      <c r="O102" s="6">
        <v>5225</v>
      </c>
      <c r="P102" s="6">
        <v>81.303465179945533</v>
      </c>
      <c r="Q102" s="6">
        <v>9689.880000000001</v>
      </c>
      <c r="R102" s="6">
        <v>0</v>
      </c>
      <c r="S102" s="6">
        <v>14.85668413832866</v>
      </c>
      <c r="T102" s="6">
        <f t="shared" si="22"/>
        <v>10.907324931327594</v>
      </c>
      <c r="U102" s="6" t="e">
        <f t="shared" si="37"/>
        <v>#N/A</v>
      </c>
      <c r="V102" s="6">
        <f t="shared" si="23"/>
        <v>10.088359414086211</v>
      </c>
      <c r="W102" s="6">
        <f t="shared" si="24"/>
        <v>11.726290448568975</v>
      </c>
      <c r="X102" s="6" t="e">
        <f t="shared" si="38"/>
        <v>#N/A</v>
      </c>
      <c r="Y102" s="6" t="e">
        <f t="shared" si="41"/>
        <v>#N/A</v>
      </c>
      <c r="Z102" s="6" t="e">
        <f t="shared" si="41"/>
        <v>#N/A</v>
      </c>
      <c r="AA102" s="6" t="e">
        <f t="shared" si="41"/>
        <v>#N/A</v>
      </c>
      <c r="AB102" s="6" t="e">
        <f t="shared" si="41"/>
        <v>#N/A</v>
      </c>
      <c r="AC102" s="6" t="e">
        <f t="shared" si="41"/>
        <v>#N/A</v>
      </c>
      <c r="AG102">
        <f t="shared" si="25"/>
        <v>-3.4333333333333375E-2</v>
      </c>
      <c r="AH102">
        <f t="shared" si="26"/>
        <v>0</v>
      </c>
      <c r="AI102">
        <f t="shared" si="27"/>
        <v>-6.1666666666665058E-2</v>
      </c>
      <c r="AJ102">
        <f t="shared" si="28"/>
        <v>-1.6379310344827636</v>
      </c>
      <c r="AK102">
        <f t="shared" si="29"/>
        <v>0.44999999999999968</v>
      </c>
      <c r="AL102">
        <f t="shared" si="30"/>
        <v>-0.28999999999999915</v>
      </c>
      <c r="AM102">
        <f t="shared" si="31"/>
        <v>0</v>
      </c>
      <c r="AN102">
        <f t="shared" si="32"/>
        <v>-2.9991325</v>
      </c>
      <c r="AO102">
        <f t="shared" si="33"/>
        <v>0.42115090313792436</v>
      </c>
      <c r="AQ102">
        <f t="shared" si="34"/>
        <v>10.088359414086211</v>
      </c>
      <c r="AR102">
        <f t="shared" si="35"/>
        <v>11.726290448568975</v>
      </c>
      <c r="AT102" t="str">
        <f t="shared" si="36"/>
        <v>45450C</v>
      </c>
    </row>
    <row r="103" spans="1:46" hidden="1" x14ac:dyDescent="0.3">
      <c r="A103" s="17">
        <v>45450</v>
      </c>
      <c r="B103" s="18" t="s">
        <v>21</v>
      </c>
      <c r="C103" s="6">
        <v>8.3285714285714274</v>
      </c>
      <c r="D103" s="6">
        <v>38.111111111111107</v>
      </c>
      <c r="E103" s="6">
        <v>26.20333333333333</v>
      </c>
      <c r="F103" s="6">
        <v>56.02</v>
      </c>
      <c r="G103" s="6">
        <v>3.66</v>
      </c>
      <c r="H103" s="6">
        <v>3.364444444444445</v>
      </c>
      <c r="I103" s="6">
        <v>149.44444444444451</v>
      </c>
      <c r="J103" s="6">
        <v>8.7583799938562574</v>
      </c>
      <c r="K103" s="6">
        <v>2.3615557437481811E-3</v>
      </c>
      <c r="L103" s="6">
        <v>2.068340258042041E-2</v>
      </c>
      <c r="M103" s="6">
        <v>17.19027900211076</v>
      </c>
      <c r="N103" s="6">
        <v>4.9314326028550806</v>
      </c>
      <c r="O103" s="6">
        <v>5225</v>
      </c>
      <c r="P103" s="6">
        <v>81.300591847886295</v>
      </c>
      <c r="Q103" s="6">
        <v>10224.280790752469</v>
      </c>
      <c r="R103" s="6">
        <v>0</v>
      </c>
      <c r="S103" s="6">
        <v>14.241578048539109</v>
      </c>
      <c r="T103" s="6">
        <f t="shared" si="22"/>
        <v>11.62428458806442</v>
      </c>
      <c r="U103" s="6" t="e">
        <f t="shared" si="37"/>
        <v>#N/A</v>
      </c>
      <c r="V103" s="6">
        <f t="shared" si="23"/>
        <v>10.805319070823039</v>
      </c>
      <c r="W103" s="6">
        <f t="shared" si="24"/>
        <v>12.443250105305802</v>
      </c>
      <c r="X103" s="6" t="e">
        <f t="shared" si="38"/>
        <v>#N/A</v>
      </c>
      <c r="Y103" s="6" t="e">
        <f t="shared" si="41"/>
        <v>#N/A</v>
      </c>
      <c r="Z103" s="6" t="e">
        <f t="shared" si="41"/>
        <v>#N/A</v>
      </c>
      <c r="AA103" s="6" t="e">
        <f t="shared" si="41"/>
        <v>#N/A</v>
      </c>
      <c r="AB103" s="6" t="e">
        <f t="shared" si="41"/>
        <v>#N/A</v>
      </c>
      <c r="AC103" s="6" t="e">
        <f t="shared" si="41"/>
        <v>#N/A</v>
      </c>
      <c r="AG103">
        <f t="shared" si="25"/>
        <v>-3.5714285714285414E-2</v>
      </c>
      <c r="AH103">
        <f t="shared" si="26"/>
        <v>0</v>
      </c>
      <c r="AI103">
        <f t="shared" si="27"/>
        <v>5.5555555555593852E-3</v>
      </c>
      <c r="AJ103">
        <f t="shared" si="28"/>
        <v>-1.6379310344827636</v>
      </c>
      <c r="AK103">
        <f t="shared" si="29"/>
        <v>0.44999999999999968</v>
      </c>
      <c r="AL103">
        <f t="shared" si="30"/>
        <v>-0.17777777777777448</v>
      </c>
      <c r="AM103">
        <f t="shared" si="31"/>
        <v>0</v>
      </c>
      <c r="AN103">
        <f t="shared" si="32"/>
        <v>-2.9323324011559415</v>
      </c>
      <c r="AO103">
        <f t="shared" si="33"/>
        <v>0.943240012287486</v>
      </c>
      <c r="AQ103">
        <f t="shared" si="34"/>
        <v>10.805319070823039</v>
      </c>
      <c r="AR103">
        <f t="shared" si="35"/>
        <v>12.443250105305802</v>
      </c>
      <c r="AT103" t="str">
        <f t="shared" si="36"/>
        <v>45450D</v>
      </c>
    </row>
    <row r="104" spans="1:46" hidden="1" x14ac:dyDescent="0.3">
      <c r="A104" s="17">
        <v>45451</v>
      </c>
      <c r="B104" s="18" t="s">
        <v>22</v>
      </c>
      <c r="C104" s="6">
        <v>8.4550000000000001</v>
      </c>
      <c r="D104" s="6">
        <v>38.285714285714278</v>
      </c>
      <c r="E104" s="6">
        <v>26.438571428571429</v>
      </c>
      <c r="F104" s="6">
        <v>56.02</v>
      </c>
      <c r="G104" s="6">
        <v>3.7</v>
      </c>
      <c r="H104" s="6">
        <v>3.4085714285714279</v>
      </c>
      <c r="I104" s="6">
        <v>150</v>
      </c>
      <c r="J104" s="6">
        <v>8.1208369712113377</v>
      </c>
      <c r="K104" s="6">
        <v>6.4100696179565141E-3</v>
      </c>
      <c r="L104" s="6">
        <v>5.2055130341539801E-2</v>
      </c>
      <c r="M104" s="6">
        <v>15.95751143989674</v>
      </c>
      <c r="N104" s="6">
        <v>0.97462527609822214</v>
      </c>
      <c r="O104" s="6">
        <v>5225</v>
      </c>
      <c r="P104" s="6">
        <v>81.22018596812218</v>
      </c>
      <c r="Q104" s="6">
        <v>28079.483199999999</v>
      </c>
      <c r="R104" s="6">
        <v>0</v>
      </c>
      <c r="S104" s="6">
        <v>13.68642820159309</v>
      </c>
      <c r="T104" s="6">
        <f t="shared" si="22"/>
        <v>13.777820832613632</v>
      </c>
      <c r="U104" s="6" t="e">
        <f t="shared" si="37"/>
        <v>#N/A</v>
      </c>
      <c r="V104" s="6">
        <f t="shared" si="23"/>
        <v>12.958855315372251</v>
      </c>
      <c r="W104" s="6">
        <f t="shared" si="24"/>
        <v>14.596786349855014</v>
      </c>
      <c r="X104" s="6" t="e">
        <f t="shared" si="38"/>
        <v>#N/A</v>
      </c>
      <c r="Y104" s="6" t="e">
        <f t="shared" si="41"/>
        <v>#N/A</v>
      </c>
      <c r="Z104" s="6" t="e">
        <f t="shared" si="41"/>
        <v>#N/A</v>
      </c>
      <c r="AA104" s="6" t="e">
        <f t="shared" si="41"/>
        <v>#N/A</v>
      </c>
      <c r="AB104" s="6" t="e">
        <f t="shared" si="41"/>
        <v>#N/A</v>
      </c>
      <c r="AC104" s="6" t="e">
        <f t="shared" si="41"/>
        <v>#N/A</v>
      </c>
      <c r="AG104">
        <f t="shared" si="25"/>
        <v>-6.0999999999999943E-2</v>
      </c>
      <c r="AH104">
        <f t="shared" si="26"/>
        <v>0</v>
      </c>
      <c r="AI104">
        <f t="shared" si="27"/>
        <v>-0.1904761904761898</v>
      </c>
      <c r="AJ104">
        <f t="shared" si="28"/>
        <v>-1.6379310344827636</v>
      </c>
      <c r="AK104">
        <f t="shared" si="29"/>
        <v>0.32999999999999957</v>
      </c>
      <c r="AL104">
        <f t="shared" si="30"/>
        <v>4.285714285714004E-2</v>
      </c>
      <c r="AM104">
        <f t="shared" si="31"/>
        <v>0</v>
      </c>
      <c r="AN104">
        <f t="shared" si="32"/>
        <v>-0.70043210000000045</v>
      </c>
      <c r="AO104">
        <f t="shared" si="33"/>
        <v>2.2183260575773254</v>
      </c>
      <c r="AQ104">
        <f t="shared" si="34"/>
        <v>12.958855315372251</v>
      </c>
      <c r="AR104">
        <f t="shared" si="35"/>
        <v>14.596786349855014</v>
      </c>
      <c r="AT104" t="str">
        <f t="shared" si="36"/>
        <v>45451A</v>
      </c>
    </row>
    <row r="105" spans="1:46" hidden="1" x14ac:dyDescent="0.3">
      <c r="A105" s="17">
        <v>45451</v>
      </c>
      <c r="B105" s="18" t="s">
        <v>19</v>
      </c>
      <c r="C105" s="6">
        <v>8.56</v>
      </c>
      <c r="D105" s="6">
        <v>39.777777777777779</v>
      </c>
      <c r="E105" s="6">
        <v>26.565555555555559</v>
      </c>
      <c r="F105" s="6">
        <v>56.02</v>
      </c>
      <c r="G105" s="6">
        <v>3.81</v>
      </c>
      <c r="H105" s="6">
        <v>3.3922222222222218</v>
      </c>
      <c r="I105" s="6">
        <v>149</v>
      </c>
      <c r="J105" s="6">
        <v>8.7247916415684568</v>
      </c>
      <c r="K105" s="6">
        <v>2.984242795847756E-3</v>
      </c>
      <c r="L105" s="6">
        <v>2.603689660162339E-2</v>
      </c>
      <c r="M105" s="6">
        <v>14.999896436476821</v>
      </c>
      <c r="N105" s="6">
        <v>3.7631701527546628</v>
      </c>
      <c r="O105" s="6">
        <v>5225</v>
      </c>
      <c r="P105" s="6">
        <v>88.641466044498628</v>
      </c>
      <c r="Q105" s="6">
        <v>12674.676706976739</v>
      </c>
      <c r="R105" s="6">
        <v>0</v>
      </c>
      <c r="S105" s="6">
        <v>13.2271955198022</v>
      </c>
      <c r="T105" s="6">
        <f t="shared" si="22"/>
        <v>9.1481295392854278</v>
      </c>
      <c r="U105" s="6" t="e">
        <f t="shared" si="37"/>
        <v>#N/A</v>
      </c>
      <c r="V105" s="6">
        <f t="shared" si="23"/>
        <v>8.329164022044047</v>
      </c>
      <c r="W105" s="6">
        <f t="shared" si="24"/>
        <v>9.9670950565268104</v>
      </c>
      <c r="X105" s="6" t="e">
        <f t="shared" si="38"/>
        <v>#N/A</v>
      </c>
      <c r="Y105" s="6" t="e">
        <f t="shared" si="41"/>
        <v>#N/A</v>
      </c>
      <c r="Z105" s="6" t="e">
        <f t="shared" si="41"/>
        <v>#N/A</v>
      </c>
      <c r="AA105" s="6" t="e">
        <f t="shared" si="41"/>
        <v>#N/A</v>
      </c>
      <c r="AB105" s="6" t="e">
        <f t="shared" si="41"/>
        <v>#N/A</v>
      </c>
      <c r="AC105" s="6" t="e">
        <f t="shared" si="41"/>
        <v>#N/A</v>
      </c>
      <c r="AG105">
        <f t="shared" si="25"/>
        <v>-8.2000000000000031E-2</v>
      </c>
      <c r="AH105">
        <f t="shared" si="26"/>
        <v>0</v>
      </c>
      <c r="AI105">
        <f t="shared" si="27"/>
        <v>-0.29629629629629822</v>
      </c>
      <c r="AJ105">
        <f t="shared" si="28"/>
        <v>-1.6379310344827636</v>
      </c>
      <c r="AK105">
        <f t="shared" si="29"/>
        <v>0</v>
      </c>
      <c r="AL105">
        <f t="shared" si="30"/>
        <v>-3.8888888888890527E-2</v>
      </c>
      <c r="AM105">
        <f t="shared" si="31"/>
        <v>0</v>
      </c>
      <c r="AN105">
        <f t="shared" si="32"/>
        <v>-2.6260329116279082</v>
      </c>
      <c r="AO105">
        <f t="shared" si="33"/>
        <v>1.0104167168630873</v>
      </c>
      <c r="AQ105">
        <f t="shared" si="34"/>
        <v>8.329164022044047</v>
      </c>
      <c r="AR105">
        <f t="shared" si="35"/>
        <v>9.9670950565268104</v>
      </c>
      <c r="AT105" t="str">
        <f t="shared" si="36"/>
        <v>45451B</v>
      </c>
    </row>
    <row r="106" spans="1:46" hidden="1" x14ac:dyDescent="0.3">
      <c r="A106" s="17">
        <v>45451</v>
      </c>
      <c r="B106" s="18" t="s">
        <v>20</v>
      </c>
      <c r="C106" s="6">
        <v>8.5800000000000018</v>
      </c>
      <c r="D106" s="6">
        <v>39.125</v>
      </c>
      <c r="E106" s="6">
        <v>26.71875</v>
      </c>
      <c r="F106" s="6">
        <v>56.02</v>
      </c>
      <c r="G106" s="6">
        <v>3.81</v>
      </c>
      <c r="H106" s="6">
        <v>3.3912499999999999</v>
      </c>
      <c r="I106" s="6">
        <v>150.25</v>
      </c>
      <c r="J106" s="6">
        <v>9.5743562095408468</v>
      </c>
      <c r="K106" s="6">
        <v>6.4934760223013263E-3</v>
      </c>
      <c r="L106" s="6">
        <v>6.2170852475625302E-2</v>
      </c>
      <c r="M106" s="6">
        <v>14.88192406820122</v>
      </c>
      <c r="N106" s="6">
        <v>2.397978508636613</v>
      </c>
      <c r="O106" s="6">
        <v>5225</v>
      </c>
      <c r="P106" s="6">
        <v>88.932434424221043</v>
      </c>
      <c r="Q106" s="6">
        <v>31627.664000000001</v>
      </c>
      <c r="R106" s="6">
        <v>0</v>
      </c>
      <c r="S106" s="6">
        <v>13.238491264516581</v>
      </c>
      <c r="T106" s="6">
        <f t="shared" si="22"/>
        <v>9.5636282985448133</v>
      </c>
      <c r="U106" s="6" t="e">
        <f t="shared" si="37"/>
        <v>#N/A</v>
      </c>
      <c r="V106" s="6">
        <f t="shared" si="23"/>
        <v>8.7446627813034308</v>
      </c>
      <c r="W106" s="6">
        <f t="shared" si="24"/>
        <v>10.382593815786194</v>
      </c>
      <c r="X106" s="6" t="e">
        <f t="shared" si="38"/>
        <v>#N/A</v>
      </c>
      <c r="Y106" s="6" t="e">
        <f t="shared" si="41"/>
        <v>#N/A</v>
      </c>
      <c r="Z106" s="6" t="e">
        <f t="shared" si="41"/>
        <v>#N/A</v>
      </c>
      <c r="AA106" s="6" t="e">
        <f t="shared" si="41"/>
        <v>#N/A</v>
      </c>
      <c r="AB106" s="6" t="e">
        <f t="shared" si="41"/>
        <v>#N/A</v>
      </c>
      <c r="AC106" s="6" t="e">
        <f t="shared" si="41"/>
        <v>#N/A</v>
      </c>
      <c r="AG106">
        <f t="shared" si="25"/>
        <v>-8.6000000000000298E-2</v>
      </c>
      <c r="AH106">
        <f t="shared" si="26"/>
        <v>0</v>
      </c>
      <c r="AI106">
        <f t="shared" si="27"/>
        <v>-0.42395833333333266</v>
      </c>
      <c r="AJ106">
        <f t="shared" si="28"/>
        <v>-1.6379310344827636</v>
      </c>
      <c r="AK106">
        <f t="shared" si="29"/>
        <v>0</v>
      </c>
      <c r="AL106">
        <f t="shared" si="30"/>
        <v>-4.3750000000000178E-2</v>
      </c>
      <c r="AM106">
        <f t="shared" si="31"/>
        <v>0</v>
      </c>
      <c r="AN106">
        <f t="shared" si="32"/>
        <v>-0.25690950000000023</v>
      </c>
      <c r="AO106">
        <f t="shared" si="33"/>
        <v>-0.68871241908169267</v>
      </c>
      <c r="AQ106">
        <f t="shared" si="34"/>
        <v>8.7446627813034308</v>
      </c>
      <c r="AR106">
        <f t="shared" si="35"/>
        <v>10.382593815786194</v>
      </c>
      <c r="AT106" t="str">
        <f t="shared" si="36"/>
        <v>45451C</v>
      </c>
    </row>
    <row r="107" spans="1:46" hidden="1" x14ac:dyDescent="0.3">
      <c r="A107" s="17">
        <v>45451</v>
      </c>
      <c r="B107" s="18" t="s">
        <v>21</v>
      </c>
      <c r="C107" s="6">
        <v>8.6300000000000008</v>
      </c>
      <c r="D107" s="6">
        <v>39</v>
      </c>
      <c r="E107" s="6">
        <v>26.787500000000001</v>
      </c>
      <c r="F107" s="6">
        <v>56.02</v>
      </c>
      <c r="G107" s="6">
        <v>3.81</v>
      </c>
      <c r="H107" s="6">
        <v>3.4012500000000001</v>
      </c>
      <c r="I107" s="6">
        <v>153.125</v>
      </c>
      <c r="J107" s="6">
        <v>9.4037060341526466</v>
      </c>
      <c r="K107" s="6">
        <v>6.538440436163518E-3</v>
      </c>
      <c r="L107" s="6">
        <v>6.148557178349854E-2</v>
      </c>
      <c r="M107" s="6">
        <v>14.75465966364294</v>
      </c>
      <c r="N107" s="6">
        <v>2.3989968257156971</v>
      </c>
      <c r="O107" s="6">
        <v>5225</v>
      </c>
      <c r="P107" s="6">
        <v>87.690620040490643</v>
      </c>
      <c r="Q107" s="6">
        <v>32279.474828477261</v>
      </c>
      <c r="R107" s="6">
        <v>0</v>
      </c>
      <c r="S107" s="6">
        <v>13.24295101577461</v>
      </c>
      <c r="T107" s="6">
        <f t="shared" si="22"/>
        <v>9.8418489316559246</v>
      </c>
      <c r="U107" s="6" t="e">
        <f t="shared" si="37"/>
        <v>#N/A</v>
      </c>
      <c r="V107" s="6">
        <f t="shared" si="23"/>
        <v>9.022883414414542</v>
      </c>
      <c r="W107" s="6">
        <f t="shared" si="24"/>
        <v>10.660814448897305</v>
      </c>
      <c r="X107" s="6" t="e">
        <f t="shared" si="38"/>
        <v>#N/A</v>
      </c>
      <c r="Y107" s="6" t="e">
        <f t="shared" ref="Y107:AC116" si="42">VLOOKUP($AT107,hhh,3,0)</f>
        <v>#N/A</v>
      </c>
      <c r="Z107" s="6" t="e">
        <f t="shared" si="42"/>
        <v>#N/A</v>
      </c>
      <c r="AA107" s="6" t="e">
        <f t="shared" si="42"/>
        <v>#N/A</v>
      </c>
      <c r="AB107" s="6" t="e">
        <f t="shared" si="42"/>
        <v>#N/A</v>
      </c>
      <c r="AC107" s="6" t="e">
        <f t="shared" si="42"/>
        <v>#N/A</v>
      </c>
      <c r="AG107">
        <f t="shared" si="25"/>
        <v>-9.6000000000000085E-2</v>
      </c>
      <c r="AH107">
        <f t="shared" si="26"/>
        <v>0</v>
      </c>
      <c r="AI107">
        <f t="shared" si="27"/>
        <v>-0.48125000000000051</v>
      </c>
      <c r="AJ107">
        <f t="shared" si="28"/>
        <v>-1.6379310344827636</v>
      </c>
      <c r="AK107">
        <f t="shared" si="29"/>
        <v>0</v>
      </c>
      <c r="AL107">
        <f t="shared" si="30"/>
        <v>6.250000000000977E-3</v>
      </c>
      <c r="AM107">
        <f t="shared" si="31"/>
        <v>0</v>
      </c>
      <c r="AN107">
        <f t="shared" si="32"/>
        <v>-0.17543314644034264</v>
      </c>
      <c r="AO107">
        <f t="shared" si="33"/>
        <v>-0.34741206830529237</v>
      </c>
      <c r="AQ107">
        <f t="shared" si="34"/>
        <v>9.022883414414542</v>
      </c>
      <c r="AR107">
        <f t="shared" si="35"/>
        <v>10.660814448897305</v>
      </c>
      <c r="AT107" t="str">
        <f t="shared" si="36"/>
        <v>45451D</v>
      </c>
    </row>
    <row r="108" spans="1:46" hidden="1" x14ac:dyDescent="0.3">
      <c r="A108" s="17">
        <v>45453</v>
      </c>
      <c r="B108" s="18" t="s">
        <v>19</v>
      </c>
      <c r="C108" s="6">
        <v>8.4233333333333338</v>
      </c>
      <c r="D108" s="6">
        <v>38</v>
      </c>
      <c r="E108" s="6">
        <v>26.017499999999998</v>
      </c>
      <c r="F108" s="6">
        <v>55.63</v>
      </c>
      <c r="G108" s="6">
        <v>3.97</v>
      </c>
      <c r="H108" s="6">
        <v>3.3125</v>
      </c>
      <c r="I108" s="6">
        <v>149.75</v>
      </c>
      <c r="J108" s="6">
        <v>8.0418322723292235</v>
      </c>
      <c r="K108" s="6">
        <v>4.1009832820273042E-4</v>
      </c>
      <c r="L108" s="6">
        <v>3.2979419705689789E-3</v>
      </c>
      <c r="M108" s="6">
        <v>13.999060295330031</v>
      </c>
      <c r="N108" s="6">
        <v>3.0619735079833701E-2</v>
      </c>
      <c r="O108" s="6">
        <v>5225</v>
      </c>
      <c r="P108" s="6">
        <v>82.500360176040658</v>
      </c>
      <c r="Q108" s="6">
        <v>1292.5808</v>
      </c>
      <c r="R108" s="6">
        <v>7653.3489534883729</v>
      </c>
      <c r="S108" s="6">
        <v>13.227559997608781</v>
      </c>
      <c r="T108" s="6">
        <f t="shared" si="22"/>
        <v>8.9887608491679778</v>
      </c>
      <c r="U108" s="6" t="e">
        <f t="shared" si="37"/>
        <v>#N/A</v>
      </c>
      <c r="V108" s="6">
        <f t="shared" si="23"/>
        <v>8.5060022284783194</v>
      </c>
      <c r="W108" s="6">
        <f t="shared" si="24"/>
        <v>9.4715194698576344</v>
      </c>
      <c r="X108" s="6" t="e">
        <f t="shared" si="38"/>
        <v>#N/A</v>
      </c>
      <c r="Y108" s="6" t="e">
        <f t="shared" si="42"/>
        <v>#N/A</v>
      </c>
      <c r="Z108" s="6" t="e">
        <f t="shared" si="42"/>
        <v>#N/A</v>
      </c>
      <c r="AA108" s="6" t="e">
        <f t="shared" si="42"/>
        <v>#N/A</v>
      </c>
      <c r="AB108" s="6" t="e">
        <f t="shared" si="42"/>
        <v>#N/A</v>
      </c>
      <c r="AC108" s="6" t="e">
        <f t="shared" si="42"/>
        <v>#N/A</v>
      </c>
      <c r="AG108">
        <f t="shared" si="25"/>
        <v>-5.466666666666669E-2</v>
      </c>
      <c r="AH108">
        <f t="shared" si="26"/>
        <v>0</v>
      </c>
      <c r="AI108">
        <f t="shared" si="27"/>
        <v>0.16041666666666882</v>
      </c>
      <c r="AJ108">
        <f t="shared" si="28"/>
        <v>-0.96551724137931427</v>
      </c>
      <c r="AK108">
        <f t="shared" si="29"/>
        <v>-0.48000000000000043</v>
      </c>
      <c r="AL108">
        <f t="shared" si="30"/>
        <v>-0.43749999999999961</v>
      </c>
      <c r="AM108">
        <f t="shared" si="31"/>
        <v>0</v>
      </c>
      <c r="AN108">
        <f t="shared" si="32"/>
        <v>-4.0487949000000008</v>
      </c>
      <c r="AO108">
        <f t="shared" si="33"/>
        <v>2.3763354553415539</v>
      </c>
      <c r="AQ108">
        <f t="shared" si="34"/>
        <v>8.5060022284783194</v>
      </c>
      <c r="AR108">
        <f t="shared" si="35"/>
        <v>9.4715194698576344</v>
      </c>
      <c r="AT108" t="str">
        <f t="shared" si="36"/>
        <v>45453B</v>
      </c>
    </row>
    <row r="109" spans="1:46" hidden="1" x14ac:dyDescent="0.3">
      <c r="A109" s="17">
        <v>45453</v>
      </c>
      <c r="B109" s="18" t="s">
        <v>20</v>
      </c>
      <c r="C109" s="6">
        <v>8.3800000000000008</v>
      </c>
      <c r="D109" s="6">
        <v>37.857142857142847</v>
      </c>
      <c r="E109" s="6">
        <v>26.28142857142857</v>
      </c>
      <c r="F109" s="6">
        <v>55.63</v>
      </c>
      <c r="G109" s="6">
        <v>3.97</v>
      </c>
      <c r="H109" s="6">
        <v>3.2571428571428571</v>
      </c>
      <c r="I109" s="6">
        <v>150.85714285714289</v>
      </c>
      <c r="J109" s="6">
        <v>8.1358267238999229</v>
      </c>
      <c r="K109" s="6">
        <v>1.444748883276642E-3</v>
      </c>
      <c r="L109" s="6">
        <v>1.1754226573886681E-2</v>
      </c>
      <c r="M109" s="6">
        <v>15.82221001558514</v>
      </c>
      <c r="N109" s="6">
        <v>2.5843649800976589E-3</v>
      </c>
      <c r="O109" s="6">
        <v>5225</v>
      </c>
      <c r="P109" s="6">
        <v>81.203074784756453</v>
      </c>
      <c r="Q109" s="6">
        <v>6802.3696</v>
      </c>
      <c r="R109" s="6">
        <v>17611.514999999999</v>
      </c>
      <c r="S109" s="6">
        <v>14.30336181364029</v>
      </c>
      <c r="T109" s="6">
        <f t="shared" si="22"/>
        <v>12.069356498286115</v>
      </c>
      <c r="U109" s="6" t="e">
        <f t="shared" si="37"/>
        <v>#N/A</v>
      </c>
      <c r="V109" s="6">
        <f t="shared" si="23"/>
        <v>11.586597877596457</v>
      </c>
      <c r="W109" s="6">
        <f t="shared" si="24"/>
        <v>12.552115118975772</v>
      </c>
      <c r="X109" s="6" t="e">
        <f t="shared" si="38"/>
        <v>#N/A</v>
      </c>
      <c r="Y109" s="6" t="e">
        <f t="shared" si="42"/>
        <v>#N/A</v>
      </c>
      <c r="Z109" s="6" t="e">
        <f t="shared" si="42"/>
        <v>#N/A</v>
      </c>
      <c r="AA109" s="6" t="e">
        <f t="shared" si="42"/>
        <v>#N/A</v>
      </c>
      <c r="AB109" s="6" t="e">
        <f t="shared" si="42"/>
        <v>#N/A</v>
      </c>
      <c r="AC109" s="6" t="e">
        <f t="shared" si="42"/>
        <v>#N/A</v>
      </c>
      <c r="AG109">
        <f t="shared" si="25"/>
        <v>-4.6000000000000089E-2</v>
      </c>
      <c r="AH109">
        <f t="shared" si="26"/>
        <v>0</v>
      </c>
      <c r="AI109">
        <f t="shared" si="27"/>
        <v>-5.9523809523807834E-2</v>
      </c>
      <c r="AJ109">
        <f t="shared" si="28"/>
        <v>-0.96551724137931427</v>
      </c>
      <c r="AK109">
        <f t="shared" si="29"/>
        <v>-0.48000000000000043</v>
      </c>
      <c r="AL109">
        <f t="shared" si="30"/>
        <v>-0.71428571428571397</v>
      </c>
      <c r="AM109">
        <f t="shared" si="31"/>
        <v>0</v>
      </c>
      <c r="AN109">
        <f t="shared" si="32"/>
        <v>-3.3600713000000004</v>
      </c>
      <c r="AO109">
        <f t="shared" si="33"/>
        <v>2.1883465522001551</v>
      </c>
      <c r="AQ109">
        <f t="shared" si="34"/>
        <v>11.586597877596457</v>
      </c>
      <c r="AR109">
        <f t="shared" si="35"/>
        <v>12.552115118975772</v>
      </c>
      <c r="AT109" t="str">
        <f t="shared" si="36"/>
        <v>45453C</v>
      </c>
    </row>
    <row r="110" spans="1:46" hidden="1" x14ac:dyDescent="0.3">
      <c r="A110" s="17">
        <v>45453</v>
      </c>
      <c r="B110" s="18" t="s">
        <v>21</v>
      </c>
      <c r="C110" s="6">
        <v>8.3033333333333328</v>
      </c>
      <c r="D110" s="6">
        <v>37.777777777777779</v>
      </c>
      <c r="E110" s="6">
        <v>26.37</v>
      </c>
      <c r="F110" s="6">
        <v>55.63</v>
      </c>
      <c r="G110" s="6">
        <v>3.97</v>
      </c>
      <c r="H110" s="6">
        <v>3.223333333333334</v>
      </c>
      <c r="I110" s="6">
        <v>153.33333333333329</v>
      </c>
      <c r="J110" s="6">
        <v>8.0310920871632892</v>
      </c>
      <c r="K110" s="6">
        <v>5.5551530028265612E-3</v>
      </c>
      <c r="L110" s="6">
        <v>4.4613945323981781E-2</v>
      </c>
      <c r="M110" s="6">
        <v>18.94634234927026</v>
      </c>
      <c r="N110" s="6">
        <v>2.5829720520328262E-3</v>
      </c>
      <c r="O110" s="6">
        <v>5225</v>
      </c>
      <c r="P110" s="6">
        <v>81.25143226911473</v>
      </c>
      <c r="Q110" s="6">
        <v>26611.329600000001</v>
      </c>
      <c r="R110" s="6">
        <v>25531.544999999998</v>
      </c>
      <c r="S110" s="6">
        <v>16.824485247721189</v>
      </c>
      <c r="T110" s="6">
        <f t="shared" si="22"/>
        <v>18.641558045920696</v>
      </c>
      <c r="U110" s="6" t="e">
        <f t="shared" si="37"/>
        <v>#N/A</v>
      </c>
      <c r="V110" s="6">
        <f t="shared" si="23"/>
        <v>18.158799425231038</v>
      </c>
      <c r="W110" s="6">
        <f t="shared" si="24"/>
        <v>19.124316666610351</v>
      </c>
      <c r="X110" s="6" t="e">
        <f t="shared" si="38"/>
        <v>#N/A</v>
      </c>
      <c r="Y110" s="6" t="e">
        <f t="shared" si="42"/>
        <v>#N/A</v>
      </c>
      <c r="Z110" s="6" t="e">
        <f t="shared" si="42"/>
        <v>#N/A</v>
      </c>
      <c r="AA110" s="6" t="e">
        <f t="shared" si="42"/>
        <v>#N/A</v>
      </c>
      <c r="AB110" s="6" t="e">
        <f t="shared" si="42"/>
        <v>#N/A</v>
      </c>
      <c r="AC110" s="6" t="e">
        <f t="shared" si="42"/>
        <v>#N/A</v>
      </c>
      <c r="AG110">
        <f t="shared" si="25"/>
        <v>-3.0666666666666488E-2</v>
      </c>
      <c r="AH110">
        <f t="shared" si="26"/>
        <v>0</v>
      </c>
      <c r="AI110">
        <f t="shared" si="27"/>
        <v>-0.13333333333333347</v>
      </c>
      <c r="AJ110">
        <f t="shared" si="28"/>
        <v>-0.96551724137931427</v>
      </c>
      <c r="AK110">
        <f t="shared" si="29"/>
        <v>-0.48000000000000043</v>
      </c>
      <c r="AL110">
        <f t="shared" si="30"/>
        <v>-0.88333333333332931</v>
      </c>
      <c r="AM110">
        <f t="shared" si="31"/>
        <v>0</v>
      </c>
      <c r="AN110">
        <f t="shared" si="32"/>
        <v>-0.88395130000000022</v>
      </c>
      <c r="AO110">
        <f t="shared" si="33"/>
        <v>2.3978158256734226</v>
      </c>
      <c r="AQ110">
        <f t="shared" si="34"/>
        <v>18.158799425231038</v>
      </c>
      <c r="AR110">
        <f t="shared" si="35"/>
        <v>19.124316666610351</v>
      </c>
      <c r="AT110" t="str">
        <f t="shared" si="36"/>
        <v>45453D</v>
      </c>
    </row>
    <row r="111" spans="1:46" hidden="1" x14ac:dyDescent="0.3">
      <c r="A111" s="17">
        <v>45454</v>
      </c>
      <c r="B111" s="18" t="s">
        <v>22</v>
      </c>
      <c r="C111" s="6">
        <v>8.1</v>
      </c>
      <c r="D111" s="6">
        <v>38</v>
      </c>
      <c r="E111" s="6">
        <v>25.841249999999999</v>
      </c>
      <c r="F111" s="6">
        <v>55.63</v>
      </c>
      <c r="G111" s="6">
        <v>3.97</v>
      </c>
      <c r="H111" s="6">
        <v>3.2062499999999998</v>
      </c>
      <c r="I111" s="6">
        <v>150.375</v>
      </c>
      <c r="J111" s="6">
        <v>7.7198192353312711</v>
      </c>
      <c r="K111" s="6">
        <v>1.1308315032729331E-2</v>
      </c>
      <c r="L111" s="6">
        <v>8.7298147908849683E-2</v>
      </c>
      <c r="M111" s="6">
        <v>22.573267356271241</v>
      </c>
      <c r="N111" s="6">
        <v>2.584730161965441E-3</v>
      </c>
      <c r="O111" s="6">
        <v>5225</v>
      </c>
      <c r="P111" s="6">
        <v>81.307627517357346</v>
      </c>
      <c r="Q111" s="6">
        <v>46969.112000000001</v>
      </c>
      <c r="R111" s="6">
        <v>21660.06</v>
      </c>
      <c r="S111" s="6">
        <v>21.167751129587099</v>
      </c>
      <c r="T111" s="6">
        <f t="shared" si="22"/>
        <v>25.34769093158571</v>
      </c>
      <c r="U111" s="6" t="e">
        <f t="shared" si="37"/>
        <v>#N/A</v>
      </c>
      <c r="V111" s="6">
        <f t="shared" si="23"/>
        <v>24.864932310896052</v>
      </c>
      <c r="W111" s="6">
        <f t="shared" si="24"/>
        <v>25.830449552275365</v>
      </c>
      <c r="X111" s="6" t="e">
        <f t="shared" si="38"/>
        <v>#N/A</v>
      </c>
      <c r="Y111" s="6" t="e">
        <f t="shared" si="42"/>
        <v>#N/A</v>
      </c>
      <c r="Z111" s="6" t="e">
        <f t="shared" si="42"/>
        <v>#N/A</v>
      </c>
      <c r="AA111" s="6" t="e">
        <f t="shared" si="42"/>
        <v>#N/A</v>
      </c>
      <c r="AB111" s="6" t="e">
        <f t="shared" si="42"/>
        <v>#N/A</v>
      </c>
      <c r="AC111" s="6" t="e">
        <f t="shared" si="42"/>
        <v>#N/A</v>
      </c>
      <c r="AG111">
        <f t="shared" si="25"/>
        <v>1.0000000000000142E-2</v>
      </c>
      <c r="AH111">
        <f t="shared" si="26"/>
        <v>0</v>
      </c>
      <c r="AI111">
        <f t="shared" si="27"/>
        <v>0.30729166666666846</v>
      </c>
      <c r="AJ111">
        <f t="shared" si="28"/>
        <v>-0.96551724137931427</v>
      </c>
      <c r="AK111">
        <f t="shared" si="29"/>
        <v>-0.48000000000000043</v>
      </c>
      <c r="AL111">
        <f t="shared" si="30"/>
        <v>-0.96875000000000044</v>
      </c>
      <c r="AM111">
        <f t="shared" si="31"/>
        <v>0</v>
      </c>
      <c r="AN111">
        <f t="shared" si="32"/>
        <v>1.6607714999999998</v>
      </c>
      <c r="AO111">
        <f t="shared" si="33"/>
        <v>3.0203615293374586</v>
      </c>
      <c r="AQ111">
        <f t="shared" si="34"/>
        <v>24.864932310896052</v>
      </c>
      <c r="AR111">
        <f t="shared" si="35"/>
        <v>25.830449552275365</v>
      </c>
      <c r="AT111" t="str">
        <f t="shared" si="36"/>
        <v>45454A</v>
      </c>
    </row>
    <row r="112" spans="1:46" hidden="1" x14ac:dyDescent="0.3">
      <c r="A112" s="17">
        <v>45454</v>
      </c>
      <c r="B112" s="18" t="s">
        <v>19</v>
      </c>
      <c r="C112" s="6">
        <v>7.6833333333333336</v>
      </c>
      <c r="D112" s="6">
        <v>36.555555555555557</v>
      </c>
      <c r="E112" s="6">
        <v>26.012222222222221</v>
      </c>
      <c r="F112" s="6">
        <v>55.96</v>
      </c>
      <c r="G112" s="6">
        <v>3.97</v>
      </c>
      <c r="H112" s="6">
        <v>3.0866666666666669</v>
      </c>
      <c r="I112" s="6">
        <v>144.7777777777778</v>
      </c>
      <c r="J112" s="6">
        <v>8.0387928979998478</v>
      </c>
      <c r="K112" s="6">
        <v>5.0462435716159756E-3</v>
      </c>
      <c r="L112" s="6">
        <v>4.0565706985083889E-2</v>
      </c>
      <c r="M112" s="6">
        <v>26.674373669667428</v>
      </c>
      <c r="N112" s="6">
        <v>2.5867305581402729E-3</v>
      </c>
      <c r="O112" s="6">
        <v>5225</v>
      </c>
      <c r="P112" s="6">
        <v>81.371171056810155</v>
      </c>
      <c r="Q112" s="6">
        <v>21018.19051428571</v>
      </c>
      <c r="R112" s="6">
        <v>23356.838898862199</v>
      </c>
      <c r="S112" s="6">
        <v>25.534330989503751</v>
      </c>
      <c r="T112" s="6">
        <f t="shared" si="22"/>
        <v>24.837539152482364</v>
      </c>
      <c r="U112" s="6" t="e">
        <f t="shared" si="37"/>
        <v>#N/A</v>
      </c>
      <c r="V112" s="6">
        <f t="shared" si="23"/>
        <v>24.070297773172019</v>
      </c>
      <c r="W112" s="6">
        <f t="shared" si="24"/>
        <v>25.604780531792709</v>
      </c>
      <c r="X112" s="6" t="e">
        <f t="shared" si="38"/>
        <v>#N/A</v>
      </c>
      <c r="Y112" s="6" t="e">
        <f t="shared" si="42"/>
        <v>#N/A</v>
      </c>
      <c r="Z112" s="6" t="e">
        <f t="shared" si="42"/>
        <v>#N/A</v>
      </c>
      <c r="AA112" s="6" t="e">
        <f t="shared" si="42"/>
        <v>#N/A</v>
      </c>
      <c r="AB112" s="6" t="e">
        <f t="shared" si="42"/>
        <v>#N/A</v>
      </c>
      <c r="AC112" s="6" t="e">
        <f t="shared" si="42"/>
        <v>#N/A</v>
      </c>
      <c r="AG112">
        <f t="shared" si="25"/>
        <v>9.3333333333333365E-2</v>
      </c>
      <c r="AH112">
        <f t="shared" si="26"/>
        <v>0</v>
      </c>
      <c r="AI112">
        <f t="shared" si="27"/>
        <v>0.16481481481481691</v>
      </c>
      <c r="AJ112">
        <f t="shared" si="28"/>
        <v>-1.5344827586206906</v>
      </c>
      <c r="AK112">
        <f t="shared" si="29"/>
        <v>-0.48000000000000043</v>
      </c>
      <c r="AL112">
        <f t="shared" si="30"/>
        <v>-1.5666666666666651</v>
      </c>
      <c r="AM112">
        <f t="shared" si="31"/>
        <v>0</v>
      </c>
      <c r="AN112">
        <f t="shared" si="32"/>
        <v>-1.5830936857142865</v>
      </c>
      <c r="AO112">
        <f t="shared" si="33"/>
        <v>2.3824142040003053</v>
      </c>
      <c r="AQ112">
        <f t="shared" si="34"/>
        <v>24.070297773172019</v>
      </c>
      <c r="AR112">
        <f t="shared" si="35"/>
        <v>25.604780531792709</v>
      </c>
      <c r="AT112" t="str">
        <f t="shared" si="36"/>
        <v>45454B</v>
      </c>
    </row>
    <row r="113" spans="1:46" hidden="1" x14ac:dyDescent="0.3">
      <c r="A113" s="17">
        <v>45454</v>
      </c>
      <c r="B113" s="18" t="s">
        <v>20</v>
      </c>
      <c r="C113" s="6">
        <v>7.5285714285714294</v>
      </c>
      <c r="D113" s="6">
        <v>36.363636363636367</v>
      </c>
      <c r="E113" s="6">
        <v>25.833636363636369</v>
      </c>
      <c r="F113" s="6">
        <v>55.96</v>
      </c>
      <c r="G113" s="6">
        <v>3.53</v>
      </c>
      <c r="H113" s="6">
        <v>3.0509090909090908</v>
      </c>
      <c r="I113" s="6">
        <v>147.6363636363636</v>
      </c>
      <c r="J113" s="6">
        <v>7.7635567580536717</v>
      </c>
      <c r="K113" s="6">
        <v>4.8236781323662461E-3</v>
      </c>
      <c r="L113" s="6">
        <v>3.7448898963207682E-2</v>
      </c>
      <c r="M113" s="6">
        <v>27.047683587922471</v>
      </c>
      <c r="N113" s="6">
        <v>2.58700678609452E-3</v>
      </c>
      <c r="O113" s="6">
        <v>5225</v>
      </c>
      <c r="P113" s="6">
        <v>81.376955260852398</v>
      </c>
      <c r="Q113" s="6">
        <v>24579.637599999998</v>
      </c>
      <c r="R113" s="6">
        <v>32637.028999999999</v>
      </c>
      <c r="S113" s="6">
        <v>27.047682534260598</v>
      </c>
      <c r="T113" s="6">
        <f t="shared" si="22"/>
        <v>28.687512049972309</v>
      </c>
      <c r="U113" s="6" t="e">
        <f t="shared" si="37"/>
        <v>#N/A</v>
      </c>
      <c r="V113" s="6">
        <f t="shared" si="23"/>
        <v>27.920270670661964</v>
      </c>
      <c r="W113" s="6">
        <f t="shared" si="24"/>
        <v>29.454753429282654</v>
      </c>
      <c r="X113" s="6" t="e">
        <f t="shared" si="38"/>
        <v>#N/A</v>
      </c>
      <c r="Y113" s="6" t="e">
        <f t="shared" si="42"/>
        <v>#N/A</v>
      </c>
      <c r="Z113" s="6" t="e">
        <f t="shared" si="42"/>
        <v>#N/A</v>
      </c>
      <c r="AA113" s="6" t="e">
        <f t="shared" si="42"/>
        <v>#N/A</v>
      </c>
      <c r="AB113" s="6" t="e">
        <f t="shared" si="42"/>
        <v>#N/A</v>
      </c>
      <c r="AC113" s="6" t="e">
        <f t="shared" si="42"/>
        <v>#N/A</v>
      </c>
      <c r="AG113">
        <f t="shared" si="25"/>
        <v>0.12428571428571421</v>
      </c>
      <c r="AH113">
        <f t="shared" si="26"/>
        <v>0</v>
      </c>
      <c r="AI113">
        <f t="shared" si="27"/>
        <v>0.31363636363635966</v>
      </c>
      <c r="AJ113">
        <f t="shared" si="28"/>
        <v>-1.5344827586206906</v>
      </c>
      <c r="AK113">
        <f t="shared" si="29"/>
        <v>0.84000000000000075</v>
      </c>
      <c r="AL113">
        <f t="shared" si="30"/>
        <v>-1.7454545454545456</v>
      </c>
      <c r="AM113">
        <f t="shared" si="31"/>
        <v>0</v>
      </c>
      <c r="AN113">
        <f t="shared" si="32"/>
        <v>-1.1379128000000005</v>
      </c>
      <c r="AO113">
        <f t="shared" si="33"/>
        <v>2.9328864838926574</v>
      </c>
      <c r="AQ113">
        <f t="shared" si="34"/>
        <v>27.920270670661964</v>
      </c>
      <c r="AR113">
        <f t="shared" si="35"/>
        <v>29.454753429282654</v>
      </c>
      <c r="AT113" t="str">
        <f t="shared" si="36"/>
        <v>45454C</v>
      </c>
    </row>
    <row r="114" spans="1:46" hidden="1" x14ac:dyDescent="0.3">
      <c r="A114" s="17">
        <v>45454</v>
      </c>
      <c r="B114" s="18" t="s">
        <v>21</v>
      </c>
      <c r="C114" s="6">
        <v>7.3857142857142861</v>
      </c>
      <c r="D114" s="6">
        <v>36.090909090909093</v>
      </c>
      <c r="E114" s="6">
        <v>26.072727272727271</v>
      </c>
      <c r="F114" s="6">
        <v>55.96</v>
      </c>
      <c r="G114" s="6">
        <v>3.53</v>
      </c>
      <c r="H114" s="6">
        <v>2.9927272727272731</v>
      </c>
      <c r="I114" s="6">
        <v>148.90909090909091</v>
      </c>
      <c r="J114" s="6">
        <v>8.572901643302405</v>
      </c>
      <c r="K114" s="6">
        <v>6.1646217222223847E-3</v>
      </c>
      <c r="L114" s="6">
        <v>5.2848695692777982E-2</v>
      </c>
      <c r="M114" s="6">
        <v>27.047683862772079</v>
      </c>
      <c r="N114" s="6">
        <v>2.586964424562179E-3</v>
      </c>
      <c r="O114" s="6">
        <v>5225</v>
      </c>
      <c r="P114" s="6">
        <v>81.376955260439246</v>
      </c>
      <c r="Q114" s="6">
        <v>36477.132642538192</v>
      </c>
      <c r="R114" s="6">
        <v>31709.850988836661</v>
      </c>
      <c r="S114" s="6">
        <v>27.0476837494307</v>
      </c>
      <c r="T114" s="6">
        <f t="shared" si="22"/>
        <v>27.978532096666232</v>
      </c>
      <c r="U114" s="6" t="e">
        <f t="shared" si="37"/>
        <v>#N/A</v>
      </c>
      <c r="V114" s="6">
        <f t="shared" si="23"/>
        <v>27.211290717355887</v>
      </c>
      <c r="W114" s="6">
        <f t="shared" si="24"/>
        <v>28.745773475976577</v>
      </c>
      <c r="X114" s="6" t="e">
        <f t="shared" si="38"/>
        <v>#N/A</v>
      </c>
      <c r="Y114" s="6" t="e">
        <f t="shared" si="42"/>
        <v>#N/A</v>
      </c>
      <c r="Z114" s="6" t="e">
        <f t="shared" si="42"/>
        <v>#N/A</v>
      </c>
      <c r="AA114" s="6" t="e">
        <f t="shared" si="42"/>
        <v>#N/A</v>
      </c>
      <c r="AB114" s="6" t="e">
        <f t="shared" si="42"/>
        <v>#N/A</v>
      </c>
      <c r="AC114" s="6" t="e">
        <f t="shared" si="42"/>
        <v>#N/A</v>
      </c>
      <c r="AG114">
        <f t="shared" si="25"/>
        <v>0.15285714285714286</v>
      </c>
      <c r="AH114">
        <f t="shared" si="26"/>
        <v>0</v>
      </c>
      <c r="AI114">
        <f t="shared" si="27"/>
        <v>0.11439393939394193</v>
      </c>
      <c r="AJ114">
        <f t="shared" si="28"/>
        <v>-1.5344827586206906</v>
      </c>
      <c r="AK114">
        <f t="shared" si="29"/>
        <v>0.84000000000000075</v>
      </c>
      <c r="AL114">
        <f t="shared" si="30"/>
        <v>-2.0363636363636339</v>
      </c>
      <c r="AM114">
        <f t="shared" si="31"/>
        <v>0</v>
      </c>
      <c r="AN114">
        <f t="shared" si="32"/>
        <v>0.34927408031727375</v>
      </c>
      <c r="AO114">
        <f t="shared" si="33"/>
        <v>1.3141967133951908</v>
      </c>
      <c r="AQ114">
        <f t="shared" si="34"/>
        <v>27.211290717355887</v>
      </c>
      <c r="AR114">
        <f t="shared" si="35"/>
        <v>28.745773475976577</v>
      </c>
      <c r="AT114" t="str">
        <f t="shared" si="36"/>
        <v>45454D</v>
      </c>
    </row>
    <row r="115" spans="1:46" hidden="1" x14ac:dyDescent="0.3">
      <c r="A115" s="17">
        <v>45455</v>
      </c>
      <c r="B115" s="18" t="s">
        <v>22</v>
      </c>
      <c r="C115" s="6">
        <v>7.3</v>
      </c>
      <c r="D115" s="6">
        <v>37.200000000000003</v>
      </c>
      <c r="E115" s="6">
        <v>25.896000000000001</v>
      </c>
      <c r="F115" s="6">
        <v>55.96</v>
      </c>
      <c r="G115" s="6">
        <v>3.53</v>
      </c>
      <c r="H115" s="6">
        <v>3.048</v>
      </c>
      <c r="I115" s="6">
        <v>154.4</v>
      </c>
      <c r="J115" s="6">
        <v>12.38848805634213</v>
      </c>
      <c r="K115" s="6">
        <v>7.3768848862551294E-3</v>
      </c>
      <c r="L115" s="6">
        <v>9.1388450306382416E-2</v>
      </c>
      <c r="M115" s="6">
        <v>27.047683822846061</v>
      </c>
      <c r="N115" s="6">
        <v>2.5872603022432761E-3</v>
      </c>
      <c r="O115" s="6">
        <v>5224.9999999999991</v>
      </c>
      <c r="P115" s="6">
        <v>81.37695529825028</v>
      </c>
      <c r="Q115" s="6">
        <v>32713.468799999999</v>
      </c>
      <c r="R115" s="6">
        <v>10279.98</v>
      </c>
      <c r="S115" s="6">
        <v>27.047683182889799</v>
      </c>
      <c r="T115" s="6">
        <f t="shared" si="22"/>
        <v>17.638946597518125</v>
      </c>
      <c r="U115" s="6" t="e">
        <f t="shared" si="37"/>
        <v>#N/A</v>
      </c>
      <c r="V115" s="6">
        <f t="shared" si="23"/>
        <v>16.871705218207779</v>
      </c>
      <c r="W115" s="6">
        <f t="shared" si="24"/>
        <v>18.40618797682847</v>
      </c>
      <c r="X115" s="6" t="e">
        <f t="shared" si="38"/>
        <v>#N/A</v>
      </c>
      <c r="Y115" s="6" t="e">
        <f t="shared" si="42"/>
        <v>#N/A</v>
      </c>
      <c r="Z115" s="6" t="e">
        <f t="shared" si="42"/>
        <v>#N/A</v>
      </c>
      <c r="AA115" s="6" t="e">
        <f t="shared" si="42"/>
        <v>#N/A</v>
      </c>
      <c r="AB115" s="6" t="e">
        <f t="shared" si="42"/>
        <v>#N/A</v>
      </c>
      <c r="AC115" s="6" t="e">
        <f t="shared" si="42"/>
        <v>#N/A</v>
      </c>
      <c r="AG115">
        <f t="shared" si="25"/>
        <v>0.17000000000000012</v>
      </c>
      <c r="AH115">
        <f t="shared" si="26"/>
        <v>0</v>
      </c>
      <c r="AI115">
        <f t="shared" si="27"/>
        <v>0.26166666666666671</v>
      </c>
      <c r="AJ115">
        <f t="shared" si="28"/>
        <v>-1.5344827586206906</v>
      </c>
      <c r="AK115">
        <f t="shared" si="29"/>
        <v>0.84000000000000075</v>
      </c>
      <c r="AL115">
        <f t="shared" si="30"/>
        <v>-1.7599999999999993</v>
      </c>
      <c r="AM115">
        <f t="shared" si="31"/>
        <v>0</v>
      </c>
      <c r="AN115">
        <f t="shared" si="32"/>
        <v>-0.12118390000000046</v>
      </c>
      <c r="AO115">
        <f t="shared" si="33"/>
        <v>-6.3169761126842587</v>
      </c>
      <c r="AQ115">
        <f t="shared" si="34"/>
        <v>16.871705218207779</v>
      </c>
      <c r="AR115">
        <f t="shared" si="35"/>
        <v>18.40618797682847</v>
      </c>
      <c r="AT115" t="str">
        <f t="shared" si="36"/>
        <v>45455A</v>
      </c>
    </row>
    <row r="116" spans="1:46" hidden="1" x14ac:dyDescent="0.3">
      <c r="A116" s="17">
        <v>45455</v>
      </c>
      <c r="B116" s="18" t="s">
        <v>19</v>
      </c>
      <c r="C116" s="6">
        <v>7.5333333333333341</v>
      </c>
      <c r="D116" s="6">
        <v>36.285714285714278</v>
      </c>
      <c r="E116" s="6">
        <v>27.35285714285714</v>
      </c>
      <c r="F116" s="6">
        <v>54.89</v>
      </c>
      <c r="G116" s="6">
        <v>3.53</v>
      </c>
      <c r="H116" s="6">
        <v>3.157142857142857</v>
      </c>
      <c r="I116" s="6">
        <v>159</v>
      </c>
      <c r="J116" s="6">
        <v>10.3950756550525</v>
      </c>
      <c r="K116" s="6">
        <v>3.7544052910337242E-3</v>
      </c>
      <c r="L116" s="6">
        <v>3.902732704002497E-2</v>
      </c>
      <c r="M116" s="6">
        <v>26.979967312084341</v>
      </c>
      <c r="N116" s="6">
        <v>2.5868831997732269E-3</v>
      </c>
      <c r="O116" s="6">
        <v>5225</v>
      </c>
      <c r="P116" s="6">
        <v>81.375906029855457</v>
      </c>
      <c r="Q116" s="6">
        <v>16377.5616972549</v>
      </c>
      <c r="R116" s="6">
        <v>0</v>
      </c>
      <c r="S116" s="6">
        <v>25.92828430141601</v>
      </c>
      <c r="T116" s="6">
        <f t="shared" si="22"/>
        <v>18.438482794595977</v>
      </c>
      <c r="U116" s="6" t="e">
        <f t="shared" si="37"/>
        <v>#N/A</v>
      </c>
      <c r="V116" s="6">
        <f t="shared" si="23"/>
        <v>18.59365520838908</v>
      </c>
      <c r="W116" s="6">
        <f t="shared" si="24"/>
        <v>18.283310380802874</v>
      </c>
      <c r="X116" s="6" t="e">
        <f t="shared" si="38"/>
        <v>#N/A</v>
      </c>
      <c r="Y116" s="6" t="e">
        <f t="shared" si="42"/>
        <v>#N/A</v>
      </c>
      <c r="Z116" s="6" t="e">
        <f t="shared" si="42"/>
        <v>#N/A</v>
      </c>
      <c r="AA116" s="6" t="e">
        <f t="shared" si="42"/>
        <v>#N/A</v>
      </c>
      <c r="AB116" s="6" t="e">
        <f t="shared" si="42"/>
        <v>#N/A</v>
      </c>
      <c r="AC116" s="6" t="e">
        <f t="shared" si="42"/>
        <v>#N/A</v>
      </c>
      <c r="AG116">
        <f t="shared" si="25"/>
        <v>0.12333333333333325</v>
      </c>
      <c r="AH116">
        <f t="shared" si="26"/>
        <v>0</v>
      </c>
      <c r="AI116">
        <f t="shared" si="27"/>
        <v>-0.952380952380949</v>
      </c>
      <c r="AJ116">
        <f t="shared" si="28"/>
        <v>0.31034482758620641</v>
      </c>
      <c r="AK116">
        <f t="shared" si="29"/>
        <v>0.84000000000000075</v>
      </c>
      <c r="AL116">
        <f t="shared" si="30"/>
        <v>-1.2142857142857144</v>
      </c>
      <c r="AM116">
        <f t="shared" si="31"/>
        <v>0</v>
      </c>
      <c r="AN116">
        <f t="shared" si="32"/>
        <v>-2.1631722878431376</v>
      </c>
      <c r="AO116">
        <f t="shared" si="33"/>
        <v>-2.3301513101049984</v>
      </c>
      <c r="AQ116">
        <f t="shared" si="34"/>
        <v>18.59365520838908</v>
      </c>
      <c r="AR116">
        <f t="shared" si="35"/>
        <v>18.283310380802874</v>
      </c>
      <c r="AT116" t="str">
        <f t="shared" si="36"/>
        <v>45455B</v>
      </c>
    </row>
    <row r="117" spans="1:46" hidden="1" x14ac:dyDescent="0.3">
      <c r="A117" s="17">
        <v>45455</v>
      </c>
      <c r="B117" s="18" t="s">
        <v>20</v>
      </c>
      <c r="C117" s="6">
        <v>7.45</v>
      </c>
      <c r="D117" s="6">
        <v>35.777777777777779</v>
      </c>
      <c r="E117" s="6">
        <v>27.463333333333331</v>
      </c>
      <c r="F117" s="6">
        <v>54.89</v>
      </c>
      <c r="G117" s="6">
        <v>3.41</v>
      </c>
      <c r="H117" s="6">
        <v>3.1533333333333329</v>
      </c>
      <c r="I117" s="6">
        <v>158.11111111111109</v>
      </c>
      <c r="J117" s="6">
        <v>10.61501917814806</v>
      </c>
      <c r="K117" s="6">
        <v>1.8708171670350009E-3</v>
      </c>
      <c r="L117" s="6">
        <v>1.985876010688516E-2</v>
      </c>
      <c r="M117" s="6">
        <v>27.04763212902342</v>
      </c>
      <c r="N117" s="6">
        <v>2.5869317222961311E-3</v>
      </c>
      <c r="O117" s="6">
        <v>5225</v>
      </c>
      <c r="P117" s="6">
        <v>81.376954500861586</v>
      </c>
      <c r="Q117" s="6">
        <v>9469.525599999999</v>
      </c>
      <c r="R117" s="6">
        <v>0</v>
      </c>
      <c r="S117" s="6">
        <v>26.4934890081561</v>
      </c>
      <c r="T117" s="6">
        <f t="shared" si="22"/>
        <v>17.468311608742624</v>
      </c>
      <c r="U117" s="6" t="e">
        <f t="shared" si="37"/>
        <v>#N/A</v>
      </c>
      <c r="V117" s="6">
        <f t="shared" si="23"/>
        <v>17.623484022535727</v>
      </c>
      <c r="W117" s="6">
        <f t="shared" si="24"/>
        <v>17.313139194949521</v>
      </c>
      <c r="X117" s="6" t="e">
        <f t="shared" si="38"/>
        <v>#N/A</v>
      </c>
      <c r="Y117" s="6" t="e">
        <f t="shared" ref="Y117:AC126" si="43">VLOOKUP($AT117,hhh,3,0)</f>
        <v>#N/A</v>
      </c>
      <c r="Z117" s="6" t="e">
        <f t="shared" si="43"/>
        <v>#N/A</v>
      </c>
      <c r="AA117" s="6" t="e">
        <f t="shared" si="43"/>
        <v>#N/A</v>
      </c>
      <c r="AB117" s="6" t="e">
        <f t="shared" si="43"/>
        <v>#N/A</v>
      </c>
      <c r="AC117" s="6" t="e">
        <f t="shared" si="43"/>
        <v>#N/A</v>
      </c>
      <c r="AG117">
        <f t="shared" si="25"/>
        <v>0.14000000000000004</v>
      </c>
      <c r="AH117">
        <f t="shared" si="26"/>
        <v>0</v>
      </c>
      <c r="AI117">
        <f t="shared" si="27"/>
        <v>-1.0444444444444421</v>
      </c>
      <c r="AJ117">
        <f t="shared" si="28"/>
        <v>0.31034482758620641</v>
      </c>
      <c r="AK117">
        <f t="shared" si="29"/>
        <v>1.1999999999999995</v>
      </c>
      <c r="AL117">
        <f t="shared" si="30"/>
        <v>-1.2333333333333352</v>
      </c>
      <c r="AM117">
        <f t="shared" si="31"/>
        <v>0</v>
      </c>
      <c r="AN117">
        <f t="shared" si="32"/>
        <v>-3.0266768000000002</v>
      </c>
      <c r="AO117">
        <f t="shared" si="33"/>
        <v>-2.7700383562961193</v>
      </c>
      <c r="AQ117">
        <f t="shared" si="34"/>
        <v>17.623484022535727</v>
      </c>
      <c r="AR117">
        <f t="shared" si="35"/>
        <v>17.313139194949521</v>
      </c>
      <c r="AT117" t="str">
        <f t="shared" si="36"/>
        <v>45455C</v>
      </c>
    </row>
    <row r="118" spans="1:46" hidden="1" x14ac:dyDescent="0.3">
      <c r="A118" s="17">
        <v>45455</v>
      </c>
      <c r="B118" s="18" t="s">
        <v>21</v>
      </c>
      <c r="C118" s="6">
        <v>7.7642857142857142</v>
      </c>
      <c r="D118" s="6">
        <v>35.444444444444443</v>
      </c>
      <c r="E118" s="6">
        <v>27.93333333333333</v>
      </c>
      <c r="F118" s="6">
        <v>54.89</v>
      </c>
      <c r="G118" s="6">
        <v>3.41</v>
      </c>
      <c r="H118" s="6">
        <v>3.1911111111111108</v>
      </c>
      <c r="I118" s="6">
        <v>158.11111111111109</v>
      </c>
      <c r="J118" s="6">
        <v>10.44671222273384</v>
      </c>
      <c r="K118" s="6">
        <v>3.9416406459724827E-3</v>
      </c>
      <c r="L118" s="6">
        <v>4.1177185513905257E-2</v>
      </c>
      <c r="M118" s="6">
        <v>23.437769293019361</v>
      </c>
      <c r="N118" s="6">
        <v>2.5851890233049642E-3</v>
      </c>
      <c r="O118" s="6">
        <v>5225</v>
      </c>
      <c r="P118" s="6">
        <v>81.32102206562503</v>
      </c>
      <c r="Q118" s="6">
        <v>20385.529634782612</v>
      </c>
      <c r="R118" s="6">
        <v>0</v>
      </c>
      <c r="S118" s="6">
        <v>22.603708946264259</v>
      </c>
      <c r="T118" s="6">
        <f t="shared" si="22"/>
        <v>15.293928267279913</v>
      </c>
      <c r="U118" s="6" t="e">
        <f t="shared" si="37"/>
        <v>#N/A</v>
      </c>
      <c r="V118" s="6">
        <f t="shared" si="23"/>
        <v>15.449100681073016</v>
      </c>
      <c r="W118" s="6">
        <f t="shared" si="24"/>
        <v>15.13875585348681</v>
      </c>
      <c r="X118" s="6" t="e">
        <f t="shared" si="38"/>
        <v>#N/A</v>
      </c>
      <c r="Y118" s="6" t="e">
        <f t="shared" si="43"/>
        <v>#N/A</v>
      </c>
      <c r="Z118" s="6" t="e">
        <f t="shared" si="43"/>
        <v>#N/A</v>
      </c>
      <c r="AA118" s="6" t="e">
        <f t="shared" si="43"/>
        <v>#N/A</v>
      </c>
      <c r="AB118" s="6" t="e">
        <f t="shared" si="43"/>
        <v>#N/A</v>
      </c>
      <c r="AC118" s="6" t="e">
        <f t="shared" si="43"/>
        <v>#N/A</v>
      </c>
      <c r="AG118">
        <f t="shared" si="25"/>
        <v>7.7142857142857235E-2</v>
      </c>
      <c r="AH118">
        <f t="shared" si="26"/>
        <v>0</v>
      </c>
      <c r="AI118">
        <f t="shared" si="27"/>
        <v>-1.4361111111111078</v>
      </c>
      <c r="AJ118">
        <f t="shared" si="28"/>
        <v>0.31034482758620641</v>
      </c>
      <c r="AK118">
        <f t="shared" si="29"/>
        <v>1.1999999999999995</v>
      </c>
      <c r="AL118">
        <f t="shared" si="30"/>
        <v>-1.0444444444444458</v>
      </c>
      <c r="AM118">
        <f t="shared" si="31"/>
        <v>0</v>
      </c>
      <c r="AN118">
        <f t="shared" si="32"/>
        <v>-1.662176295652174</v>
      </c>
      <c r="AO118">
        <f t="shared" si="33"/>
        <v>-2.4334244454676792</v>
      </c>
      <c r="AQ118">
        <f t="shared" si="34"/>
        <v>15.449100681073016</v>
      </c>
      <c r="AR118">
        <f t="shared" si="35"/>
        <v>15.13875585348681</v>
      </c>
      <c r="AT118" t="str">
        <f t="shared" si="36"/>
        <v>45455D</v>
      </c>
    </row>
    <row r="119" spans="1:46" hidden="1" x14ac:dyDescent="0.3">
      <c r="A119" s="17">
        <v>45456</v>
      </c>
      <c r="B119" s="18" t="s">
        <v>22</v>
      </c>
      <c r="C119" s="6">
        <v>8.2928571428571427</v>
      </c>
      <c r="D119" s="6">
        <v>38.222222222222221</v>
      </c>
      <c r="E119" s="6">
        <v>27.426666666666669</v>
      </c>
      <c r="F119" s="6">
        <v>54.89</v>
      </c>
      <c r="G119" s="6">
        <v>3.41</v>
      </c>
      <c r="H119" s="6">
        <v>3.4266666666666672</v>
      </c>
      <c r="I119" s="6">
        <v>159.66666666666671</v>
      </c>
      <c r="J119" s="6">
        <v>9.8125198045750412</v>
      </c>
      <c r="K119" s="6">
        <v>1.4056488831377639E-2</v>
      </c>
      <c r="L119" s="6">
        <v>0.13792957504068101</v>
      </c>
      <c r="M119" s="6">
        <v>18.2275144923473</v>
      </c>
      <c r="N119" s="6">
        <v>2.582632525626391E-3</v>
      </c>
      <c r="O119" s="6">
        <v>5225</v>
      </c>
      <c r="P119" s="6">
        <v>81.240293753952628</v>
      </c>
      <c r="Q119" s="6">
        <v>70522.840000000011</v>
      </c>
      <c r="R119" s="6">
        <v>0</v>
      </c>
      <c r="S119" s="6">
        <v>17.01741517790115</v>
      </c>
      <c r="T119" s="6">
        <f t="shared" si="22"/>
        <v>19.11350781286334</v>
      </c>
      <c r="U119" s="6" t="e">
        <f t="shared" si="37"/>
        <v>#N/A</v>
      </c>
      <c r="V119" s="6">
        <f t="shared" si="23"/>
        <v>19.268680226656443</v>
      </c>
      <c r="W119" s="6">
        <f t="shared" si="24"/>
        <v>18.958335399070236</v>
      </c>
      <c r="X119" s="6" t="e">
        <f t="shared" si="38"/>
        <v>#N/A</v>
      </c>
      <c r="Y119" s="6" t="e">
        <f t="shared" si="43"/>
        <v>#N/A</v>
      </c>
      <c r="Z119" s="6" t="e">
        <f t="shared" si="43"/>
        <v>#N/A</v>
      </c>
      <c r="AA119" s="6" t="e">
        <f t="shared" si="43"/>
        <v>#N/A</v>
      </c>
      <c r="AB119" s="6" t="e">
        <f t="shared" si="43"/>
        <v>#N/A</v>
      </c>
      <c r="AC119" s="6" t="e">
        <f t="shared" si="43"/>
        <v>#N/A</v>
      </c>
      <c r="AG119">
        <f t="shared" si="25"/>
        <v>-2.857142857142847E-2</v>
      </c>
      <c r="AH119">
        <f t="shared" si="26"/>
        <v>0</v>
      </c>
      <c r="AI119">
        <f t="shared" si="27"/>
        <v>-1.0138888888888906</v>
      </c>
      <c r="AJ119">
        <f t="shared" si="28"/>
        <v>0.31034482758620641</v>
      </c>
      <c r="AK119">
        <f t="shared" si="29"/>
        <v>1.1999999999999995</v>
      </c>
      <c r="AL119">
        <f t="shared" si="30"/>
        <v>0.13333333333333644</v>
      </c>
      <c r="AM119">
        <f t="shared" si="31"/>
        <v>0</v>
      </c>
      <c r="AN119">
        <f t="shared" si="32"/>
        <v>4.6049875000000009</v>
      </c>
      <c r="AO119">
        <f t="shared" si="33"/>
        <v>-1.1650396091500816</v>
      </c>
      <c r="AQ119">
        <f t="shared" si="34"/>
        <v>19.268680226656443</v>
      </c>
      <c r="AR119">
        <f t="shared" si="35"/>
        <v>18.958335399070236</v>
      </c>
      <c r="AT119" t="str">
        <f t="shared" si="36"/>
        <v>45456A</v>
      </c>
    </row>
    <row r="120" spans="1:46" hidden="1" x14ac:dyDescent="0.3">
      <c r="A120" s="17">
        <v>45456</v>
      </c>
      <c r="B120" s="18" t="s">
        <v>19</v>
      </c>
      <c r="C120" s="6">
        <v>8.1985714285714284</v>
      </c>
      <c r="D120" s="6">
        <v>36.875</v>
      </c>
      <c r="E120" s="6">
        <v>27.548749999999998</v>
      </c>
      <c r="F120" s="6">
        <v>55.44</v>
      </c>
      <c r="G120" s="6">
        <v>3.57</v>
      </c>
      <c r="H120" s="6">
        <v>3.22</v>
      </c>
      <c r="I120" s="6">
        <v>148.5</v>
      </c>
      <c r="J120" s="6">
        <v>8.4796333101271699</v>
      </c>
      <c r="K120" s="6">
        <v>8.1884730048212978E-3</v>
      </c>
      <c r="L120" s="6">
        <v>6.9435248450759796E-2</v>
      </c>
      <c r="M120" s="6">
        <v>19.960670626648081</v>
      </c>
      <c r="N120" s="6">
        <v>2.5834918112869151E-3</v>
      </c>
      <c r="O120" s="6">
        <v>5225</v>
      </c>
      <c r="P120" s="6">
        <v>81.267146876357074</v>
      </c>
      <c r="Q120" s="6">
        <v>37370.708837209313</v>
      </c>
      <c r="R120" s="6">
        <v>0</v>
      </c>
      <c r="S120" s="6">
        <v>19.64143184968615</v>
      </c>
      <c r="T120" s="6">
        <f t="shared" si="22"/>
        <v>17.298070308089248</v>
      </c>
      <c r="U120" s="6" t="e">
        <f t="shared" si="37"/>
        <v>#N/A</v>
      </c>
      <c r="V120" s="6">
        <f t="shared" si="23"/>
        <v>16.97910479084787</v>
      </c>
      <c r="W120" s="6">
        <f t="shared" si="24"/>
        <v>17.617035825330625</v>
      </c>
      <c r="X120" s="6" t="e">
        <f t="shared" si="38"/>
        <v>#N/A</v>
      </c>
      <c r="Y120" s="6" t="e">
        <f t="shared" si="43"/>
        <v>#N/A</v>
      </c>
      <c r="Z120" s="6" t="e">
        <f t="shared" si="43"/>
        <v>#N/A</v>
      </c>
      <c r="AA120" s="6" t="e">
        <f t="shared" si="43"/>
        <v>#N/A</v>
      </c>
      <c r="AB120" s="6" t="e">
        <f t="shared" si="43"/>
        <v>#N/A</v>
      </c>
      <c r="AC120" s="6" t="e">
        <f t="shared" si="43"/>
        <v>#N/A</v>
      </c>
      <c r="AG120">
        <f t="shared" si="25"/>
        <v>-9.7142857142856094E-3</v>
      </c>
      <c r="AH120">
        <f t="shared" si="26"/>
        <v>0</v>
      </c>
      <c r="AI120">
        <f t="shared" si="27"/>
        <v>-1.1156249999999979</v>
      </c>
      <c r="AJ120">
        <f t="shared" si="28"/>
        <v>-0.63793103448275423</v>
      </c>
      <c r="AK120">
        <f t="shared" si="29"/>
        <v>0.72000000000000064</v>
      </c>
      <c r="AL120">
        <f t="shared" si="30"/>
        <v>-0.89999999999999858</v>
      </c>
      <c r="AM120">
        <f t="shared" si="31"/>
        <v>0</v>
      </c>
      <c r="AN120">
        <f t="shared" si="32"/>
        <v>0.46097110465116387</v>
      </c>
      <c r="AO120">
        <f t="shared" si="33"/>
        <v>1.500733379745661</v>
      </c>
      <c r="AQ120">
        <f t="shared" si="34"/>
        <v>16.97910479084787</v>
      </c>
      <c r="AR120">
        <f t="shared" si="35"/>
        <v>17.617035825330625</v>
      </c>
      <c r="AT120" t="str">
        <f t="shared" si="36"/>
        <v>45456B</v>
      </c>
    </row>
    <row r="121" spans="1:46" hidden="1" x14ac:dyDescent="0.3">
      <c r="A121" s="17">
        <v>45456</v>
      </c>
      <c r="B121" s="18" t="s">
        <v>20</v>
      </c>
      <c r="C121" s="6">
        <v>8.1316666666666659</v>
      </c>
      <c r="D121" s="6">
        <v>37.18181818181818</v>
      </c>
      <c r="E121" s="6">
        <v>28.385555555555559</v>
      </c>
      <c r="F121" s="6">
        <v>55.44</v>
      </c>
      <c r="G121" s="6">
        <v>3.57</v>
      </c>
      <c r="H121" s="6">
        <v>3.12</v>
      </c>
      <c r="I121" s="6">
        <v>145.44444444444451</v>
      </c>
      <c r="J121" s="6">
        <v>8.4488174324479406</v>
      </c>
      <c r="K121" s="6">
        <v>6.1929017492236976E-3</v>
      </c>
      <c r="L121" s="6">
        <v>5.2322696256278528E-2</v>
      </c>
      <c r="M121" s="6">
        <v>21.67566710829437</v>
      </c>
      <c r="N121" s="6">
        <v>2.5843080625693438E-3</v>
      </c>
      <c r="O121" s="6">
        <v>5225</v>
      </c>
      <c r="P121" s="6">
        <v>81.293719490947723</v>
      </c>
      <c r="Q121" s="6">
        <v>29636.36</v>
      </c>
      <c r="R121" s="6">
        <v>0</v>
      </c>
      <c r="S121" s="6">
        <v>22.099399831893969</v>
      </c>
      <c r="T121" s="6">
        <f t="shared" si="22"/>
        <v>16.923947929860816</v>
      </c>
      <c r="U121" s="6" t="e">
        <f t="shared" si="37"/>
        <v>#N/A</v>
      </c>
      <c r="V121" s="6">
        <f t="shared" si="23"/>
        <v>16.604982412619439</v>
      </c>
      <c r="W121" s="6">
        <f t="shared" si="24"/>
        <v>17.242913447102193</v>
      </c>
      <c r="X121" s="6" t="e">
        <f t="shared" si="38"/>
        <v>#N/A</v>
      </c>
      <c r="Y121" s="6" t="e">
        <f t="shared" si="43"/>
        <v>#N/A</v>
      </c>
      <c r="Z121" s="6" t="e">
        <f t="shared" si="43"/>
        <v>#N/A</v>
      </c>
      <c r="AA121" s="6" t="e">
        <f t="shared" si="43"/>
        <v>#N/A</v>
      </c>
      <c r="AB121" s="6" t="e">
        <f t="shared" si="43"/>
        <v>#N/A</v>
      </c>
      <c r="AC121" s="6" t="e">
        <f t="shared" si="43"/>
        <v>#N/A</v>
      </c>
      <c r="AG121">
        <f t="shared" si="25"/>
        <v>3.6666666666668847E-3</v>
      </c>
      <c r="AH121">
        <f t="shared" si="26"/>
        <v>0</v>
      </c>
      <c r="AI121">
        <f t="shared" si="27"/>
        <v>-1.8129629629629651</v>
      </c>
      <c r="AJ121">
        <f t="shared" si="28"/>
        <v>-0.63793103448275423</v>
      </c>
      <c r="AK121">
        <f t="shared" si="29"/>
        <v>0.72000000000000064</v>
      </c>
      <c r="AL121">
        <f t="shared" si="30"/>
        <v>-1.399999999999999</v>
      </c>
      <c r="AM121">
        <f t="shared" si="31"/>
        <v>0</v>
      </c>
      <c r="AN121">
        <f t="shared" si="32"/>
        <v>-0.50582250000000017</v>
      </c>
      <c r="AO121">
        <f t="shared" si="33"/>
        <v>1.5623651351041197</v>
      </c>
      <c r="AQ121">
        <f t="shared" si="34"/>
        <v>16.604982412619439</v>
      </c>
      <c r="AR121">
        <f t="shared" si="35"/>
        <v>17.242913447102193</v>
      </c>
      <c r="AT121" t="str">
        <f t="shared" si="36"/>
        <v>45456C</v>
      </c>
    </row>
    <row r="122" spans="1:46" hidden="1" x14ac:dyDescent="0.3">
      <c r="A122" s="17">
        <v>45456</v>
      </c>
      <c r="B122" s="18" t="s">
        <v>21</v>
      </c>
      <c r="C122" s="6">
        <v>8.2171428571428571</v>
      </c>
      <c r="D122" s="6">
        <v>37.200000000000003</v>
      </c>
      <c r="E122" s="6">
        <v>28.524999999999999</v>
      </c>
      <c r="F122" s="6">
        <v>55.44</v>
      </c>
      <c r="G122" s="6">
        <v>3.57</v>
      </c>
      <c r="H122" s="6">
        <v>3.1225000000000001</v>
      </c>
      <c r="I122" s="6">
        <v>145.375</v>
      </c>
      <c r="J122" s="6">
        <v>8.5702036308347704</v>
      </c>
      <c r="K122" s="6">
        <v>6.8245970215827434E-3</v>
      </c>
      <c r="L122" s="6">
        <v>5.8488186173352587E-2</v>
      </c>
      <c r="M122" s="6">
        <v>20.733877303017461</v>
      </c>
      <c r="N122" s="6">
        <v>2.5838518207989681E-3</v>
      </c>
      <c r="O122" s="6">
        <v>5225</v>
      </c>
      <c r="P122" s="6">
        <v>81.279127121967733</v>
      </c>
      <c r="Q122" s="6">
        <v>30628.565581395349</v>
      </c>
      <c r="R122" s="6">
        <v>0</v>
      </c>
      <c r="S122" s="6">
        <v>21.17434475975432</v>
      </c>
      <c r="T122" s="6">
        <f t="shared" si="22"/>
        <v>15.742612483685729</v>
      </c>
      <c r="U122" s="6" t="e">
        <f t="shared" si="37"/>
        <v>#N/A</v>
      </c>
      <c r="V122" s="6">
        <f t="shared" si="23"/>
        <v>15.423646966444352</v>
      </c>
      <c r="W122" s="6">
        <f t="shared" si="24"/>
        <v>16.061578000927106</v>
      </c>
      <c r="X122" s="6" t="e">
        <f t="shared" si="38"/>
        <v>#N/A</v>
      </c>
      <c r="Y122" s="6" t="e">
        <f t="shared" si="43"/>
        <v>#N/A</v>
      </c>
      <c r="Z122" s="6" t="e">
        <f t="shared" si="43"/>
        <v>#N/A</v>
      </c>
      <c r="AA122" s="6" t="e">
        <f t="shared" si="43"/>
        <v>#N/A</v>
      </c>
      <c r="AB122" s="6" t="e">
        <f t="shared" si="43"/>
        <v>#N/A</v>
      </c>
      <c r="AC122" s="6" t="e">
        <f t="shared" si="43"/>
        <v>#N/A</v>
      </c>
      <c r="AG122">
        <f t="shared" si="25"/>
        <v>-1.3428571428571345E-2</v>
      </c>
      <c r="AH122">
        <f t="shared" si="26"/>
        <v>0</v>
      </c>
      <c r="AI122">
        <f t="shared" si="27"/>
        <v>-1.9291666666666649</v>
      </c>
      <c r="AJ122">
        <f t="shared" si="28"/>
        <v>-0.63793103448275423</v>
      </c>
      <c r="AK122">
        <f t="shared" si="29"/>
        <v>0.72000000000000064</v>
      </c>
      <c r="AL122">
        <f t="shared" si="30"/>
        <v>-1.3874999999999993</v>
      </c>
      <c r="AM122">
        <f t="shared" si="31"/>
        <v>0</v>
      </c>
      <c r="AN122">
        <f t="shared" si="32"/>
        <v>-0.38179680232558166</v>
      </c>
      <c r="AO122">
        <f t="shared" si="33"/>
        <v>1.31959273833046</v>
      </c>
      <c r="AQ122">
        <f t="shared" si="34"/>
        <v>15.423646966444352</v>
      </c>
      <c r="AR122">
        <f t="shared" si="35"/>
        <v>16.061578000927106</v>
      </c>
      <c r="AT122" t="str">
        <f t="shared" si="36"/>
        <v>45456D</v>
      </c>
    </row>
    <row r="123" spans="1:46" hidden="1" x14ac:dyDescent="0.3">
      <c r="A123" s="17">
        <v>45457</v>
      </c>
      <c r="B123" s="18" t="s">
        <v>22</v>
      </c>
      <c r="C123" s="6">
        <v>8.4659999999999993</v>
      </c>
      <c r="D123" s="6">
        <v>37.857142857142847</v>
      </c>
      <c r="E123" s="6">
        <v>27.2</v>
      </c>
      <c r="F123" s="6">
        <v>55.44</v>
      </c>
      <c r="G123" s="6">
        <v>3.61</v>
      </c>
      <c r="H123" s="6">
        <v>3.3085714285714292</v>
      </c>
      <c r="I123" s="6">
        <v>149</v>
      </c>
      <c r="J123" s="6">
        <v>9.941735521470525</v>
      </c>
      <c r="K123" s="6">
        <v>5.6757753110161548E-3</v>
      </c>
      <c r="L123" s="6">
        <v>5.6427057021414727E-2</v>
      </c>
      <c r="M123" s="6">
        <v>14.396141474716069</v>
      </c>
      <c r="N123" s="6">
        <v>0.46418755449737198</v>
      </c>
      <c r="O123" s="6">
        <v>5225</v>
      </c>
      <c r="P123" s="6">
        <v>81.188080431434699</v>
      </c>
      <c r="Q123" s="6">
        <v>22249.64</v>
      </c>
      <c r="R123" s="6">
        <v>0</v>
      </c>
      <c r="S123" s="6">
        <v>13.909697908880529</v>
      </c>
      <c r="T123" s="6">
        <f t="shared" si="22"/>
        <v>7.4791995573907908</v>
      </c>
      <c r="U123" s="6" t="e">
        <f t="shared" si="37"/>
        <v>#N/A</v>
      </c>
      <c r="V123" s="6">
        <f t="shared" si="23"/>
        <v>7.1602340401494136</v>
      </c>
      <c r="W123" s="6">
        <f t="shared" si="24"/>
        <v>7.798165074632168</v>
      </c>
      <c r="X123" s="6" t="e">
        <f t="shared" si="38"/>
        <v>#N/A</v>
      </c>
      <c r="Y123" s="6" t="e">
        <f t="shared" si="43"/>
        <v>#N/A</v>
      </c>
      <c r="Z123" s="6" t="e">
        <f t="shared" si="43"/>
        <v>#N/A</v>
      </c>
      <c r="AA123" s="6" t="e">
        <f t="shared" si="43"/>
        <v>#N/A</v>
      </c>
      <c r="AB123" s="6" t="e">
        <f t="shared" si="43"/>
        <v>#N/A</v>
      </c>
      <c r="AC123" s="6" t="e">
        <f t="shared" si="43"/>
        <v>#N/A</v>
      </c>
      <c r="AG123">
        <f t="shared" si="25"/>
        <v>-6.3199999999999798E-2</v>
      </c>
      <c r="AH123">
        <f t="shared" si="26"/>
        <v>0</v>
      </c>
      <c r="AI123">
        <f t="shared" si="27"/>
        <v>-0.82499999999999873</v>
      </c>
      <c r="AJ123">
        <f t="shared" si="28"/>
        <v>-0.63793103448275423</v>
      </c>
      <c r="AK123">
        <f t="shared" si="29"/>
        <v>0.60000000000000053</v>
      </c>
      <c r="AL123">
        <f t="shared" si="30"/>
        <v>-0.4571428571428538</v>
      </c>
      <c r="AM123">
        <f t="shared" si="31"/>
        <v>0</v>
      </c>
      <c r="AN123">
        <f t="shared" si="32"/>
        <v>-1.4291625000000003</v>
      </c>
      <c r="AO123">
        <f t="shared" si="33"/>
        <v>-1.4234710429410491</v>
      </c>
      <c r="AQ123">
        <f t="shared" si="34"/>
        <v>7.1602340401494136</v>
      </c>
      <c r="AR123">
        <f t="shared" si="35"/>
        <v>7.798165074632168</v>
      </c>
      <c r="AT123" t="str">
        <f t="shared" si="36"/>
        <v>45457A</v>
      </c>
    </row>
    <row r="124" spans="1:46" hidden="1" x14ac:dyDescent="0.3">
      <c r="A124" s="17">
        <v>45457</v>
      </c>
      <c r="B124" s="18" t="s">
        <v>19</v>
      </c>
      <c r="C124" s="6">
        <v>8.2539999999999996</v>
      </c>
      <c r="D124" s="6">
        <v>36.571428571428569</v>
      </c>
      <c r="E124" s="6">
        <v>28</v>
      </c>
      <c r="F124" s="6">
        <v>55.6</v>
      </c>
      <c r="G124" s="6">
        <v>3.66</v>
      </c>
      <c r="H124" s="6">
        <v>3.3114285714285709</v>
      </c>
      <c r="I124" s="6">
        <v>145.16666666666671</v>
      </c>
      <c r="J124" s="6">
        <v>7.9836880564607551</v>
      </c>
      <c r="K124" s="6">
        <v>2.8358245948437882E-3</v>
      </c>
      <c r="L124" s="6">
        <v>2.2640338948072009E-2</v>
      </c>
      <c r="M124" s="6">
        <v>15.669730591830509</v>
      </c>
      <c r="N124" s="6">
        <v>2.5815062594858528E-3</v>
      </c>
      <c r="O124" s="6">
        <v>5225</v>
      </c>
      <c r="P124" s="6">
        <v>81.200664827915674</v>
      </c>
      <c r="Q124" s="6">
        <v>14700.44</v>
      </c>
      <c r="R124" s="6">
        <v>0</v>
      </c>
      <c r="S124" s="6">
        <v>15.630628310157309</v>
      </c>
      <c r="T124" s="6">
        <f t="shared" si="22"/>
        <v>10.827321617661049</v>
      </c>
      <c r="U124" s="6" t="e">
        <f t="shared" si="37"/>
        <v>#N/A</v>
      </c>
      <c r="V124" s="6">
        <f t="shared" si="23"/>
        <v>10.37042506593691</v>
      </c>
      <c r="W124" s="6">
        <f t="shared" si="24"/>
        <v>11.284218169385188</v>
      </c>
      <c r="X124" s="6" t="e">
        <f t="shared" si="38"/>
        <v>#N/A</v>
      </c>
      <c r="Y124" s="6" t="e">
        <f t="shared" si="43"/>
        <v>#N/A</v>
      </c>
      <c r="Z124" s="6" t="e">
        <f t="shared" si="43"/>
        <v>#N/A</v>
      </c>
      <c r="AA124" s="6" t="e">
        <f t="shared" si="43"/>
        <v>#N/A</v>
      </c>
      <c r="AB124" s="6" t="e">
        <f t="shared" si="43"/>
        <v>#N/A</v>
      </c>
      <c r="AC124" s="6" t="e">
        <f t="shared" si="43"/>
        <v>#N/A</v>
      </c>
      <c r="AG124">
        <f t="shared" si="25"/>
        <v>-2.0799999999999843E-2</v>
      </c>
      <c r="AH124">
        <f t="shared" si="26"/>
        <v>0</v>
      </c>
      <c r="AI124">
        <f t="shared" si="27"/>
        <v>-1.491666666666666</v>
      </c>
      <c r="AJ124">
        <f t="shared" si="28"/>
        <v>-0.9137931034482778</v>
      </c>
      <c r="AK124">
        <f t="shared" si="29"/>
        <v>0.44999999999999968</v>
      </c>
      <c r="AL124">
        <f t="shared" si="30"/>
        <v>-0.44285714285714484</v>
      </c>
      <c r="AM124">
        <f t="shared" si="31"/>
        <v>0</v>
      </c>
      <c r="AN124">
        <f t="shared" si="32"/>
        <v>-2.3728125000000002</v>
      </c>
      <c r="AO124">
        <f t="shared" si="33"/>
        <v>2.4926238870784907</v>
      </c>
      <c r="AQ124">
        <f t="shared" si="34"/>
        <v>10.37042506593691</v>
      </c>
      <c r="AR124">
        <f t="shared" si="35"/>
        <v>11.284218169385188</v>
      </c>
      <c r="AT124" t="str">
        <f t="shared" si="36"/>
        <v>45457B</v>
      </c>
    </row>
    <row r="125" spans="1:46" hidden="1" x14ac:dyDescent="0.3">
      <c r="A125" s="17">
        <v>45457</v>
      </c>
      <c r="B125" s="18" t="s">
        <v>20</v>
      </c>
      <c r="C125" s="6">
        <v>7.8925000000000001</v>
      </c>
      <c r="D125" s="6">
        <v>36</v>
      </c>
      <c r="E125" s="6">
        <v>27.637499999999999</v>
      </c>
      <c r="F125" s="6">
        <v>55.6</v>
      </c>
      <c r="G125" s="6">
        <v>3.66</v>
      </c>
      <c r="H125" s="6">
        <v>3.22</v>
      </c>
      <c r="I125" s="6">
        <v>141.125</v>
      </c>
      <c r="J125" s="6">
        <v>7.7616575571188688</v>
      </c>
      <c r="K125" s="6">
        <v>2.0653030525798251E-3</v>
      </c>
      <c r="L125" s="6">
        <v>1.603017504579687E-2</v>
      </c>
      <c r="M125" s="6">
        <v>20.1172648243484</v>
      </c>
      <c r="N125" s="6">
        <v>2.5835732259675312E-3</v>
      </c>
      <c r="O125" s="6">
        <v>5225</v>
      </c>
      <c r="P125" s="6">
        <v>81.269573379609596</v>
      </c>
      <c r="Q125" s="6">
        <v>10080.799999999999</v>
      </c>
      <c r="R125" s="6">
        <v>0</v>
      </c>
      <c r="S125" s="6">
        <v>21.060686572179531</v>
      </c>
      <c r="T125" s="6">
        <f t="shared" si="22"/>
        <v>15.058702325053194</v>
      </c>
      <c r="U125" s="6" t="e">
        <f t="shared" si="37"/>
        <v>#N/A</v>
      </c>
      <c r="V125" s="6">
        <f t="shared" si="23"/>
        <v>14.601805773329055</v>
      </c>
      <c r="W125" s="6">
        <f t="shared" si="24"/>
        <v>15.515598876777332</v>
      </c>
      <c r="X125" s="6" t="e">
        <f t="shared" si="38"/>
        <v>#N/A</v>
      </c>
      <c r="Y125" s="6" t="e">
        <f t="shared" si="43"/>
        <v>#N/A</v>
      </c>
      <c r="Z125" s="6" t="e">
        <f t="shared" si="43"/>
        <v>#N/A</v>
      </c>
      <c r="AA125" s="6" t="e">
        <f t="shared" si="43"/>
        <v>#N/A</v>
      </c>
      <c r="AB125" s="6" t="e">
        <f t="shared" si="43"/>
        <v>#N/A</v>
      </c>
      <c r="AC125" s="6" t="e">
        <f t="shared" si="43"/>
        <v>#N/A</v>
      </c>
      <c r="AG125">
        <f t="shared" si="25"/>
        <v>5.150000000000006E-2</v>
      </c>
      <c r="AH125">
        <f t="shared" si="26"/>
        <v>0</v>
      </c>
      <c r="AI125">
        <f t="shared" si="27"/>
        <v>-1.1895833333333321</v>
      </c>
      <c r="AJ125">
        <f t="shared" si="28"/>
        <v>-0.9137931034482778</v>
      </c>
      <c r="AK125">
        <f t="shared" si="29"/>
        <v>0.44999999999999968</v>
      </c>
      <c r="AL125">
        <f t="shared" si="30"/>
        <v>-0.89999999999999858</v>
      </c>
      <c r="AM125">
        <f t="shared" si="31"/>
        <v>0</v>
      </c>
      <c r="AN125">
        <f t="shared" si="32"/>
        <v>-2.9502675000000003</v>
      </c>
      <c r="AO125">
        <f t="shared" si="33"/>
        <v>2.9366848857622632</v>
      </c>
      <c r="AQ125">
        <f t="shared" si="34"/>
        <v>14.601805773329055</v>
      </c>
      <c r="AR125">
        <f t="shared" si="35"/>
        <v>15.515598876777332</v>
      </c>
      <c r="AT125" t="str">
        <f t="shared" si="36"/>
        <v>45457C</v>
      </c>
    </row>
    <row r="126" spans="1:46" hidden="1" x14ac:dyDescent="0.3">
      <c r="A126" s="17">
        <v>45457</v>
      </c>
      <c r="B126" s="18" t="s">
        <v>21</v>
      </c>
      <c r="C126" s="6">
        <v>8.043333333333333</v>
      </c>
      <c r="D126" s="6">
        <v>36</v>
      </c>
      <c r="E126" s="6">
        <v>27.43333333333333</v>
      </c>
      <c r="F126" s="6">
        <v>55.6</v>
      </c>
      <c r="G126" s="6">
        <v>3.66</v>
      </c>
      <c r="H126" s="6">
        <v>3.2120000000000002</v>
      </c>
      <c r="I126" s="6">
        <v>141.88888888888891</v>
      </c>
      <c r="J126" s="6">
        <v>7.3155189929026792</v>
      </c>
      <c r="K126" s="6">
        <v>1.4573779977031011E-3</v>
      </c>
      <c r="L126" s="6">
        <v>1.0661476422035521E-2</v>
      </c>
      <c r="M126" s="6">
        <v>18.880732259025379</v>
      </c>
      <c r="N126" s="6">
        <v>2.582990413809964E-3</v>
      </c>
      <c r="O126" s="6">
        <v>5225</v>
      </c>
      <c r="P126" s="6">
        <v>81.2504141168437</v>
      </c>
      <c r="Q126" s="6">
        <v>7414.5639751552799</v>
      </c>
      <c r="R126" s="6">
        <v>0</v>
      </c>
      <c r="S126" s="6">
        <v>19.638055465443401</v>
      </c>
      <c r="T126" s="6">
        <f t="shared" si="22"/>
        <v>14.481139607279186</v>
      </c>
      <c r="U126" s="6" t="e">
        <f t="shared" si="37"/>
        <v>#N/A</v>
      </c>
      <c r="V126" s="6">
        <f t="shared" si="23"/>
        <v>14.024243055555047</v>
      </c>
      <c r="W126" s="6">
        <f t="shared" si="24"/>
        <v>14.938036159003325</v>
      </c>
      <c r="X126" s="6" t="e">
        <f t="shared" si="38"/>
        <v>#N/A</v>
      </c>
      <c r="Y126" s="6" t="e">
        <f t="shared" si="43"/>
        <v>#N/A</v>
      </c>
      <c r="Z126" s="6" t="e">
        <f t="shared" si="43"/>
        <v>#N/A</v>
      </c>
      <c r="AA126" s="6" t="e">
        <f t="shared" si="43"/>
        <v>#N/A</v>
      </c>
      <c r="AB126" s="6" t="e">
        <f t="shared" si="43"/>
        <v>#N/A</v>
      </c>
      <c r="AC126" s="6" t="e">
        <f t="shared" si="43"/>
        <v>#N/A</v>
      </c>
      <c r="AG126">
        <f t="shared" si="25"/>
        <v>2.1333333333333471E-2</v>
      </c>
      <c r="AH126">
        <f t="shared" si="26"/>
        <v>0</v>
      </c>
      <c r="AI126">
        <f t="shared" si="27"/>
        <v>-1.019444444444441</v>
      </c>
      <c r="AJ126">
        <f t="shared" si="28"/>
        <v>-0.9137931034482778</v>
      </c>
      <c r="AK126">
        <f t="shared" si="29"/>
        <v>0.44999999999999968</v>
      </c>
      <c r="AL126">
        <f t="shared" si="30"/>
        <v>-0.93999999999999861</v>
      </c>
      <c r="AM126">
        <f t="shared" si="31"/>
        <v>0</v>
      </c>
      <c r="AN126">
        <f t="shared" si="32"/>
        <v>-3.28354700310559</v>
      </c>
      <c r="AO126">
        <f t="shared" si="33"/>
        <v>3.8289620141946425</v>
      </c>
      <c r="AQ126">
        <f t="shared" si="34"/>
        <v>14.024243055555047</v>
      </c>
      <c r="AR126">
        <f t="shared" si="35"/>
        <v>14.938036159003325</v>
      </c>
      <c r="AT126" t="str">
        <f t="shared" si="36"/>
        <v>45457D</v>
      </c>
    </row>
    <row r="127" spans="1:46" hidden="1" x14ac:dyDescent="0.3">
      <c r="A127" s="17">
        <v>45460</v>
      </c>
      <c r="B127" s="18" t="s">
        <v>19</v>
      </c>
      <c r="C127" s="6">
        <v>8.3880000000000017</v>
      </c>
      <c r="D127" s="6">
        <v>37.857142857142847</v>
      </c>
      <c r="E127" s="6">
        <v>27.15</v>
      </c>
      <c r="F127" s="6">
        <v>55.68</v>
      </c>
      <c r="G127" s="6">
        <v>3.57</v>
      </c>
      <c r="H127" s="6">
        <v>3.5316666666666672</v>
      </c>
      <c r="I127" s="6">
        <v>144</v>
      </c>
      <c r="J127" s="6">
        <v>9.4531569227948964</v>
      </c>
      <c r="K127" s="6">
        <v>3.4198378301456911E-3</v>
      </c>
      <c r="L127" s="6">
        <v>3.2328263658877622E-2</v>
      </c>
      <c r="M127" s="6">
        <v>13.28532282544696</v>
      </c>
      <c r="N127" s="6">
        <v>6.086525821132037</v>
      </c>
      <c r="O127" s="6">
        <v>5225</v>
      </c>
      <c r="P127" s="6">
        <v>101.5383490471302</v>
      </c>
      <c r="Q127" s="6">
        <v>11464.539813084109</v>
      </c>
      <c r="R127" s="6">
        <v>4569.6259065420563</v>
      </c>
      <c r="S127" s="6">
        <v>13.254434330845649</v>
      </c>
      <c r="T127" s="6">
        <f t="shared" si="22"/>
        <v>7.6544501258449271</v>
      </c>
      <c r="U127" s="6" t="e">
        <f t="shared" si="37"/>
        <v>#N/A</v>
      </c>
      <c r="V127" s="6">
        <f t="shared" si="23"/>
        <v>7.1285880568794102</v>
      </c>
      <c r="W127" s="6">
        <f t="shared" si="24"/>
        <v>8.180312194810444</v>
      </c>
      <c r="X127" s="6" t="e">
        <f t="shared" si="38"/>
        <v>#N/A</v>
      </c>
      <c r="Y127" s="6" t="e">
        <f t="shared" ref="Y127:AC136" si="44">VLOOKUP($AT127,hhh,3,0)</f>
        <v>#N/A</v>
      </c>
      <c r="Z127" s="6" t="e">
        <f t="shared" si="44"/>
        <v>#N/A</v>
      </c>
      <c r="AA127" s="6" t="e">
        <f t="shared" si="44"/>
        <v>#N/A</v>
      </c>
      <c r="AB127" s="6" t="e">
        <f t="shared" si="44"/>
        <v>#N/A</v>
      </c>
      <c r="AC127" s="6" t="e">
        <f t="shared" si="44"/>
        <v>#N/A</v>
      </c>
      <c r="AG127">
        <f t="shared" si="25"/>
        <v>-4.7600000000000267E-2</v>
      </c>
      <c r="AH127">
        <f t="shared" si="26"/>
        <v>0</v>
      </c>
      <c r="AI127">
        <f t="shared" si="27"/>
        <v>-0.78333333333333144</v>
      </c>
      <c r="AJ127">
        <f t="shared" si="28"/>
        <v>-1.0517241379310334</v>
      </c>
      <c r="AK127">
        <f t="shared" si="29"/>
        <v>0.72000000000000064</v>
      </c>
      <c r="AL127">
        <f t="shared" si="30"/>
        <v>0.65833333333333632</v>
      </c>
      <c r="AM127">
        <f t="shared" si="31"/>
        <v>0</v>
      </c>
      <c r="AN127">
        <f t="shared" si="32"/>
        <v>-2.7773000233644867</v>
      </c>
      <c r="AO127">
        <f t="shared" si="33"/>
        <v>-0.44631384558979192</v>
      </c>
      <c r="AQ127">
        <f t="shared" si="34"/>
        <v>7.1285880568794102</v>
      </c>
      <c r="AR127">
        <f t="shared" si="35"/>
        <v>8.180312194810444</v>
      </c>
      <c r="AT127" t="str">
        <f t="shared" si="36"/>
        <v>45460B</v>
      </c>
    </row>
    <row r="128" spans="1:46" hidden="1" x14ac:dyDescent="0.3">
      <c r="A128" s="17">
        <v>45460</v>
      </c>
      <c r="B128" s="18" t="s">
        <v>20</v>
      </c>
      <c r="C128" s="6">
        <v>8.4066666666666681</v>
      </c>
      <c r="D128" s="6">
        <v>37.666666666666657</v>
      </c>
      <c r="E128" s="6">
        <v>27.262499999999999</v>
      </c>
      <c r="F128" s="6">
        <v>55.68</v>
      </c>
      <c r="G128" s="6">
        <v>3.57</v>
      </c>
      <c r="H128" s="6">
        <v>3.55375</v>
      </c>
      <c r="I128" s="6">
        <v>146</v>
      </c>
      <c r="J128" s="6">
        <v>10.09770291348943</v>
      </c>
      <c r="K128" s="6">
        <v>3.9804917364317091E-3</v>
      </c>
      <c r="L128" s="6">
        <v>4.0193823004087061E-2</v>
      </c>
      <c r="M128" s="6">
        <v>13.316538281210359</v>
      </c>
      <c r="N128" s="6">
        <v>7.6651889395080044</v>
      </c>
      <c r="O128" s="6">
        <v>5225</v>
      </c>
      <c r="P128" s="6">
        <v>112.4955254259522</v>
      </c>
      <c r="Q128" s="6">
        <v>18970.560000000001</v>
      </c>
      <c r="R128" s="6">
        <v>9125.9520000000011</v>
      </c>
      <c r="S128" s="6">
        <v>13.292197069397959</v>
      </c>
      <c r="T128" s="6">
        <f t="shared" si="22"/>
        <v>7.9173002185993182</v>
      </c>
      <c r="U128" s="6" t="e">
        <f t="shared" si="37"/>
        <v>#N/A</v>
      </c>
      <c r="V128" s="6">
        <f t="shared" si="23"/>
        <v>7.3914381496338013</v>
      </c>
      <c r="W128" s="6">
        <f t="shared" si="24"/>
        <v>8.4431622875648351</v>
      </c>
      <c r="X128" s="6" t="e">
        <f t="shared" si="38"/>
        <v>#N/A</v>
      </c>
      <c r="Y128" s="6" t="e">
        <f t="shared" si="44"/>
        <v>#N/A</v>
      </c>
      <c r="Z128" s="6" t="e">
        <f t="shared" si="44"/>
        <v>#N/A</v>
      </c>
      <c r="AA128" s="6" t="e">
        <f t="shared" si="44"/>
        <v>#N/A</v>
      </c>
      <c r="AB128" s="6" t="e">
        <f t="shared" si="44"/>
        <v>#N/A</v>
      </c>
      <c r="AC128" s="6" t="e">
        <f t="shared" si="44"/>
        <v>#N/A</v>
      </c>
      <c r="AG128">
        <f t="shared" si="25"/>
        <v>-5.1333333333333543E-2</v>
      </c>
      <c r="AH128">
        <f t="shared" si="26"/>
        <v>0</v>
      </c>
      <c r="AI128">
        <f t="shared" si="27"/>
        <v>-0.8770833333333321</v>
      </c>
      <c r="AJ128">
        <f t="shared" si="28"/>
        <v>-1.0517241379310334</v>
      </c>
      <c r="AK128">
        <f t="shared" si="29"/>
        <v>0.72000000000000064</v>
      </c>
      <c r="AL128">
        <f t="shared" si="30"/>
        <v>0.76875000000000027</v>
      </c>
      <c r="AM128">
        <f t="shared" si="31"/>
        <v>0</v>
      </c>
      <c r="AN128">
        <f t="shared" si="32"/>
        <v>-1.8390475000000002</v>
      </c>
      <c r="AO128">
        <f t="shared" si="33"/>
        <v>-1.7354058269788588</v>
      </c>
      <c r="AQ128">
        <f t="shared" si="34"/>
        <v>7.3914381496338013</v>
      </c>
      <c r="AR128">
        <f t="shared" si="35"/>
        <v>8.4431622875648351</v>
      </c>
      <c r="AT128" t="str">
        <f t="shared" si="36"/>
        <v>45460C</v>
      </c>
    </row>
    <row r="129" spans="1:46" hidden="1" x14ac:dyDescent="0.3">
      <c r="A129" s="17">
        <v>45460</v>
      </c>
      <c r="B129" s="18" t="s">
        <v>21</v>
      </c>
      <c r="C129" s="6">
        <v>8.507142857142858</v>
      </c>
      <c r="D129" s="6">
        <v>36.777777777777779</v>
      </c>
      <c r="E129" s="6">
        <v>28</v>
      </c>
      <c r="F129" s="6">
        <v>55.68</v>
      </c>
      <c r="G129" s="6">
        <v>3.57</v>
      </c>
      <c r="H129" s="6">
        <v>3.5787499999999999</v>
      </c>
      <c r="I129" s="6">
        <v>147.14285714285711</v>
      </c>
      <c r="J129" s="6">
        <v>11.115289809433481</v>
      </c>
      <c r="K129" s="6">
        <v>3.5478980476686471E-3</v>
      </c>
      <c r="L129" s="6">
        <v>3.9435915014160272E-2</v>
      </c>
      <c r="M129" s="6">
        <v>13.33970440057786</v>
      </c>
      <c r="N129" s="6">
        <v>8.983411028381358</v>
      </c>
      <c r="O129" s="6">
        <v>5225</v>
      </c>
      <c r="P129" s="6">
        <v>120.4767654507832</v>
      </c>
      <c r="Q129" s="6">
        <v>17960.397837837842</v>
      </c>
      <c r="R129" s="6">
        <v>14411.70527102804</v>
      </c>
      <c r="S129" s="6">
        <v>13.335273888883361</v>
      </c>
      <c r="T129" s="6">
        <f t="shared" si="22"/>
        <v>5.9300628632583807</v>
      </c>
      <c r="U129" s="6" t="e">
        <f t="shared" si="37"/>
        <v>#N/A</v>
      </c>
      <c r="V129" s="6">
        <f t="shared" si="23"/>
        <v>5.4042007942928638</v>
      </c>
      <c r="W129" s="6">
        <f t="shared" si="24"/>
        <v>6.4559249322238976</v>
      </c>
      <c r="X129" s="6" t="e">
        <f t="shared" si="38"/>
        <v>#N/A</v>
      </c>
      <c r="Y129" s="6" t="e">
        <f t="shared" si="44"/>
        <v>#N/A</v>
      </c>
      <c r="Z129" s="6" t="e">
        <f t="shared" si="44"/>
        <v>#N/A</v>
      </c>
      <c r="AA129" s="6" t="e">
        <f t="shared" si="44"/>
        <v>#N/A</v>
      </c>
      <c r="AB129" s="6" t="e">
        <f t="shared" si="44"/>
        <v>#N/A</v>
      </c>
      <c r="AC129" s="6" t="e">
        <f t="shared" si="44"/>
        <v>#N/A</v>
      </c>
      <c r="AG129">
        <f t="shared" si="25"/>
        <v>-7.1428571428571536E-2</v>
      </c>
      <c r="AH129">
        <f t="shared" si="26"/>
        <v>0</v>
      </c>
      <c r="AI129">
        <f t="shared" si="27"/>
        <v>-1.491666666666666</v>
      </c>
      <c r="AJ129">
        <f t="shared" si="28"/>
        <v>-1.0517241379310334</v>
      </c>
      <c r="AK129">
        <f t="shared" si="29"/>
        <v>0.72000000000000064</v>
      </c>
      <c r="AL129">
        <f t="shared" si="30"/>
        <v>0.89374999999999993</v>
      </c>
      <c r="AM129">
        <f t="shared" si="31"/>
        <v>0</v>
      </c>
      <c r="AN129">
        <f t="shared" si="32"/>
        <v>-1.96531777027027</v>
      </c>
      <c r="AO129">
        <f t="shared" si="33"/>
        <v>-3.7705796188669609</v>
      </c>
      <c r="AQ129">
        <f t="shared" si="34"/>
        <v>5.4042007942928638</v>
      </c>
      <c r="AR129">
        <f t="shared" si="35"/>
        <v>6.4559249322238976</v>
      </c>
      <c r="AT129" t="str">
        <f t="shared" si="36"/>
        <v>45460D</v>
      </c>
    </row>
    <row r="130" spans="1:46" hidden="1" x14ac:dyDescent="0.3">
      <c r="A130" s="17">
        <v>45461</v>
      </c>
      <c r="B130" s="18" t="s">
        <v>22</v>
      </c>
      <c r="C130" s="6">
        <v>8.8524999999999991</v>
      </c>
      <c r="D130" s="6">
        <v>36.875</v>
      </c>
      <c r="E130" s="6">
        <v>28.997499999999999</v>
      </c>
      <c r="F130" s="6">
        <v>55.68</v>
      </c>
      <c r="G130" s="6">
        <v>4.17</v>
      </c>
      <c r="H130" s="6">
        <v>3.64</v>
      </c>
      <c r="I130" s="6">
        <v>144.75</v>
      </c>
      <c r="J130" s="6">
        <v>12.09680174470528</v>
      </c>
      <c r="K130" s="6">
        <v>5.7616837962893696E-3</v>
      </c>
      <c r="L130" s="6">
        <v>6.9697946599393379E-2</v>
      </c>
      <c r="M130" s="6">
        <v>13.326194964841759</v>
      </c>
      <c r="N130" s="6">
        <v>3.6828896013597281</v>
      </c>
      <c r="O130" s="6">
        <v>5225</v>
      </c>
      <c r="P130" s="6">
        <v>120.35475736419799</v>
      </c>
      <c r="Q130" s="6">
        <v>35026.062400000003</v>
      </c>
      <c r="R130" s="6">
        <v>13656.821</v>
      </c>
      <c r="S130" s="6">
        <v>13.31830796646833</v>
      </c>
      <c r="T130" s="6">
        <f t="shared" si="22"/>
        <v>3.5983056647990206</v>
      </c>
      <c r="U130" s="6" t="e">
        <f t="shared" si="37"/>
        <v>#N/A</v>
      </c>
      <c r="V130" s="6">
        <f t="shared" si="23"/>
        <v>3.0724435958335041</v>
      </c>
      <c r="W130" s="6">
        <f t="shared" si="24"/>
        <v>4.124167733764537</v>
      </c>
      <c r="X130" s="6" t="e">
        <f t="shared" si="38"/>
        <v>#N/A</v>
      </c>
      <c r="Y130" s="6" t="e">
        <f t="shared" si="44"/>
        <v>#N/A</v>
      </c>
      <c r="Z130" s="6" t="e">
        <f t="shared" si="44"/>
        <v>#N/A</v>
      </c>
      <c r="AA130" s="6" t="e">
        <f t="shared" si="44"/>
        <v>#N/A</v>
      </c>
      <c r="AB130" s="6" t="e">
        <f t="shared" si="44"/>
        <v>#N/A</v>
      </c>
      <c r="AC130" s="6" t="e">
        <f t="shared" si="44"/>
        <v>#N/A</v>
      </c>
      <c r="AG130">
        <f t="shared" si="25"/>
        <v>-0.14049999999999976</v>
      </c>
      <c r="AH130">
        <f t="shared" si="26"/>
        <v>0</v>
      </c>
      <c r="AI130">
        <f t="shared" si="27"/>
        <v>-2.3229166666666652</v>
      </c>
      <c r="AJ130">
        <f t="shared" si="28"/>
        <v>-1.0517241379310334</v>
      </c>
      <c r="AK130">
        <f t="shared" si="29"/>
        <v>-1.0799999999999994</v>
      </c>
      <c r="AL130">
        <f t="shared" si="30"/>
        <v>1.2000000000000011</v>
      </c>
      <c r="AM130">
        <f t="shared" si="31"/>
        <v>0</v>
      </c>
      <c r="AN130">
        <f t="shared" si="32"/>
        <v>0.16789030000000002</v>
      </c>
      <c r="AO130">
        <f t="shared" si="33"/>
        <v>-5.7336034894105588</v>
      </c>
      <c r="AQ130">
        <f t="shared" si="34"/>
        <v>3.0724435958335041</v>
      </c>
      <c r="AR130">
        <f t="shared" si="35"/>
        <v>4.124167733764537</v>
      </c>
      <c r="AT130" t="str">
        <f t="shared" si="36"/>
        <v>45461A</v>
      </c>
    </row>
    <row r="131" spans="1:46" hidden="1" x14ac:dyDescent="0.3">
      <c r="A131" s="17">
        <v>45461</v>
      </c>
      <c r="B131" s="18" t="s">
        <v>19</v>
      </c>
      <c r="C131" s="6">
        <v>8.8000000000000007</v>
      </c>
      <c r="D131" s="6">
        <v>38</v>
      </c>
      <c r="E131" s="6">
        <v>26.876666666666669</v>
      </c>
      <c r="F131" s="6">
        <v>55.68</v>
      </c>
      <c r="G131" s="6">
        <v>4.17</v>
      </c>
      <c r="H131" s="6">
        <v>3.74</v>
      </c>
      <c r="I131" s="6">
        <v>142.66666666666671</v>
      </c>
      <c r="J131" s="6">
        <v>17.436006769098679</v>
      </c>
      <c r="K131" s="6">
        <v>9.3776161869086709E-3</v>
      </c>
      <c r="L131" s="6">
        <v>0.16350817931294889</v>
      </c>
      <c r="M131" s="6">
        <v>13.33970469370821</v>
      </c>
      <c r="N131" s="6">
        <v>8.9834101518129117</v>
      </c>
      <c r="O131" s="6">
        <v>5225</v>
      </c>
      <c r="P131" s="6">
        <v>120.4767652146007</v>
      </c>
      <c r="Q131" s="6">
        <v>31954.662400000001</v>
      </c>
      <c r="R131" s="6">
        <v>3921.330816326531</v>
      </c>
      <c r="S131" s="6">
        <v>13.339704599580671</v>
      </c>
      <c r="T131" s="6">
        <f t="shared" si="22"/>
        <v>-6.3895948169694021</v>
      </c>
      <c r="U131" s="6" t="e">
        <f t="shared" si="37"/>
        <v>#N/A</v>
      </c>
      <c r="V131" s="6">
        <f t="shared" si="23"/>
        <v>-6.915456885934919</v>
      </c>
      <c r="W131" s="6">
        <f t="shared" si="24"/>
        <v>-5.8637327480038852</v>
      </c>
      <c r="X131" s="6" t="e">
        <f t="shared" si="38"/>
        <v>#N/A</v>
      </c>
      <c r="Y131" s="6" t="e">
        <f t="shared" si="44"/>
        <v>#N/A</v>
      </c>
      <c r="Z131" s="6" t="e">
        <f t="shared" si="44"/>
        <v>#N/A</v>
      </c>
      <c r="AA131" s="6" t="e">
        <f t="shared" si="44"/>
        <v>#N/A</v>
      </c>
      <c r="AB131" s="6" t="e">
        <f t="shared" si="44"/>
        <v>#N/A</v>
      </c>
      <c r="AC131" s="6" t="e">
        <f t="shared" si="44"/>
        <v>#N/A</v>
      </c>
      <c r="AG131">
        <f t="shared" si="25"/>
        <v>-0.13000000000000009</v>
      </c>
      <c r="AH131">
        <f t="shared" si="26"/>
        <v>0</v>
      </c>
      <c r="AI131">
        <f t="shared" si="27"/>
        <v>-0.55555555555555658</v>
      </c>
      <c r="AJ131">
        <f t="shared" si="28"/>
        <v>-1.0517241379310334</v>
      </c>
      <c r="AK131">
        <f t="shared" si="29"/>
        <v>-1.0799999999999994</v>
      </c>
      <c r="AL131">
        <f t="shared" si="30"/>
        <v>1.7000000000000015</v>
      </c>
      <c r="AM131">
        <f t="shared" si="31"/>
        <v>0</v>
      </c>
      <c r="AN131">
        <f t="shared" si="32"/>
        <v>-0.21603470000000016</v>
      </c>
      <c r="AO131">
        <f t="shared" si="33"/>
        <v>-16.412013538197357</v>
      </c>
      <c r="AQ131">
        <f t="shared" si="34"/>
        <v>-6.915456885934919</v>
      </c>
      <c r="AR131">
        <f t="shared" si="35"/>
        <v>-5.8637327480038852</v>
      </c>
      <c r="AT131" t="str">
        <f t="shared" si="36"/>
        <v>45461B</v>
      </c>
    </row>
    <row r="132" spans="1:46" hidden="1" x14ac:dyDescent="0.3">
      <c r="A132" s="17">
        <v>45461</v>
      </c>
      <c r="B132" s="18" t="s">
        <v>20</v>
      </c>
      <c r="C132" s="6">
        <v>8.8000000000000007</v>
      </c>
      <c r="D132" s="6">
        <v>38</v>
      </c>
      <c r="E132" s="6">
        <v>26.274999999999999</v>
      </c>
      <c r="F132" s="6">
        <v>55.68</v>
      </c>
      <c r="G132" s="6">
        <v>4.17</v>
      </c>
      <c r="H132" s="6">
        <v>3.8</v>
      </c>
      <c r="I132" s="6">
        <v>145</v>
      </c>
      <c r="J132" s="6">
        <v>11.795612625135499</v>
      </c>
      <c r="K132" s="6">
        <v>2.1795702900196342E-3</v>
      </c>
      <c r="L132" s="6">
        <v>2.570936683032583E-2</v>
      </c>
      <c r="M132" s="6">
        <v>13.339704603876861</v>
      </c>
      <c r="N132" s="6">
        <v>8.9834102920724668</v>
      </c>
      <c r="O132" s="6">
        <v>5225</v>
      </c>
      <c r="P132" s="6">
        <v>120.47676521958419</v>
      </c>
      <c r="Q132" s="6">
        <v>2016</v>
      </c>
      <c r="R132" s="6">
        <v>2259.9</v>
      </c>
      <c r="S132" s="6">
        <v>13.339704453647791</v>
      </c>
      <c r="T132" s="6">
        <f t="shared" ref="T132:T195" si="45">AVERAGE(AQ132:AR132)</f>
        <v>1.7425706179736822</v>
      </c>
      <c r="U132" s="6" t="e">
        <f t="shared" si="37"/>
        <v>#N/A</v>
      </c>
      <c r="V132" s="6">
        <f t="shared" ref="V132:V195" si="46">M132+SUM(AG132:AO132)+$T$1+R132/$Z$1</f>
        <v>1.2167085490081655</v>
      </c>
      <c r="W132" s="6">
        <f t="shared" ref="W132:W195" si="47">M132+SUM(AG132:AO132)+$T$1+R132/$Z$1-AJ132-AM132</f>
        <v>2.2684326869391986</v>
      </c>
      <c r="X132" s="6" t="e">
        <f t="shared" si="38"/>
        <v>#N/A</v>
      </c>
      <c r="Y132" s="6" t="e">
        <f t="shared" si="44"/>
        <v>#N/A</v>
      </c>
      <c r="Z132" s="6" t="e">
        <f t="shared" si="44"/>
        <v>#N/A</v>
      </c>
      <c r="AA132" s="6" t="e">
        <f t="shared" si="44"/>
        <v>#N/A</v>
      </c>
      <c r="AB132" s="6" t="e">
        <f t="shared" si="44"/>
        <v>#N/A</v>
      </c>
      <c r="AC132" s="6" t="e">
        <f t="shared" si="44"/>
        <v>#N/A</v>
      </c>
      <c r="AG132">
        <f t="shared" ref="AG132:AG195" si="48">C$3*(C$1-C132)/C$2</f>
        <v>-0.13000000000000009</v>
      </c>
      <c r="AH132">
        <f t="shared" ref="AH132:AH195" si="49">D$3*(D$1-D132)/D$2</f>
        <v>0</v>
      </c>
      <c r="AI132">
        <f t="shared" ref="AI132:AI195" si="50">E$3*(E$1-E132)/E$2</f>
        <v>-5.4166666666664774E-2</v>
      </c>
      <c r="AJ132">
        <f t="shared" ref="AJ132:AJ195" si="51">F$3*(F$1-F132)/F$2</f>
        <v>-1.0517241379310334</v>
      </c>
      <c r="AK132">
        <f t="shared" ref="AK132:AK195" si="52">G$3*(G$1-G132)/G$2</f>
        <v>-1.0799999999999994</v>
      </c>
      <c r="AL132">
        <f t="shared" ref="AL132:AL195" si="53">H$3*(H$1-H132)/H$2</f>
        <v>1.9999999999999996</v>
      </c>
      <c r="AM132">
        <f t="shared" ref="AM132:AM195" si="54">I$3*(I$1-I132)/I$2</f>
        <v>0</v>
      </c>
      <c r="AN132">
        <f t="shared" ref="AN132:AN195" si="55">(Q132-$M$1)/$M$2</f>
        <v>-3.9583675000000005</v>
      </c>
      <c r="AO132">
        <f t="shared" ref="AO132:AO195" si="56">(J132-$Q$1)/$Q$2</f>
        <v>-5.1312252502709974</v>
      </c>
      <c r="AQ132">
        <f t="shared" ref="AQ132:AQ195" si="57">M132+SUM(AG132:AO132)+$T$1+R132/$Z$1</f>
        <v>1.2167085490081655</v>
      </c>
      <c r="AR132">
        <f t="shared" ref="AR132:AR195" si="58">M132+SUM(AG132:AO132)+$T$1+R132/$Z$1-AJ132-AM132</f>
        <v>2.2684326869391986</v>
      </c>
      <c r="AT132" t="str">
        <f t="shared" ref="AT132:AT195" si="59">A132&amp;B132</f>
        <v>45461C</v>
      </c>
    </row>
    <row r="133" spans="1:46" hidden="1" x14ac:dyDescent="0.3">
      <c r="A133" s="17">
        <v>45461</v>
      </c>
      <c r="B133" s="18" t="s">
        <v>21</v>
      </c>
      <c r="C133" s="6">
        <v>8.8000000000000007</v>
      </c>
      <c r="D133" s="6">
        <v>41</v>
      </c>
      <c r="E133" s="6">
        <v>26.05</v>
      </c>
      <c r="F133" s="6">
        <v>55.68</v>
      </c>
      <c r="G133" s="6">
        <v>4.17</v>
      </c>
      <c r="H133" s="6">
        <v>3.91</v>
      </c>
      <c r="I133" s="6">
        <v>153</v>
      </c>
      <c r="J133" s="6">
        <v>11.079207152508991</v>
      </c>
      <c r="K133" s="6">
        <v>2.7203263985604289E-3</v>
      </c>
      <c r="L133" s="6">
        <v>3.0139059692089729E-2</v>
      </c>
      <c r="M133" s="6">
        <v>13.33970504560302</v>
      </c>
      <c r="N133" s="6">
        <v>8.9834064171449324</v>
      </c>
      <c r="O133" s="6">
        <v>5225</v>
      </c>
      <c r="P133" s="6">
        <v>120.47676437241429</v>
      </c>
      <c r="Q133" s="6">
        <v>4797.4344000000001</v>
      </c>
      <c r="R133" s="6">
        <v>4808.795347826087</v>
      </c>
      <c r="S133" s="6">
        <v>13.339704189063189</v>
      </c>
      <c r="T133" s="6">
        <f t="shared" si="45"/>
        <v>4.5791732234311189</v>
      </c>
      <c r="U133" s="6" t="e">
        <f t="shared" si="37"/>
        <v>#N/A</v>
      </c>
      <c r="V133" s="6">
        <f t="shared" si="46"/>
        <v>4.053311154465602</v>
      </c>
      <c r="W133" s="6">
        <f t="shared" si="47"/>
        <v>5.1050352923966358</v>
      </c>
      <c r="X133" s="6" t="e">
        <f t="shared" si="38"/>
        <v>#N/A</v>
      </c>
      <c r="Y133" s="6" t="e">
        <f t="shared" si="44"/>
        <v>#N/A</v>
      </c>
      <c r="Z133" s="6" t="e">
        <f t="shared" si="44"/>
        <v>#N/A</v>
      </c>
      <c r="AA133" s="6" t="e">
        <f t="shared" si="44"/>
        <v>#N/A</v>
      </c>
      <c r="AB133" s="6" t="e">
        <f t="shared" si="44"/>
        <v>#N/A</v>
      </c>
      <c r="AC133" s="6" t="e">
        <f t="shared" si="44"/>
        <v>#N/A</v>
      </c>
      <c r="AG133">
        <f t="shared" si="48"/>
        <v>-0.13000000000000009</v>
      </c>
      <c r="AH133">
        <f t="shared" si="49"/>
        <v>0</v>
      </c>
      <c r="AI133">
        <f t="shared" si="50"/>
        <v>0.13333333333333347</v>
      </c>
      <c r="AJ133">
        <f t="shared" si="51"/>
        <v>-1.0517241379310334</v>
      </c>
      <c r="AK133">
        <f t="shared" si="52"/>
        <v>-1.0799999999999994</v>
      </c>
      <c r="AL133">
        <f t="shared" si="53"/>
        <v>2.5500000000000012</v>
      </c>
      <c r="AM133">
        <f t="shared" si="54"/>
        <v>0</v>
      </c>
      <c r="AN133">
        <f t="shared" si="55"/>
        <v>-3.6106882000000007</v>
      </c>
      <c r="AO133">
        <f t="shared" si="56"/>
        <v>-3.6984143050179803</v>
      </c>
      <c r="AQ133">
        <f t="shared" si="57"/>
        <v>4.053311154465602</v>
      </c>
      <c r="AR133">
        <f t="shared" si="58"/>
        <v>5.1050352923966358</v>
      </c>
      <c r="AT133" t="str">
        <f t="shared" si="59"/>
        <v>45461D</v>
      </c>
    </row>
    <row r="134" spans="1:46" hidden="1" x14ac:dyDescent="0.3">
      <c r="A134" s="17">
        <v>45462</v>
      </c>
      <c r="B134" s="18" t="s">
        <v>22</v>
      </c>
      <c r="C134" s="6">
        <v>8.9</v>
      </c>
      <c r="D134" s="6">
        <v>39.5</v>
      </c>
      <c r="E134" s="6">
        <v>27.493749999999999</v>
      </c>
      <c r="F134" s="6">
        <v>55.68</v>
      </c>
      <c r="G134" s="6">
        <v>4.17</v>
      </c>
      <c r="H134" s="6">
        <v>3.5924999999999998</v>
      </c>
      <c r="I134" s="6">
        <v>150.375</v>
      </c>
      <c r="J134" s="6">
        <v>10.18506126908817</v>
      </c>
      <c r="K134" s="6">
        <v>8.5781364916434569E-3</v>
      </c>
      <c r="L134" s="6">
        <v>8.7368845741989665E-2</v>
      </c>
      <c r="M134" s="6">
        <v>13.31815663656457</v>
      </c>
      <c r="N134" s="6">
        <v>0.52900062696771877</v>
      </c>
      <c r="O134" s="6">
        <v>5225</v>
      </c>
      <c r="P134" s="6">
        <v>120.2821606580434</v>
      </c>
      <c r="Q134" s="6">
        <v>29267.829600000001</v>
      </c>
      <c r="R134" s="6">
        <v>6819.875</v>
      </c>
      <c r="S134" s="6">
        <v>13.3168151401696</v>
      </c>
      <c r="T134" s="6">
        <f t="shared" si="45"/>
        <v>6.8454759377560501</v>
      </c>
      <c r="U134" s="6" t="e">
        <f t="shared" si="37"/>
        <v>#N/A</v>
      </c>
      <c r="V134" s="6">
        <f t="shared" si="46"/>
        <v>6.3196138687905332</v>
      </c>
      <c r="W134" s="6">
        <f t="shared" si="47"/>
        <v>7.371338006721567</v>
      </c>
      <c r="X134" s="6" t="e">
        <f t="shared" si="38"/>
        <v>#N/A</v>
      </c>
      <c r="Y134" s="6" t="e">
        <f t="shared" si="44"/>
        <v>#N/A</v>
      </c>
      <c r="Z134" s="6" t="e">
        <f t="shared" si="44"/>
        <v>#N/A</v>
      </c>
      <c r="AA134" s="6" t="e">
        <f t="shared" si="44"/>
        <v>#N/A</v>
      </c>
      <c r="AB134" s="6" t="e">
        <f t="shared" si="44"/>
        <v>#N/A</v>
      </c>
      <c r="AC134" s="6" t="e">
        <f t="shared" si="44"/>
        <v>#N/A</v>
      </c>
      <c r="AG134">
        <f t="shared" si="48"/>
        <v>-0.15000000000000002</v>
      </c>
      <c r="AH134">
        <f t="shared" si="49"/>
        <v>0</v>
      </c>
      <c r="AI134">
        <f t="shared" si="50"/>
        <v>-1.0697916666666649</v>
      </c>
      <c r="AJ134">
        <f t="shared" si="51"/>
        <v>-1.0517241379310334</v>
      </c>
      <c r="AK134">
        <f t="shared" si="52"/>
        <v>-1.0799999999999994</v>
      </c>
      <c r="AL134">
        <f t="shared" si="53"/>
        <v>0.96249999999999947</v>
      </c>
      <c r="AM134">
        <f t="shared" si="54"/>
        <v>0</v>
      </c>
      <c r="AN134">
        <f t="shared" si="55"/>
        <v>-0.55188880000000018</v>
      </c>
      <c r="AO134">
        <f t="shared" si="56"/>
        <v>-1.9101225381763385</v>
      </c>
      <c r="AQ134">
        <f t="shared" si="57"/>
        <v>6.3196138687905332</v>
      </c>
      <c r="AR134">
        <f t="shared" si="58"/>
        <v>7.371338006721567</v>
      </c>
      <c r="AT134" t="str">
        <f t="shared" si="59"/>
        <v>45462A</v>
      </c>
    </row>
    <row r="135" spans="1:46" hidden="1" x14ac:dyDescent="0.3">
      <c r="A135" s="17">
        <v>45462</v>
      </c>
      <c r="B135" s="18" t="s">
        <v>19</v>
      </c>
      <c r="C135" s="6">
        <v>8.6333333333333329</v>
      </c>
      <c r="D135" s="6">
        <v>37.625</v>
      </c>
      <c r="E135" s="6">
        <v>27.24625</v>
      </c>
      <c r="F135" s="6">
        <v>55.15</v>
      </c>
      <c r="G135" s="6">
        <v>4.17</v>
      </c>
      <c r="H135" s="6">
        <v>3.4325000000000001</v>
      </c>
      <c r="I135" s="6">
        <v>149.125</v>
      </c>
      <c r="J135" s="6">
        <v>10.179358556038149</v>
      </c>
      <c r="K135" s="6">
        <v>6.2769488138971702E-3</v>
      </c>
      <c r="L135" s="6">
        <v>6.3895312614557692E-2</v>
      </c>
      <c r="M135" s="6">
        <v>13.316815273583501</v>
      </c>
      <c r="N135" s="6">
        <v>2.599946956615919E-3</v>
      </c>
      <c r="O135" s="6">
        <v>5225</v>
      </c>
      <c r="P135" s="6">
        <v>120.27004305848391</v>
      </c>
      <c r="Q135" s="6">
        <v>27940.725846153851</v>
      </c>
      <c r="R135" s="6">
        <v>13936.740898461539</v>
      </c>
      <c r="S135" s="6">
        <v>13.31681534217981</v>
      </c>
      <c r="T135" s="6">
        <f t="shared" si="45"/>
        <v>7.4957401540094164</v>
      </c>
      <c r="U135" s="6" t="e">
        <f t="shared" ref="U135:U198" si="60">VLOOKUP($AT135,ggg,U$4,0)</f>
        <v>#N/A</v>
      </c>
      <c r="V135" s="6">
        <f t="shared" si="46"/>
        <v>7.4267746367680392</v>
      </c>
      <c r="W135" s="6">
        <f t="shared" si="47"/>
        <v>7.5647056712507945</v>
      </c>
      <c r="X135" s="6" t="e">
        <f t="shared" si="38"/>
        <v>#N/A</v>
      </c>
      <c r="Y135" s="6" t="e">
        <f t="shared" si="44"/>
        <v>#N/A</v>
      </c>
      <c r="Z135" s="6" t="e">
        <f t="shared" si="44"/>
        <v>#N/A</v>
      </c>
      <c r="AA135" s="6" t="e">
        <f t="shared" si="44"/>
        <v>#N/A</v>
      </c>
      <c r="AB135" s="6" t="e">
        <f t="shared" si="44"/>
        <v>#N/A</v>
      </c>
      <c r="AC135" s="6" t="e">
        <f t="shared" si="44"/>
        <v>#N/A</v>
      </c>
      <c r="AG135">
        <f t="shared" si="48"/>
        <v>-9.6666666666666512E-2</v>
      </c>
      <c r="AH135">
        <f t="shared" si="49"/>
        <v>0</v>
      </c>
      <c r="AI135">
        <f t="shared" si="50"/>
        <v>-0.86354166666666587</v>
      </c>
      <c r="AJ135">
        <f t="shared" si="51"/>
        <v>-0.13793103448275568</v>
      </c>
      <c r="AK135">
        <f t="shared" si="52"/>
        <v>-1.0799999999999994</v>
      </c>
      <c r="AL135">
        <f t="shared" si="53"/>
        <v>0.16250000000000098</v>
      </c>
      <c r="AM135">
        <f t="shared" si="54"/>
        <v>0</v>
      </c>
      <c r="AN135">
        <f t="shared" si="55"/>
        <v>-0.71777676923076883</v>
      </c>
      <c r="AO135">
        <f t="shared" si="56"/>
        <v>-1.898717112076298</v>
      </c>
      <c r="AQ135">
        <f t="shared" si="57"/>
        <v>7.4267746367680392</v>
      </c>
      <c r="AR135">
        <f t="shared" si="58"/>
        <v>7.5647056712507945</v>
      </c>
      <c r="AT135" t="str">
        <f t="shared" si="59"/>
        <v>45462B</v>
      </c>
    </row>
    <row r="136" spans="1:46" hidden="1" x14ac:dyDescent="0.3">
      <c r="A136" s="17">
        <v>45462</v>
      </c>
      <c r="B136" s="18" t="s">
        <v>20</v>
      </c>
      <c r="C136" s="6">
        <v>8.34</v>
      </c>
      <c r="D136" s="6">
        <v>36.75</v>
      </c>
      <c r="E136" s="6">
        <v>26.958749999999998</v>
      </c>
      <c r="F136" s="6">
        <v>55.15</v>
      </c>
      <c r="G136" s="6">
        <v>4.17</v>
      </c>
      <c r="H136" s="6">
        <v>3.3149999999999999</v>
      </c>
      <c r="I136" s="6">
        <v>147.375</v>
      </c>
      <c r="J136" s="6">
        <v>10.73251776711186</v>
      </c>
      <c r="K136" s="6">
        <v>4.0947963333797296E-3</v>
      </c>
      <c r="L136" s="6">
        <v>4.3947474400702458E-2</v>
      </c>
      <c r="M136" s="6">
        <v>13.31681681722587</v>
      </c>
      <c r="N136" s="6">
        <v>2.5991202162275171E-3</v>
      </c>
      <c r="O136" s="6">
        <v>5225</v>
      </c>
      <c r="P136" s="6">
        <v>120.27004356848219</v>
      </c>
      <c r="Q136" s="6">
        <v>19970.04</v>
      </c>
      <c r="R136" s="6">
        <v>19094.924999999999</v>
      </c>
      <c r="S136" s="6">
        <v>13.719395499174089</v>
      </c>
      <c r="T136" s="6">
        <f t="shared" si="45"/>
        <v>5.7486105574274422</v>
      </c>
      <c r="U136" s="6" t="e">
        <f t="shared" si="60"/>
        <v>#N/A</v>
      </c>
      <c r="V136" s="6">
        <f t="shared" si="46"/>
        <v>5.679645040186065</v>
      </c>
      <c r="W136" s="6">
        <f t="shared" si="47"/>
        <v>5.8175760746688203</v>
      </c>
      <c r="X136" s="6" t="e">
        <f t="shared" ref="X136:X199" si="61">VLOOKUP($AT136,hhh,3,0)</f>
        <v>#N/A</v>
      </c>
      <c r="Y136" s="6" t="e">
        <f t="shared" si="44"/>
        <v>#N/A</v>
      </c>
      <c r="Z136" s="6" t="e">
        <f t="shared" si="44"/>
        <v>#N/A</v>
      </c>
      <c r="AA136" s="6" t="e">
        <f t="shared" si="44"/>
        <v>#N/A</v>
      </c>
      <c r="AB136" s="6" t="e">
        <f t="shared" si="44"/>
        <v>#N/A</v>
      </c>
      <c r="AC136" s="6" t="e">
        <f t="shared" si="44"/>
        <v>#N/A</v>
      </c>
      <c r="AG136">
        <f t="shared" si="48"/>
        <v>-3.7999999999999902E-2</v>
      </c>
      <c r="AH136">
        <f t="shared" si="49"/>
        <v>0</v>
      </c>
      <c r="AI136">
        <f t="shared" si="50"/>
        <v>-0.62395833333333139</v>
      </c>
      <c r="AJ136">
        <f t="shared" si="51"/>
        <v>-0.13793103448275568</v>
      </c>
      <c r="AK136">
        <f t="shared" si="52"/>
        <v>-1.0799999999999994</v>
      </c>
      <c r="AL136">
        <f t="shared" si="53"/>
        <v>-0.42499999999999982</v>
      </c>
      <c r="AM136">
        <f t="shared" si="54"/>
        <v>0</v>
      </c>
      <c r="AN136">
        <f t="shared" si="55"/>
        <v>-1.7141125000000001</v>
      </c>
      <c r="AO136">
        <f t="shared" si="56"/>
        <v>-3.0050355342237189</v>
      </c>
      <c r="AQ136">
        <f t="shared" si="57"/>
        <v>5.679645040186065</v>
      </c>
      <c r="AR136">
        <f t="shared" si="58"/>
        <v>5.8175760746688203</v>
      </c>
      <c r="AT136" t="str">
        <f t="shared" si="59"/>
        <v>45462C</v>
      </c>
    </row>
    <row r="137" spans="1:46" hidden="1" x14ac:dyDescent="0.3">
      <c r="A137" s="17">
        <v>45462</v>
      </c>
      <c r="B137" s="18" t="s">
        <v>21</v>
      </c>
      <c r="C137" s="6">
        <v>8.2128571428571426</v>
      </c>
      <c r="D137" s="6">
        <v>36.666666666666657</v>
      </c>
      <c r="E137" s="6">
        <v>27.022222222222219</v>
      </c>
      <c r="F137" s="6">
        <v>55.15</v>
      </c>
      <c r="G137" s="6">
        <v>4.17</v>
      </c>
      <c r="H137" s="6">
        <v>3.244444444444444</v>
      </c>
      <c r="I137" s="6">
        <v>147.44444444444451</v>
      </c>
      <c r="J137" s="6">
        <v>10.22896561882802</v>
      </c>
      <c r="K137" s="6">
        <v>6.0756768714145763E-3</v>
      </c>
      <c r="L137" s="6">
        <v>6.2147889828808298E-2</v>
      </c>
      <c r="M137" s="6">
        <v>15.796048410866881</v>
      </c>
      <c r="N137" s="6">
        <v>2.5960082600797419E-3</v>
      </c>
      <c r="O137" s="6">
        <v>5225</v>
      </c>
      <c r="P137" s="6">
        <v>111.3541206544031</v>
      </c>
      <c r="Q137" s="6">
        <v>31621.706666666669</v>
      </c>
      <c r="R137" s="6">
        <v>19936.672568627451</v>
      </c>
      <c r="S137" s="6">
        <v>16.562692543618819</v>
      </c>
      <c r="T137" s="6">
        <f t="shared" si="45"/>
        <v>10.416380502180171</v>
      </c>
      <c r="U137" s="6" t="e">
        <f t="shared" si="60"/>
        <v>#N/A</v>
      </c>
      <c r="V137" s="6">
        <f t="shared" si="46"/>
        <v>10.347414984938794</v>
      </c>
      <c r="W137" s="6">
        <f t="shared" si="47"/>
        <v>10.48534601942155</v>
      </c>
      <c r="X137" s="6" t="e">
        <f t="shared" si="61"/>
        <v>#N/A</v>
      </c>
      <c r="Y137" s="6" t="e">
        <f t="shared" ref="Y137:AC146" si="62">VLOOKUP($AT137,hhh,3,0)</f>
        <v>#N/A</v>
      </c>
      <c r="Z137" s="6" t="e">
        <f t="shared" si="62"/>
        <v>#N/A</v>
      </c>
      <c r="AA137" s="6" t="e">
        <f t="shared" si="62"/>
        <v>#N/A</v>
      </c>
      <c r="AB137" s="6" t="e">
        <f t="shared" si="62"/>
        <v>#N/A</v>
      </c>
      <c r="AC137" s="6" t="e">
        <f t="shared" si="62"/>
        <v>#N/A</v>
      </c>
      <c r="AG137">
        <f t="shared" si="48"/>
        <v>-1.2571428571428456E-2</v>
      </c>
      <c r="AH137">
        <f t="shared" si="49"/>
        <v>0</v>
      </c>
      <c r="AI137">
        <f t="shared" si="50"/>
        <v>-0.67685185185184815</v>
      </c>
      <c r="AJ137">
        <f t="shared" si="51"/>
        <v>-0.13793103448275568</v>
      </c>
      <c r="AK137">
        <f t="shared" si="52"/>
        <v>-1.0799999999999994</v>
      </c>
      <c r="AL137">
        <f t="shared" si="53"/>
        <v>-0.77777777777777946</v>
      </c>
      <c r="AM137">
        <f t="shared" si="54"/>
        <v>0</v>
      </c>
      <c r="AN137">
        <f t="shared" si="55"/>
        <v>-0.25765416666666668</v>
      </c>
      <c r="AO137">
        <f t="shared" si="56"/>
        <v>-1.9979312376560401</v>
      </c>
      <c r="AQ137">
        <f t="shared" si="57"/>
        <v>10.347414984938794</v>
      </c>
      <c r="AR137">
        <f t="shared" si="58"/>
        <v>10.48534601942155</v>
      </c>
      <c r="AT137" t="str">
        <f t="shared" si="59"/>
        <v>45462D</v>
      </c>
    </row>
    <row r="138" spans="1:46" hidden="1" x14ac:dyDescent="0.3">
      <c r="A138" s="17">
        <v>45463</v>
      </c>
      <c r="B138" s="18" t="s">
        <v>22</v>
      </c>
      <c r="C138" s="6">
        <v>8.1842857142857142</v>
      </c>
      <c r="D138" s="6">
        <v>37.5</v>
      </c>
      <c r="E138" s="6">
        <v>27.849</v>
      </c>
      <c r="F138" s="6">
        <v>55.15</v>
      </c>
      <c r="G138" s="6">
        <v>3.56</v>
      </c>
      <c r="H138" s="6">
        <v>3.1920000000000002</v>
      </c>
      <c r="I138" s="6">
        <v>149.1</v>
      </c>
      <c r="J138" s="6">
        <v>11.324658421201351</v>
      </c>
      <c r="K138" s="6">
        <v>1.0675991700831529E-2</v>
      </c>
      <c r="L138" s="6">
        <v>0.1209019593194976</v>
      </c>
      <c r="M138" s="6">
        <v>19.406678588265208</v>
      </c>
      <c r="N138" s="6">
        <v>2.5832284692495402E-3</v>
      </c>
      <c r="O138" s="6">
        <v>5225</v>
      </c>
      <c r="P138" s="6">
        <v>81.258563857344484</v>
      </c>
      <c r="Q138" s="6">
        <v>48499.560800000007</v>
      </c>
      <c r="R138" s="6">
        <v>8966.8670000000002</v>
      </c>
      <c r="S138" s="6">
        <v>19.90234240717356</v>
      </c>
      <c r="T138" s="6">
        <f t="shared" si="45"/>
        <v>13.458641727430656</v>
      </c>
      <c r="U138" s="6" t="e">
        <f t="shared" si="60"/>
        <v>#N/A</v>
      </c>
      <c r="V138" s="6">
        <f t="shared" si="46"/>
        <v>13.389676210189279</v>
      </c>
      <c r="W138" s="6">
        <f t="shared" si="47"/>
        <v>13.527607244672035</v>
      </c>
      <c r="X138" s="6" t="e">
        <f t="shared" si="61"/>
        <v>#N/A</v>
      </c>
      <c r="Y138" s="6" t="e">
        <f t="shared" si="62"/>
        <v>#N/A</v>
      </c>
      <c r="Z138" s="6" t="e">
        <f t="shared" si="62"/>
        <v>#N/A</v>
      </c>
      <c r="AA138" s="6" t="e">
        <f t="shared" si="62"/>
        <v>#N/A</v>
      </c>
      <c r="AB138" s="6" t="e">
        <f t="shared" si="62"/>
        <v>#N/A</v>
      </c>
      <c r="AC138" s="6" t="e">
        <f t="shared" si="62"/>
        <v>#N/A</v>
      </c>
      <c r="AG138">
        <f t="shared" si="48"/>
        <v>-6.8571428571427622E-3</v>
      </c>
      <c r="AH138">
        <f t="shared" si="49"/>
        <v>0</v>
      </c>
      <c r="AI138">
        <f t="shared" si="50"/>
        <v>-1.3658333333333328</v>
      </c>
      <c r="AJ138">
        <f t="shared" si="51"/>
        <v>-0.13793103448275568</v>
      </c>
      <c r="AK138">
        <f t="shared" si="52"/>
        <v>0.74999999999999989</v>
      </c>
      <c r="AL138">
        <f t="shared" si="53"/>
        <v>-1.0399999999999987</v>
      </c>
      <c r="AM138">
        <f t="shared" si="54"/>
        <v>0</v>
      </c>
      <c r="AN138">
        <f t="shared" si="55"/>
        <v>1.8520776000000005</v>
      </c>
      <c r="AO138">
        <f t="shared" si="56"/>
        <v>-4.1893168424027003</v>
      </c>
      <c r="AQ138">
        <f t="shared" si="57"/>
        <v>13.389676210189279</v>
      </c>
      <c r="AR138">
        <f t="shared" si="58"/>
        <v>13.527607244672035</v>
      </c>
      <c r="AT138" t="str">
        <f t="shared" si="59"/>
        <v>45463A</v>
      </c>
    </row>
    <row r="139" spans="1:46" hidden="1" x14ac:dyDescent="0.3">
      <c r="A139" s="17">
        <v>45463</v>
      </c>
      <c r="B139" s="18" t="s">
        <v>19</v>
      </c>
      <c r="C139" s="6">
        <v>8.0133333333333336</v>
      </c>
      <c r="D139" s="6">
        <v>37.666666666666657</v>
      </c>
      <c r="E139" s="6">
        <v>27.748888888888889</v>
      </c>
      <c r="F139" s="6">
        <v>54.01</v>
      </c>
      <c r="G139" s="6">
        <v>3.56</v>
      </c>
      <c r="H139" s="6">
        <v>3.1277777777777782</v>
      </c>
      <c r="I139" s="6">
        <v>151.7777777777778</v>
      </c>
      <c r="J139" s="6">
        <v>9.1955818883151679</v>
      </c>
      <c r="K139" s="6">
        <v>6.448572046618117E-3</v>
      </c>
      <c r="L139" s="6">
        <v>5.9298372317377043E-2</v>
      </c>
      <c r="M139" s="6">
        <v>19.67786578471167</v>
      </c>
      <c r="N139" s="6">
        <v>2.583327166464582E-3</v>
      </c>
      <c r="O139" s="6">
        <v>5225</v>
      </c>
      <c r="P139" s="6">
        <v>81.262765400801641</v>
      </c>
      <c r="Q139" s="6">
        <v>30021.852507317071</v>
      </c>
      <c r="R139" s="6">
        <v>0</v>
      </c>
      <c r="S139" s="6">
        <v>23.301839503945232</v>
      </c>
      <c r="T139" s="6">
        <f t="shared" si="45"/>
        <v>15.336673989759067</v>
      </c>
      <c r="U139" s="6" t="e">
        <f t="shared" si="60"/>
        <v>#N/A</v>
      </c>
      <c r="V139" s="6">
        <f t="shared" si="46"/>
        <v>16.250467093207345</v>
      </c>
      <c r="W139" s="6">
        <f t="shared" si="47"/>
        <v>14.422880886310789</v>
      </c>
      <c r="X139" s="6" t="e">
        <f t="shared" si="61"/>
        <v>#N/A</v>
      </c>
      <c r="Y139" s="6" t="e">
        <f t="shared" si="62"/>
        <v>#N/A</v>
      </c>
      <c r="Z139" s="6" t="e">
        <f t="shared" si="62"/>
        <v>#N/A</v>
      </c>
      <c r="AA139" s="6" t="e">
        <f t="shared" si="62"/>
        <v>#N/A</v>
      </c>
      <c r="AB139" s="6" t="e">
        <f t="shared" si="62"/>
        <v>#N/A</v>
      </c>
      <c r="AC139" s="6" t="e">
        <f t="shared" si="62"/>
        <v>#N/A</v>
      </c>
      <c r="AG139">
        <f t="shared" si="48"/>
        <v>2.7333333333333345E-2</v>
      </c>
      <c r="AH139">
        <f t="shared" si="49"/>
        <v>0</v>
      </c>
      <c r="AI139">
        <f t="shared" si="50"/>
        <v>-1.2824074074074066</v>
      </c>
      <c r="AJ139">
        <f t="shared" si="51"/>
        <v>1.8275862068965556</v>
      </c>
      <c r="AK139">
        <f t="shared" si="52"/>
        <v>0.74999999999999989</v>
      </c>
      <c r="AL139">
        <f t="shared" si="53"/>
        <v>-1.3611111111111085</v>
      </c>
      <c r="AM139">
        <f t="shared" si="54"/>
        <v>0</v>
      </c>
      <c r="AN139">
        <f t="shared" si="55"/>
        <v>-0.45763593658536639</v>
      </c>
      <c r="AO139">
        <f t="shared" si="56"/>
        <v>6.8836223369665106E-2</v>
      </c>
      <c r="AQ139">
        <f t="shared" si="57"/>
        <v>16.250467093207345</v>
      </c>
      <c r="AR139">
        <f t="shared" si="58"/>
        <v>14.422880886310789</v>
      </c>
      <c r="AT139" t="str">
        <f t="shared" si="59"/>
        <v>45463B</v>
      </c>
    </row>
    <row r="140" spans="1:46" hidden="1" x14ac:dyDescent="0.3">
      <c r="A140" s="17">
        <v>45463</v>
      </c>
      <c r="B140" s="18" t="s">
        <v>20</v>
      </c>
      <c r="C140" s="6">
        <v>7.8159999999999998</v>
      </c>
      <c r="D140" s="6">
        <v>37</v>
      </c>
      <c r="E140" s="6">
        <v>27.43</v>
      </c>
      <c r="F140" s="6">
        <v>54.01</v>
      </c>
      <c r="G140" s="6">
        <v>3.44</v>
      </c>
      <c r="H140" s="6">
        <v>3.073</v>
      </c>
      <c r="I140" s="6">
        <v>151.5</v>
      </c>
      <c r="J140" s="6">
        <v>8.7458274763967445</v>
      </c>
      <c r="K140" s="6">
        <v>5.8000013777647257E-3</v>
      </c>
      <c r="L140" s="6">
        <v>5.0725811412793712E-2</v>
      </c>
      <c r="M140" s="6">
        <v>23.089648068235039</v>
      </c>
      <c r="N140" s="6">
        <v>2.5849855080418141E-3</v>
      </c>
      <c r="O140" s="6">
        <v>5225</v>
      </c>
      <c r="P140" s="6">
        <v>81.315628157624417</v>
      </c>
      <c r="Q140" s="6">
        <v>28035.040000000001</v>
      </c>
      <c r="R140" s="6">
        <v>0</v>
      </c>
      <c r="S140" s="6">
        <v>26.7860027480817</v>
      </c>
      <c r="T140" s="6">
        <f t="shared" si="45"/>
        <v>19.790932052223162</v>
      </c>
      <c r="U140" s="6" t="e">
        <f t="shared" si="60"/>
        <v>#N/A</v>
      </c>
      <c r="V140" s="6">
        <f t="shared" si="46"/>
        <v>20.70472515567144</v>
      </c>
      <c r="W140" s="6">
        <f t="shared" si="47"/>
        <v>18.877138948774885</v>
      </c>
      <c r="X140" s="6" t="e">
        <f t="shared" si="61"/>
        <v>#N/A</v>
      </c>
      <c r="Y140" s="6" t="e">
        <f t="shared" si="62"/>
        <v>#N/A</v>
      </c>
      <c r="Z140" s="6" t="e">
        <f t="shared" si="62"/>
        <v>#N/A</v>
      </c>
      <c r="AA140" s="6" t="e">
        <f t="shared" si="62"/>
        <v>#N/A</v>
      </c>
      <c r="AB140" s="6" t="e">
        <f t="shared" si="62"/>
        <v>#N/A</v>
      </c>
      <c r="AC140" s="6" t="e">
        <f t="shared" si="62"/>
        <v>#N/A</v>
      </c>
      <c r="AG140">
        <f t="shared" si="48"/>
        <v>6.6800000000000109E-2</v>
      </c>
      <c r="AH140">
        <f t="shared" si="49"/>
        <v>0</v>
      </c>
      <c r="AI140">
        <f t="shared" si="50"/>
        <v>-1.0166666666666657</v>
      </c>
      <c r="AJ140">
        <f t="shared" si="51"/>
        <v>1.8275862068965556</v>
      </c>
      <c r="AK140">
        <f t="shared" si="52"/>
        <v>1.1100000000000003</v>
      </c>
      <c r="AL140">
        <f t="shared" si="53"/>
        <v>-1.635</v>
      </c>
      <c r="AM140">
        <f t="shared" si="54"/>
        <v>0</v>
      </c>
      <c r="AN140">
        <f t="shared" si="55"/>
        <v>-0.70598750000000021</v>
      </c>
      <c r="AO140">
        <f t="shared" si="56"/>
        <v>0.96834504720651182</v>
      </c>
      <c r="AQ140">
        <f t="shared" si="57"/>
        <v>20.70472515567144</v>
      </c>
      <c r="AR140">
        <f t="shared" si="58"/>
        <v>18.877138948774885</v>
      </c>
      <c r="AT140" t="str">
        <f t="shared" si="59"/>
        <v>45463C</v>
      </c>
    </row>
    <row r="141" spans="1:46" hidden="1" x14ac:dyDescent="0.3">
      <c r="A141" s="17">
        <v>45463</v>
      </c>
      <c r="B141" s="18" t="s">
        <v>21</v>
      </c>
      <c r="C141" s="6">
        <v>7.8</v>
      </c>
      <c r="D141" s="6">
        <v>37.272727272727273</v>
      </c>
      <c r="E141" s="6">
        <v>27.1</v>
      </c>
      <c r="F141" s="6">
        <v>54.01</v>
      </c>
      <c r="G141" s="6">
        <v>3.44</v>
      </c>
      <c r="H141" s="6">
        <v>3.061818181818182</v>
      </c>
      <c r="I141" s="6">
        <v>152.18181818181819</v>
      </c>
      <c r="J141" s="6">
        <v>8.8994801307016349</v>
      </c>
      <c r="K141" s="6">
        <v>8.2905468375425555E-3</v>
      </c>
      <c r="L141" s="6">
        <v>7.3781556853361241E-2</v>
      </c>
      <c r="M141" s="6">
        <v>24.374850188192259</v>
      </c>
      <c r="N141" s="6">
        <v>2.5856138698372409E-3</v>
      </c>
      <c r="O141" s="6">
        <v>5225</v>
      </c>
      <c r="P141" s="6">
        <v>81.335541500608514</v>
      </c>
      <c r="Q141" s="6">
        <v>40682.7304</v>
      </c>
      <c r="R141" s="6">
        <v>0</v>
      </c>
      <c r="S141" s="6">
        <v>27.047635822460691</v>
      </c>
      <c r="T141" s="6">
        <f t="shared" si="45"/>
        <v>22.572081072661511</v>
      </c>
      <c r="U141" s="6" t="e">
        <f t="shared" si="60"/>
        <v>#N/A</v>
      </c>
      <c r="V141" s="6">
        <f t="shared" si="46"/>
        <v>23.485874176109789</v>
      </c>
      <c r="W141" s="6">
        <f t="shared" si="47"/>
        <v>21.658287969213234</v>
      </c>
      <c r="X141" s="6" t="e">
        <f t="shared" si="61"/>
        <v>#N/A</v>
      </c>
      <c r="Y141" s="6" t="e">
        <f t="shared" si="62"/>
        <v>#N/A</v>
      </c>
      <c r="Z141" s="6" t="e">
        <f t="shared" si="62"/>
        <v>#N/A</v>
      </c>
      <c r="AA141" s="6" t="e">
        <f t="shared" si="62"/>
        <v>#N/A</v>
      </c>
      <c r="AB141" s="6" t="e">
        <f t="shared" si="62"/>
        <v>#N/A</v>
      </c>
      <c r="AC141" s="6" t="e">
        <f t="shared" si="62"/>
        <v>#N/A</v>
      </c>
      <c r="AG141">
        <f t="shared" si="48"/>
        <v>7.0000000000000104E-2</v>
      </c>
      <c r="AH141">
        <f t="shared" si="49"/>
        <v>0</v>
      </c>
      <c r="AI141">
        <f t="shared" si="50"/>
        <v>-0.74166666666666714</v>
      </c>
      <c r="AJ141">
        <f t="shared" si="51"/>
        <v>1.8275862068965556</v>
      </c>
      <c r="AK141">
        <f t="shared" si="52"/>
        <v>1.1100000000000003</v>
      </c>
      <c r="AL141">
        <f t="shared" si="53"/>
        <v>-1.6909090909090898</v>
      </c>
      <c r="AM141">
        <f t="shared" si="54"/>
        <v>0</v>
      </c>
      <c r="AN141">
        <f t="shared" si="55"/>
        <v>0.8749737999999998</v>
      </c>
      <c r="AO141">
        <f t="shared" si="56"/>
        <v>0.66103973859673104</v>
      </c>
      <c r="AQ141">
        <f t="shared" si="57"/>
        <v>23.485874176109789</v>
      </c>
      <c r="AR141">
        <f t="shared" si="58"/>
        <v>21.658287969213234</v>
      </c>
      <c r="AT141" t="str">
        <f t="shared" si="59"/>
        <v>45463D</v>
      </c>
    </row>
    <row r="142" spans="1:46" hidden="1" x14ac:dyDescent="0.3">
      <c r="A142" s="17">
        <v>45464</v>
      </c>
      <c r="B142" s="18" t="s">
        <v>22</v>
      </c>
      <c r="C142" s="6">
        <v>8.02</v>
      </c>
      <c r="D142" s="6">
        <v>37.727272727272727</v>
      </c>
      <c r="E142" s="6">
        <v>26.767272727272729</v>
      </c>
      <c r="F142" s="6">
        <v>54.01</v>
      </c>
      <c r="G142" s="6">
        <v>3.44</v>
      </c>
      <c r="H142" s="6">
        <v>3.1418181818181821</v>
      </c>
      <c r="I142" s="6">
        <v>154.4545454545455</v>
      </c>
      <c r="J142" s="6">
        <v>10.100796754071281</v>
      </c>
      <c r="K142" s="6">
        <v>5.8033494491043797E-3</v>
      </c>
      <c r="L142" s="6">
        <v>5.8618453278254858E-2</v>
      </c>
      <c r="M142" s="6">
        <v>19.849088708524661</v>
      </c>
      <c r="N142" s="6">
        <v>2.583427052990831E-3</v>
      </c>
      <c r="O142" s="6">
        <v>5225</v>
      </c>
      <c r="P142" s="6">
        <v>81.265417987685524</v>
      </c>
      <c r="Q142" s="6">
        <v>24064.909599999999</v>
      </c>
      <c r="R142" s="6">
        <v>0</v>
      </c>
      <c r="S142" s="6">
        <v>22.821896308086892</v>
      </c>
      <c r="T142" s="6">
        <f t="shared" si="45"/>
        <v>14.199731473527347</v>
      </c>
      <c r="U142" s="6" t="e">
        <f t="shared" si="60"/>
        <v>#N/A</v>
      </c>
      <c r="V142" s="6">
        <f t="shared" si="46"/>
        <v>15.113524576975625</v>
      </c>
      <c r="W142" s="6">
        <f t="shared" si="47"/>
        <v>13.285938370079069</v>
      </c>
      <c r="X142" s="6" t="e">
        <f t="shared" si="61"/>
        <v>#N/A</v>
      </c>
      <c r="Y142" s="6" t="e">
        <f t="shared" si="62"/>
        <v>#N/A</v>
      </c>
      <c r="Z142" s="6" t="e">
        <f t="shared" si="62"/>
        <v>#N/A</v>
      </c>
      <c r="AA142" s="6" t="e">
        <f t="shared" si="62"/>
        <v>#N/A</v>
      </c>
      <c r="AB142" s="6" t="e">
        <f t="shared" si="62"/>
        <v>#N/A</v>
      </c>
      <c r="AC142" s="6" t="e">
        <f t="shared" si="62"/>
        <v>#N/A</v>
      </c>
      <c r="AG142">
        <f t="shared" si="48"/>
        <v>2.6000000000000158E-2</v>
      </c>
      <c r="AH142">
        <f t="shared" si="49"/>
        <v>0</v>
      </c>
      <c r="AI142">
        <f t="shared" si="50"/>
        <v>-0.46439393939394041</v>
      </c>
      <c r="AJ142">
        <f t="shared" si="51"/>
        <v>1.8275862068965556</v>
      </c>
      <c r="AK142">
        <f t="shared" si="52"/>
        <v>1.1100000000000003</v>
      </c>
      <c r="AL142">
        <f t="shared" si="53"/>
        <v>-1.2909090909090892</v>
      </c>
      <c r="AM142">
        <f t="shared" si="54"/>
        <v>0</v>
      </c>
      <c r="AN142">
        <f t="shared" si="55"/>
        <v>-1.2022538000000005</v>
      </c>
      <c r="AO142">
        <f t="shared" si="56"/>
        <v>-1.7415935081425609</v>
      </c>
      <c r="AQ142">
        <f t="shared" si="57"/>
        <v>15.113524576975625</v>
      </c>
      <c r="AR142">
        <f t="shared" si="58"/>
        <v>13.285938370079069</v>
      </c>
      <c r="AT142" t="str">
        <f t="shared" si="59"/>
        <v>45464A</v>
      </c>
    </row>
    <row r="143" spans="1:46" hidden="1" x14ac:dyDescent="0.3">
      <c r="A143" s="17">
        <v>45464</v>
      </c>
      <c r="B143" s="18" t="s">
        <v>19</v>
      </c>
      <c r="C143" s="6">
        <v>7.9577777777777783</v>
      </c>
      <c r="D143" s="6">
        <v>37.583333333333343</v>
      </c>
      <c r="E143" s="6">
        <v>26.627500000000001</v>
      </c>
      <c r="F143" s="6">
        <v>54.1</v>
      </c>
      <c r="G143" s="6">
        <v>3.66</v>
      </c>
      <c r="H143" s="6">
        <v>3.2233333333333332</v>
      </c>
      <c r="I143" s="6">
        <v>150.66666666666671</v>
      </c>
      <c r="J143" s="6">
        <v>7.9668363341529336</v>
      </c>
      <c r="K143" s="6">
        <v>2.1518703771361402E-3</v>
      </c>
      <c r="L143" s="6">
        <v>1.7143599106955579E-2</v>
      </c>
      <c r="M143" s="6">
        <v>17.663322183101499</v>
      </c>
      <c r="N143" s="6">
        <v>2.582370591833672E-3</v>
      </c>
      <c r="O143" s="6">
        <v>5224.9999999999991</v>
      </c>
      <c r="P143" s="6">
        <v>81.231552870595749</v>
      </c>
      <c r="Q143" s="6">
        <v>9226.0306117647069</v>
      </c>
      <c r="R143" s="6">
        <v>0</v>
      </c>
      <c r="S143" s="6">
        <v>21.256378487481751</v>
      </c>
      <c r="T143" s="6">
        <f t="shared" si="45"/>
        <v>14.225937182262388</v>
      </c>
      <c r="U143" s="6" t="e">
        <f t="shared" si="60"/>
        <v>#N/A</v>
      </c>
      <c r="V143" s="6">
        <f t="shared" si="46"/>
        <v>15.062144078814111</v>
      </c>
      <c r="W143" s="6">
        <f t="shared" si="47"/>
        <v>13.389730285710664</v>
      </c>
      <c r="X143" s="6" t="e">
        <f t="shared" si="61"/>
        <v>#N/A</v>
      </c>
      <c r="Y143" s="6" t="e">
        <f t="shared" si="62"/>
        <v>#N/A</v>
      </c>
      <c r="Z143" s="6" t="e">
        <f t="shared" si="62"/>
        <v>#N/A</v>
      </c>
      <c r="AA143" s="6" t="e">
        <f t="shared" si="62"/>
        <v>#N/A</v>
      </c>
      <c r="AB143" s="6" t="e">
        <f t="shared" si="62"/>
        <v>#N/A</v>
      </c>
      <c r="AC143" s="6" t="e">
        <f t="shared" si="62"/>
        <v>#N/A</v>
      </c>
      <c r="AG143">
        <f t="shared" si="48"/>
        <v>3.844444444444442E-2</v>
      </c>
      <c r="AH143">
        <f t="shared" si="49"/>
        <v>0</v>
      </c>
      <c r="AI143">
        <f t="shared" si="50"/>
        <v>-0.34791666666666704</v>
      </c>
      <c r="AJ143">
        <f t="shared" si="51"/>
        <v>1.6724137931034464</v>
      </c>
      <c r="AK143">
        <f t="shared" si="52"/>
        <v>0.44999999999999968</v>
      </c>
      <c r="AL143">
        <f t="shared" si="53"/>
        <v>-0.88333333333333375</v>
      </c>
      <c r="AM143">
        <f t="shared" si="54"/>
        <v>0</v>
      </c>
      <c r="AN143">
        <f t="shared" si="55"/>
        <v>-3.057113673529412</v>
      </c>
      <c r="AO143">
        <f t="shared" si="56"/>
        <v>2.5263273316941337</v>
      </c>
      <c r="AQ143">
        <f t="shared" si="57"/>
        <v>15.062144078814111</v>
      </c>
      <c r="AR143">
        <f t="shared" si="58"/>
        <v>13.389730285710664</v>
      </c>
      <c r="AT143" t="str">
        <f t="shared" si="59"/>
        <v>45464B</v>
      </c>
    </row>
    <row r="144" spans="1:46" hidden="1" x14ac:dyDescent="0.3">
      <c r="A144" s="17">
        <v>45464</v>
      </c>
      <c r="B144" s="18" t="s">
        <v>20</v>
      </c>
      <c r="C144" s="6">
        <v>7.81</v>
      </c>
      <c r="D144" s="6">
        <v>37.5</v>
      </c>
      <c r="E144" s="6">
        <v>26.667000000000002</v>
      </c>
      <c r="F144" s="6">
        <v>54.1</v>
      </c>
      <c r="G144" s="6">
        <v>3.66</v>
      </c>
      <c r="H144" s="6">
        <v>3.206</v>
      </c>
      <c r="I144" s="6">
        <v>148.30000000000001</v>
      </c>
      <c r="J144" s="6">
        <v>8.9043119518190093</v>
      </c>
      <c r="K144" s="6">
        <v>3.9410833319482993E-3</v>
      </c>
      <c r="L144" s="6">
        <v>3.5092635415781927E-2</v>
      </c>
      <c r="M144" s="6">
        <v>18.894820916590302</v>
      </c>
      <c r="N144" s="6">
        <v>2.5829633960199089E-3</v>
      </c>
      <c r="O144" s="6">
        <v>5225</v>
      </c>
      <c r="P144" s="6">
        <v>81.250633724025974</v>
      </c>
      <c r="Q144" s="6">
        <v>19210.2952</v>
      </c>
      <c r="R144" s="6">
        <v>0</v>
      </c>
      <c r="S144" s="6">
        <v>23.065423582149819</v>
      </c>
      <c r="T144" s="6">
        <f t="shared" si="45"/>
        <v>14.740489976170675</v>
      </c>
      <c r="U144" s="6" t="e">
        <f t="shared" si="60"/>
        <v>#N/A</v>
      </c>
      <c r="V144" s="6">
        <f t="shared" si="46"/>
        <v>15.576696872722398</v>
      </c>
      <c r="W144" s="6">
        <f t="shared" si="47"/>
        <v>13.904283079618951</v>
      </c>
      <c r="X144" s="6" t="e">
        <f t="shared" si="61"/>
        <v>#N/A</v>
      </c>
      <c r="Y144" s="6" t="e">
        <f t="shared" si="62"/>
        <v>#N/A</v>
      </c>
      <c r="Z144" s="6" t="e">
        <f t="shared" si="62"/>
        <v>#N/A</v>
      </c>
      <c r="AA144" s="6" t="e">
        <f t="shared" si="62"/>
        <v>#N/A</v>
      </c>
      <c r="AB144" s="6" t="e">
        <f t="shared" si="62"/>
        <v>#N/A</v>
      </c>
      <c r="AC144" s="6" t="e">
        <f t="shared" si="62"/>
        <v>#N/A</v>
      </c>
      <c r="AG144">
        <f t="shared" si="48"/>
        <v>6.8000000000000158E-2</v>
      </c>
      <c r="AH144">
        <f t="shared" si="49"/>
        <v>0</v>
      </c>
      <c r="AI144">
        <f t="shared" si="50"/>
        <v>-0.38083333333333397</v>
      </c>
      <c r="AJ144">
        <f t="shared" si="51"/>
        <v>1.6724137931034464</v>
      </c>
      <c r="AK144">
        <f t="shared" si="52"/>
        <v>0.44999999999999968</v>
      </c>
      <c r="AL144">
        <f t="shared" si="53"/>
        <v>-0.96999999999999986</v>
      </c>
      <c r="AM144">
        <f t="shared" si="54"/>
        <v>0</v>
      </c>
      <c r="AN144">
        <f t="shared" si="55"/>
        <v>-1.8090806000000001</v>
      </c>
      <c r="AO144">
        <f t="shared" si="56"/>
        <v>0.65137609636198235</v>
      </c>
      <c r="AQ144">
        <f t="shared" si="57"/>
        <v>15.576696872722398</v>
      </c>
      <c r="AR144">
        <f t="shared" si="58"/>
        <v>13.904283079618951</v>
      </c>
      <c r="AT144" t="str">
        <f t="shared" si="59"/>
        <v>45464C</v>
      </c>
    </row>
    <row r="145" spans="1:46" hidden="1" x14ac:dyDescent="0.3">
      <c r="A145" s="17">
        <v>45464</v>
      </c>
      <c r="B145" s="18" t="s">
        <v>21</v>
      </c>
      <c r="C145" s="6">
        <v>7.7685714285714287</v>
      </c>
      <c r="D145" s="6">
        <v>37.666666666666657</v>
      </c>
      <c r="E145" s="6">
        <v>27.033333333333331</v>
      </c>
      <c r="F145" s="6">
        <v>54.1</v>
      </c>
      <c r="G145" s="6">
        <v>3.66</v>
      </c>
      <c r="H145" s="6">
        <v>3.1533333333333329</v>
      </c>
      <c r="I145" s="6">
        <v>148.7777777777778</v>
      </c>
      <c r="J145" s="6">
        <v>9.2444585436582933</v>
      </c>
      <c r="K145" s="6">
        <v>6.2064091004195108E-3</v>
      </c>
      <c r="L145" s="6">
        <v>5.737489163381173E-2</v>
      </c>
      <c r="M145" s="6">
        <v>20.98882645313055</v>
      </c>
      <c r="N145" s="6">
        <v>2.583971888372746E-3</v>
      </c>
      <c r="O145" s="6">
        <v>5225</v>
      </c>
      <c r="P145" s="6">
        <v>81.283077911803289</v>
      </c>
      <c r="Q145" s="6">
        <v>31361.713599999999</v>
      </c>
      <c r="R145" s="6">
        <v>0</v>
      </c>
      <c r="S145" s="6">
        <v>25.04640423608728</v>
      </c>
      <c r="T145" s="6">
        <f t="shared" si="45"/>
        <v>17.112804232206958</v>
      </c>
      <c r="U145" s="6" t="e">
        <f t="shared" si="60"/>
        <v>#N/A</v>
      </c>
      <c r="V145" s="6">
        <f t="shared" si="46"/>
        <v>17.949011128758681</v>
      </c>
      <c r="W145" s="6">
        <f t="shared" si="47"/>
        <v>16.276597335655236</v>
      </c>
      <c r="X145" s="6" t="e">
        <f t="shared" si="61"/>
        <v>#N/A</v>
      </c>
      <c r="Y145" s="6" t="e">
        <f t="shared" si="62"/>
        <v>#N/A</v>
      </c>
      <c r="Z145" s="6" t="e">
        <f t="shared" si="62"/>
        <v>#N/A</v>
      </c>
      <c r="AA145" s="6" t="e">
        <f t="shared" si="62"/>
        <v>#N/A</v>
      </c>
      <c r="AB145" s="6" t="e">
        <f t="shared" si="62"/>
        <v>#N/A</v>
      </c>
      <c r="AC145" s="6" t="e">
        <f t="shared" si="62"/>
        <v>#N/A</v>
      </c>
      <c r="AG145">
        <f t="shared" si="48"/>
        <v>7.6285714285714346E-2</v>
      </c>
      <c r="AH145">
        <f t="shared" si="49"/>
        <v>0</v>
      </c>
      <c r="AI145">
        <f t="shared" si="50"/>
        <v>-0.6861111111111089</v>
      </c>
      <c r="AJ145">
        <f t="shared" si="51"/>
        <v>1.6724137931034464</v>
      </c>
      <c r="AK145">
        <f t="shared" si="52"/>
        <v>0.44999999999999968</v>
      </c>
      <c r="AL145">
        <f t="shared" si="53"/>
        <v>-1.2333333333333352</v>
      </c>
      <c r="AM145">
        <f t="shared" si="54"/>
        <v>0</v>
      </c>
      <c r="AN145">
        <f t="shared" si="55"/>
        <v>-0.29015330000000039</v>
      </c>
      <c r="AO145">
        <f t="shared" si="56"/>
        <v>-2.8917087316585821E-2</v>
      </c>
      <c r="AQ145">
        <f t="shared" si="57"/>
        <v>17.949011128758681</v>
      </c>
      <c r="AR145">
        <f t="shared" si="58"/>
        <v>16.276597335655236</v>
      </c>
      <c r="AT145" t="str">
        <f t="shared" si="59"/>
        <v>45464D</v>
      </c>
    </row>
    <row r="146" spans="1:46" hidden="1" x14ac:dyDescent="0.3">
      <c r="A146" s="17">
        <v>45467</v>
      </c>
      <c r="B146" s="18" t="s">
        <v>19</v>
      </c>
      <c r="C146" s="6">
        <v>7.93</v>
      </c>
      <c r="D146" s="6">
        <v>37.799999999999997</v>
      </c>
      <c r="E146" s="6">
        <v>26.4</v>
      </c>
      <c r="F146" s="6">
        <v>54.85</v>
      </c>
      <c r="G146" s="6">
        <v>3.5</v>
      </c>
      <c r="H146" s="6">
        <v>3.2480000000000002</v>
      </c>
      <c r="I146" s="6">
        <v>147.19999999999999</v>
      </c>
      <c r="J146" s="6">
        <v>7.4888354688014074</v>
      </c>
      <c r="K146" s="6">
        <v>4.9955654170499744E-4</v>
      </c>
      <c r="L146" s="6">
        <v>3.7410967481921538E-3</v>
      </c>
      <c r="M146" s="6">
        <v>19.940077305415478</v>
      </c>
      <c r="N146" s="6">
        <v>2.5834735092208089E-3</v>
      </c>
      <c r="O146" s="6">
        <v>5225</v>
      </c>
      <c r="P146" s="6">
        <v>81.26682766703756</v>
      </c>
      <c r="Q146" s="6">
        <v>1322.7919999999999</v>
      </c>
      <c r="R146" s="6">
        <v>8801.2013333333343</v>
      </c>
      <c r="S146" s="6">
        <v>21.892271177802439</v>
      </c>
      <c r="T146" s="6">
        <f t="shared" si="45"/>
        <v>17.722859873559791</v>
      </c>
      <c r="U146" s="6" t="e">
        <f t="shared" si="60"/>
        <v>#N/A</v>
      </c>
      <c r="V146" s="6">
        <f t="shared" si="46"/>
        <v>17.912515045973585</v>
      </c>
      <c r="W146" s="6">
        <f t="shared" si="47"/>
        <v>17.533204701146001</v>
      </c>
      <c r="X146" s="6" t="e">
        <f t="shared" si="61"/>
        <v>#N/A</v>
      </c>
      <c r="Y146" s="6" t="e">
        <f t="shared" si="62"/>
        <v>#N/A</v>
      </c>
      <c r="Z146" s="6" t="e">
        <f t="shared" si="62"/>
        <v>#N/A</v>
      </c>
      <c r="AA146" s="6" t="e">
        <f t="shared" si="62"/>
        <v>#N/A</v>
      </c>
      <c r="AB146" s="6" t="e">
        <f t="shared" si="62"/>
        <v>#N/A</v>
      </c>
      <c r="AC146" s="6" t="e">
        <f t="shared" si="62"/>
        <v>#N/A</v>
      </c>
      <c r="AG146">
        <f t="shared" si="48"/>
        <v>4.4000000000000129E-2</v>
      </c>
      <c r="AH146">
        <f t="shared" si="49"/>
        <v>0</v>
      </c>
      <c r="AI146">
        <f t="shared" si="50"/>
        <v>-0.15833333333333144</v>
      </c>
      <c r="AJ146">
        <f t="shared" si="51"/>
        <v>0.37931034482758424</v>
      </c>
      <c r="AK146">
        <f t="shared" si="52"/>
        <v>0.93</v>
      </c>
      <c r="AL146">
        <f t="shared" si="53"/>
        <v>-0.75999999999999845</v>
      </c>
      <c r="AM146">
        <f t="shared" si="54"/>
        <v>0</v>
      </c>
      <c r="AN146">
        <f t="shared" si="55"/>
        <v>-4.0450185000000003</v>
      </c>
      <c r="AO146">
        <f t="shared" si="56"/>
        <v>3.4823290623971861</v>
      </c>
      <c r="AQ146">
        <f t="shared" si="57"/>
        <v>17.912515045973585</v>
      </c>
      <c r="AR146">
        <f t="shared" si="58"/>
        <v>17.533204701146001</v>
      </c>
      <c r="AT146" t="str">
        <f t="shared" si="59"/>
        <v>45467B</v>
      </c>
    </row>
    <row r="147" spans="1:46" hidden="1" x14ac:dyDescent="0.3">
      <c r="A147" s="17">
        <v>45467</v>
      </c>
      <c r="B147" s="18" t="s">
        <v>20</v>
      </c>
      <c r="C147" s="6">
        <v>7.8975</v>
      </c>
      <c r="D147" s="6">
        <v>37.625</v>
      </c>
      <c r="E147" s="6">
        <v>26.137499999999999</v>
      </c>
      <c r="F147" s="6">
        <v>54.85</v>
      </c>
      <c r="G147" s="6">
        <v>3.71</v>
      </c>
      <c r="H147" s="6">
        <v>3.2485714285714282</v>
      </c>
      <c r="I147" s="6">
        <v>149.57142857142861</v>
      </c>
      <c r="J147" s="6">
        <v>8.1657433430280744</v>
      </c>
      <c r="K147" s="6">
        <v>1.0401746846946979E-3</v>
      </c>
      <c r="L147" s="6">
        <v>8.4937995071320549E-3</v>
      </c>
      <c r="M147" s="6">
        <v>19.48074248978671</v>
      </c>
      <c r="N147" s="6">
        <v>2.5832737932636259E-3</v>
      </c>
      <c r="O147" s="6">
        <v>5225</v>
      </c>
      <c r="P147" s="6">
        <v>81.259711397922899</v>
      </c>
      <c r="Q147" s="6">
        <v>4346.7920000000004</v>
      </c>
      <c r="R147" s="6">
        <v>14909.424000000001</v>
      </c>
      <c r="S147" s="6">
        <v>20.855934974684232</v>
      </c>
      <c r="T147" s="6">
        <f t="shared" si="45"/>
        <v>16.649344285668164</v>
      </c>
      <c r="U147" s="6" t="e">
        <f t="shared" si="60"/>
        <v>#N/A</v>
      </c>
      <c r="V147" s="6">
        <f t="shared" si="46"/>
        <v>16.838999458081958</v>
      </c>
      <c r="W147" s="6">
        <f t="shared" si="47"/>
        <v>16.459689113254374</v>
      </c>
      <c r="X147" s="6" t="e">
        <f t="shared" si="61"/>
        <v>#N/A</v>
      </c>
      <c r="Y147" s="6" t="e">
        <f t="shared" ref="Y147:AC156" si="63">VLOOKUP($AT147,hhh,3,0)</f>
        <v>#N/A</v>
      </c>
      <c r="Z147" s="6" t="e">
        <f t="shared" si="63"/>
        <v>#N/A</v>
      </c>
      <c r="AA147" s="6" t="e">
        <f t="shared" si="63"/>
        <v>#N/A</v>
      </c>
      <c r="AB147" s="6" t="e">
        <f t="shared" si="63"/>
        <v>#N/A</v>
      </c>
      <c r="AC147" s="6" t="e">
        <f t="shared" si="63"/>
        <v>#N/A</v>
      </c>
      <c r="AG147">
        <f t="shared" si="48"/>
        <v>5.050000000000008E-2</v>
      </c>
      <c r="AH147">
        <f t="shared" si="49"/>
        <v>0</v>
      </c>
      <c r="AI147">
        <f t="shared" si="50"/>
        <v>6.0416666666667972E-2</v>
      </c>
      <c r="AJ147">
        <f t="shared" si="51"/>
        <v>0.37931034482758424</v>
      </c>
      <c r="AK147">
        <f t="shared" si="52"/>
        <v>0.30000000000000027</v>
      </c>
      <c r="AL147">
        <f t="shared" si="53"/>
        <v>-0.75714285714285845</v>
      </c>
      <c r="AM147">
        <f t="shared" si="54"/>
        <v>0</v>
      </c>
      <c r="AN147">
        <f t="shared" si="55"/>
        <v>-3.6670185000000002</v>
      </c>
      <c r="AO147">
        <f t="shared" si="56"/>
        <v>2.1285133139438521</v>
      </c>
      <c r="AQ147">
        <f t="shared" si="57"/>
        <v>16.838999458081958</v>
      </c>
      <c r="AR147">
        <f t="shared" si="58"/>
        <v>16.459689113254374</v>
      </c>
      <c r="AT147" t="str">
        <f t="shared" si="59"/>
        <v>45467C</v>
      </c>
    </row>
    <row r="148" spans="1:46" hidden="1" x14ac:dyDescent="0.3">
      <c r="A148" s="17">
        <v>45467</v>
      </c>
      <c r="B148" s="18" t="s">
        <v>21</v>
      </c>
      <c r="C148" s="6">
        <v>7.9483333333333333</v>
      </c>
      <c r="D148" s="6">
        <v>37.111111111111107</v>
      </c>
      <c r="E148" s="6">
        <v>26.74444444444444</v>
      </c>
      <c r="F148" s="6">
        <v>54.85</v>
      </c>
      <c r="G148" s="6">
        <v>3.71</v>
      </c>
      <c r="H148" s="6">
        <v>3.24</v>
      </c>
      <c r="I148" s="6">
        <v>154.25</v>
      </c>
      <c r="J148" s="6">
        <v>7.8798410455424133</v>
      </c>
      <c r="K148" s="6">
        <v>5.0675386692984447E-3</v>
      </c>
      <c r="L148" s="6">
        <v>3.9931399206211263E-2</v>
      </c>
      <c r="M148" s="6">
        <v>20.991566073169778</v>
      </c>
      <c r="N148" s="6">
        <v>2.583983402150452E-3</v>
      </c>
      <c r="O148" s="6">
        <v>5225</v>
      </c>
      <c r="P148" s="6">
        <v>81.283120175846975</v>
      </c>
      <c r="Q148" s="6">
        <v>23810.705600000001</v>
      </c>
      <c r="R148" s="6">
        <v>17206.597941176471</v>
      </c>
      <c r="S148" s="6">
        <v>21.229585866336731</v>
      </c>
      <c r="T148" s="6">
        <f t="shared" si="45"/>
        <v>20.893297560108778</v>
      </c>
      <c r="U148" s="6" t="e">
        <f t="shared" si="60"/>
        <v>#N/A</v>
      </c>
      <c r="V148" s="6">
        <f t="shared" si="46"/>
        <v>21.082952732522568</v>
      </c>
      <c r="W148" s="6">
        <f t="shared" si="47"/>
        <v>20.703642387694984</v>
      </c>
      <c r="X148" s="6" t="e">
        <f t="shared" si="61"/>
        <v>#N/A</v>
      </c>
      <c r="Y148" s="6" t="e">
        <f t="shared" si="63"/>
        <v>#N/A</v>
      </c>
      <c r="Z148" s="6" t="e">
        <f t="shared" si="63"/>
        <v>#N/A</v>
      </c>
      <c r="AA148" s="6" t="e">
        <f t="shared" si="63"/>
        <v>#N/A</v>
      </c>
      <c r="AB148" s="6" t="e">
        <f t="shared" si="63"/>
        <v>#N/A</v>
      </c>
      <c r="AC148" s="6" t="e">
        <f t="shared" si="63"/>
        <v>#N/A</v>
      </c>
      <c r="AG148">
        <f t="shared" si="48"/>
        <v>4.0333333333333422E-2</v>
      </c>
      <c r="AH148">
        <f t="shared" si="49"/>
        <v>0</v>
      </c>
      <c r="AI148">
        <f t="shared" si="50"/>
        <v>-0.44537037037036598</v>
      </c>
      <c r="AJ148">
        <f t="shared" si="51"/>
        <v>0.37931034482758424</v>
      </c>
      <c r="AK148">
        <f t="shared" si="52"/>
        <v>0.30000000000000027</v>
      </c>
      <c r="AL148">
        <f t="shared" si="53"/>
        <v>-0.79999999999999849</v>
      </c>
      <c r="AM148">
        <f t="shared" si="54"/>
        <v>0</v>
      </c>
      <c r="AN148">
        <f t="shared" si="55"/>
        <v>-1.2340293000000002</v>
      </c>
      <c r="AO148">
        <f t="shared" si="56"/>
        <v>2.7003179089151743</v>
      </c>
      <c r="AQ148">
        <f t="shared" si="57"/>
        <v>21.082952732522568</v>
      </c>
      <c r="AR148">
        <f t="shared" si="58"/>
        <v>20.703642387694984</v>
      </c>
      <c r="AT148" t="str">
        <f t="shared" si="59"/>
        <v>45467D</v>
      </c>
    </row>
    <row r="149" spans="1:46" hidden="1" x14ac:dyDescent="0.3">
      <c r="A149" s="17">
        <v>45468</v>
      </c>
      <c r="B149" s="18" t="s">
        <v>22</v>
      </c>
      <c r="C149" s="6">
        <v>7.9285714285714288</v>
      </c>
      <c r="D149" s="6">
        <v>36.272727272727273</v>
      </c>
      <c r="E149" s="6">
        <v>26.59090909090909</v>
      </c>
      <c r="F149" s="6">
        <v>54.85</v>
      </c>
      <c r="G149" s="6">
        <v>3.46</v>
      </c>
      <c r="H149" s="6">
        <v>3.1418181818181821</v>
      </c>
      <c r="I149" s="6">
        <v>152.5454545454545</v>
      </c>
      <c r="J149" s="6">
        <v>7.1904831489703751</v>
      </c>
      <c r="K149" s="6">
        <v>8.624487094347261E-3</v>
      </c>
      <c r="L149" s="6">
        <v>6.2014229120416452E-2</v>
      </c>
      <c r="M149" s="6">
        <v>24.475064069393699</v>
      </c>
      <c r="N149" s="6">
        <v>2.5856543048145141E-3</v>
      </c>
      <c r="O149" s="6">
        <v>5225</v>
      </c>
      <c r="P149" s="6">
        <v>81.337094275354147</v>
      </c>
      <c r="Q149" s="6">
        <v>51845.88</v>
      </c>
      <c r="R149" s="6">
        <v>3414</v>
      </c>
      <c r="S149" s="6">
        <v>25.128488240691389</v>
      </c>
      <c r="T149" s="6">
        <f t="shared" si="45"/>
        <v>27.926822824819126</v>
      </c>
      <c r="U149" s="6" t="e">
        <f t="shared" si="60"/>
        <v>#N/A</v>
      </c>
      <c r="V149" s="6">
        <f t="shared" si="46"/>
        <v>28.116477997232916</v>
      </c>
      <c r="W149" s="6">
        <f t="shared" si="47"/>
        <v>27.737167652405333</v>
      </c>
      <c r="X149" s="6" t="e">
        <f t="shared" si="61"/>
        <v>#N/A</v>
      </c>
      <c r="Y149" s="6" t="e">
        <f t="shared" si="63"/>
        <v>#N/A</v>
      </c>
      <c r="Z149" s="6" t="e">
        <f t="shared" si="63"/>
        <v>#N/A</v>
      </c>
      <c r="AA149" s="6" t="e">
        <f t="shared" si="63"/>
        <v>#N/A</v>
      </c>
      <c r="AB149" s="6" t="e">
        <f t="shared" si="63"/>
        <v>#N/A</v>
      </c>
      <c r="AC149" s="6" t="e">
        <f t="shared" si="63"/>
        <v>#N/A</v>
      </c>
      <c r="AG149">
        <f t="shared" si="48"/>
        <v>4.428571428571431E-2</v>
      </c>
      <c r="AH149">
        <f t="shared" si="49"/>
        <v>0</v>
      </c>
      <c r="AI149">
        <f t="shared" si="50"/>
        <v>-0.31742424242424094</v>
      </c>
      <c r="AJ149">
        <f t="shared" si="51"/>
        <v>0.37931034482758424</v>
      </c>
      <c r="AK149">
        <f t="shared" si="52"/>
        <v>1.0500000000000003</v>
      </c>
      <c r="AL149">
        <f t="shared" si="53"/>
        <v>-1.2909090909090892</v>
      </c>
      <c r="AM149">
        <f t="shared" si="54"/>
        <v>0</v>
      </c>
      <c r="AN149">
        <f t="shared" si="55"/>
        <v>2.2703674999999994</v>
      </c>
      <c r="AO149">
        <f t="shared" si="56"/>
        <v>4.0790337020592506</v>
      </c>
      <c r="AQ149">
        <f t="shared" si="57"/>
        <v>28.116477997232916</v>
      </c>
      <c r="AR149">
        <f t="shared" si="58"/>
        <v>27.737167652405333</v>
      </c>
      <c r="AT149" t="str">
        <f t="shared" si="59"/>
        <v>45468A</v>
      </c>
    </row>
    <row r="150" spans="1:46" hidden="1" x14ac:dyDescent="0.3">
      <c r="A150" s="17">
        <v>45468</v>
      </c>
      <c r="B150" s="18" t="s">
        <v>19</v>
      </c>
      <c r="C150" s="6">
        <v>7.9</v>
      </c>
      <c r="D150" s="6">
        <v>37.222222222222221</v>
      </c>
      <c r="E150" s="6">
        <v>27.25555555555556</v>
      </c>
      <c r="F150" s="6">
        <v>54.85</v>
      </c>
      <c r="G150" s="6">
        <v>3.57</v>
      </c>
      <c r="H150" s="6">
        <v>3.1366666666666672</v>
      </c>
      <c r="I150" s="6">
        <v>146.44444444444451</v>
      </c>
      <c r="J150" s="6">
        <v>8.28951619752638</v>
      </c>
      <c r="K150" s="6">
        <v>2.4237888678235379E-3</v>
      </c>
      <c r="L150" s="6">
        <v>2.0092037079207339E-2</v>
      </c>
      <c r="M150" s="6">
        <v>21.474825310623221</v>
      </c>
      <c r="N150" s="6">
        <v>2.5842164958786999E-3</v>
      </c>
      <c r="O150" s="6">
        <v>5225</v>
      </c>
      <c r="P150" s="6">
        <v>81.290607603556936</v>
      </c>
      <c r="Q150" s="6">
        <v>13830.135200000001</v>
      </c>
      <c r="R150" s="6">
        <v>0</v>
      </c>
      <c r="S150" s="6">
        <v>23.612053298913459</v>
      </c>
      <c r="T150" s="6">
        <f t="shared" si="45"/>
        <v>16.645884525021287</v>
      </c>
      <c r="U150" s="6" t="e">
        <f t="shared" si="60"/>
        <v>#N/A</v>
      </c>
      <c r="V150" s="6">
        <f t="shared" si="46"/>
        <v>16.835539697435081</v>
      </c>
      <c r="W150" s="6">
        <f t="shared" si="47"/>
        <v>16.456229352607497</v>
      </c>
      <c r="X150" s="6" t="e">
        <f t="shared" si="61"/>
        <v>#N/A</v>
      </c>
      <c r="Y150" s="6" t="e">
        <f t="shared" si="63"/>
        <v>#N/A</v>
      </c>
      <c r="Z150" s="6" t="e">
        <f t="shared" si="63"/>
        <v>#N/A</v>
      </c>
      <c r="AA150" s="6" t="e">
        <f t="shared" si="63"/>
        <v>#N/A</v>
      </c>
      <c r="AB150" s="6" t="e">
        <f t="shared" si="63"/>
        <v>#N/A</v>
      </c>
      <c r="AC150" s="6" t="e">
        <f t="shared" si="63"/>
        <v>#N/A</v>
      </c>
      <c r="AG150">
        <f t="shared" si="48"/>
        <v>0.05</v>
      </c>
      <c r="AH150">
        <f t="shared" si="49"/>
        <v>0</v>
      </c>
      <c r="AI150">
        <f t="shared" si="50"/>
        <v>-0.87129629629629934</v>
      </c>
      <c r="AJ150">
        <f t="shared" si="51"/>
        <v>0.37931034482758424</v>
      </c>
      <c r="AK150">
        <f t="shared" si="52"/>
        <v>0.72000000000000064</v>
      </c>
      <c r="AL150">
        <f t="shared" si="53"/>
        <v>-1.316666666666664</v>
      </c>
      <c r="AM150">
        <f t="shared" si="54"/>
        <v>0</v>
      </c>
      <c r="AN150">
        <f t="shared" si="55"/>
        <v>-2.4816006000000002</v>
      </c>
      <c r="AO150">
        <f t="shared" si="56"/>
        <v>1.8809676049472408</v>
      </c>
      <c r="AQ150">
        <f t="shared" si="57"/>
        <v>16.835539697435081</v>
      </c>
      <c r="AR150">
        <f t="shared" si="58"/>
        <v>16.456229352607497</v>
      </c>
      <c r="AT150" t="str">
        <f t="shared" si="59"/>
        <v>45468B</v>
      </c>
    </row>
    <row r="151" spans="1:46" hidden="1" x14ac:dyDescent="0.3">
      <c r="A151" s="17">
        <v>45468</v>
      </c>
      <c r="B151" s="18" t="s">
        <v>20</v>
      </c>
      <c r="C151" s="6">
        <v>7.8000000000000007</v>
      </c>
      <c r="D151" s="6">
        <v>37.111111111111107</v>
      </c>
      <c r="E151" s="6">
        <v>27.522222222222219</v>
      </c>
      <c r="F151" s="6">
        <v>54.85</v>
      </c>
      <c r="G151" s="6">
        <v>3.57</v>
      </c>
      <c r="H151" s="6">
        <v>3.1388888888888888</v>
      </c>
      <c r="I151" s="6">
        <v>148</v>
      </c>
      <c r="J151" s="6">
        <v>9.8068498183184314</v>
      </c>
      <c r="K151" s="6">
        <v>2.7150107327927999E-3</v>
      </c>
      <c r="L151" s="6">
        <v>2.6625702511621659E-2</v>
      </c>
      <c r="M151" s="6">
        <v>21.984576563109609</v>
      </c>
      <c r="N151" s="6">
        <v>2.5844762603467008E-3</v>
      </c>
      <c r="O151" s="6">
        <v>5225</v>
      </c>
      <c r="P151" s="6">
        <v>81.298505919257664</v>
      </c>
      <c r="Q151" s="6">
        <v>12290.415199999999</v>
      </c>
      <c r="R151" s="6">
        <v>0</v>
      </c>
      <c r="S151" s="6">
        <v>23.743555489449111</v>
      </c>
      <c r="T151" s="6">
        <f t="shared" si="45"/>
        <v>13.737392424812471</v>
      </c>
      <c r="U151" s="6" t="e">
        <f t="shared" si="60"/>
        <v>#N/A</v>
      </c>
      <c r="V151" s="6">
        <f t="shared" si="46"/>
        <v>13.927047597226263</v>
      </c>
      <c r="W151" s="6">
        <f t="shared" si="47"/>
        <v>13.547737252398679</v>
      </c>
      <c r="X151" s="6" t="e">
        <f t="shared" si="61"/>
        <v>#N/A</v>
      </c>
      <c r="Y151" s="6" t="e">
        <f t="shared" si="63"/>
        <v>#N/A</v>
      </c>
      <c r="Z151" s="6" t="e">
        <f t="shared" si="63"/>
        <v>#N/A</v>
      </c>
      <c r="AA151" s="6" t="e">
        <f t="shared" si="63"/>
        <v>#N/A</v>
      </c>
      <c r="AB151" s="6" t="e">
        <f t="shared" si="63"/>
        <v>#N/A</v>
      </c>
      <c r="AC151" s="6" t="e">
        <f t="shared" si="63"/>
        <v>#N/A</v>
      </c>
      <c r="AG151">
        <f t="shared" si="48"/>
        <v>6.9999999999999937E-2</v>
      </c>
      <c r="AH151">
        <f t="shared" si="49"/>
        <v>0</v>
      </c>
      <c r="AI151">
        <f t="shared" si="50"/>
        <v>-1.0935185185185148</v>
      </c>
      <c r="AJ151">
        <f t="shared" si="51"/>
        <v>0.37931034482758424</v>
      </c>
      <c r="AK151">
        <f t="shared" si="52"/>
        <v>0.72000000000000064</v>
      </c>
      <c r="AL151">
        <f t="shared" si="53"/>
        <v>-1.3055555555555554</v>
      </c>
      <c r="AM151">
        <f t="shared" si="54"/>
        <v>0</v>
      </c>
      <c r="AN151">
        <f t="shared" si="55"/>
        <v>-2.6740656000000005</v>
      </c>
      <c r="AO151">
        <f t="shared" si="56"/>
        <v>-1.1536996366368619</v>
      </c>
      <c r="AQ151">
        <f t="shared" si="57"/>
        <v>13.927047597226263</v>
      </c>
      <c r="AR151">
        <f t="shared" si="58"/>
        <v>13.547737252398679</v>
      </c>
      <c r="AT151" t="str">
        <f t="shared" si="59"/>
        <v>45468C</v>
      </c>
    </row>
    <row r="152" spans="1:46" hidden="1" x14ac:dyDescent="0.3">
      <c r="A152" s="17">
        <v>45468</v>
      </c>
      <c r="B152" s="18" t="s">
        <v>21</v>
      </c>
      <c r="C152" s="6">
        <v>7.8166666666666664</v>
      </c>
      <c r="D152" s="6">
        <v>37</v>
      </c>
      <c r="E152" s="6">
        <v>27.67</v>
      </c>
      <c r="F152" s="6">
        <v>54.85</v>
      </c>
      <c r="G152" s="6">
        <v>3.57</v>
      </c>
      <c r="H152" s="6">
        <v>3.1240000000000001</v>
      </c>
      <c r="I152" s="6">
        <v>149.69999999999999</v>
      </c>
      <c r="J152" s="6">
        <v>9.6542832202564774</v>
      </c>
      <c r="K152" s="6">
        <v>4.4352543586299829E-3</v>
      </c>
      <c r="L152" s="6">
        <v>4.2819201732090847E-2</v>
      </c>
      <c r="M152" s="6">
        <v>22.95978089367005</v>
      </c>
      <c r="N152" s="6">
        <v>2.584943475133964E-3</v>
      </c>
      <c r="O152" s="6">
        <v>5225</v>
      </c>
      <c r="P152" s="6">
        <v>81.313616007879347</v>
      </c>
      <c r="Q152" s="6">
        <v>21441.327570149249</v>
      </c>
      <c r="R152" s="6">
        <v>0</v>
      </c>
      <c r="S152" s="6">
        <v>24.305496116345939</v>
      </c>
      <c r="T152" s="6">
        <f t="shared" si="45"/>
        <v>15.960668071839544</v>
      </c>
      <c r="U152" s="6" t="e">
        <f t="shared" si="60"/>
        <v>#N/A</v>
      </c>
      <c r="V152" s="6">
        <f t="shared" si="46"/>
        <v>16.150323244253336</v>
      </c>
      <c r="W152" s="6">
        <f t="shared" si="47"/>
        <v>15.771012899425752</v>
      </c>
      <c r="X152" s="6" t="e">
        <f t="shared" si="61"/>
        <v>#N/A</v>
      </c>
      <c r="Y152" s="6" t="e">
        <f t="shared" si="63"/>
        <v>#N/A</v>
      </c>
      <c r="Z152" s="6" t="e">
        <f t="shared" si="63"/>
        <v>#N/A</v>
      </c>
      <c r="AA152" s="6" t="e">
        <f t="shared" si="63"/>
        <v>#N/A</v>
      </c>
      <c r="AB152" s="6" t="e">
        <f t="shared" si="63"/>
        <v>#N/A</v>
      </c>
      <c r="AC152" s="6" t="e">
        <f t="shared" si="63"/>
        <v>#N/A</v>
      </c>
      <c r="AG152">
        <f t="shared" si="48"/>
        <v>6.6666666666666791E-2</v>
      </c>
      <c r="AH152">
        <f t="shared" si="49"/>
        <v>0</v>
      </c>
      <c r="AI152">
        <f t="shared" si="50"/>
        <v>-1.2166666666666675</v>
      </c>
      <c r="AJ152">
        <f t="shared" si="51"/>
        <v>0.37931034482758424</v>
      </c>
      <c r="AK152">
        <f t="shared" si="52"/>
        <v>0.72000000000000064</v>
      </c>
      <c r="AL152">
        <f t="shared" si="53"/>
        <v>-1.379999999999999</v>
      </c>
      <c r="AM152">
        <f t="shared" si="54"/>
        <v>0</v>
      </c>
      <c r="AN152">
        <f t="shared" si="55"/>
        <v>-1.530201553731344</v>
      </c>
      <c r="AO152">
        <f t="shared" si="56"/>
        <v>-0.84856644051295405</v>
      </c>
      <c r="AQ152">
        <f t="shared" si="57"/>
        <v>16.150323244253336</v>
      </c>
      <c r="AR152">
        <f t="shared" si="58"/>
        <v>15.771012899425752</v>
      </c>
      <c r="AT152" t="str">
        <f t="shared" si="59"/>
        <v>45468D</v>
      </c>
    </row>
    <row r="153" spans="1:46" hidden="1" x14ac:dyDescent="0.3">
      <c r="A153" s="17">
        <v>45469</v>
      </c>
      <c r="B153" s="18" t="s">
        <v>22</v>
      </c>
      <c r="C153" s="6">
        <v>7.9749999999999988</v>
      </c>
      <c r="D153" s="6">
        <v>37.636363636363633</v>
      </c>
      <c r="E153" s="6">
        <v>27.84181818181818</v>
      </c>
      <c r="F153" s="6">
        <v>54.85</v>
      </c>
      <c r="G153" s="6">
        <v>3.31</v>
      </c>
      <c r="H153" s="6">
        <v>3.081818181818182</v>
      </c>
      <c r="I153" s="6">
        <v>150.81818181818181</v>
      </c>
      <c r="J153" s="6">
        <v>7.9830160598703577</v>
      </c>
      <c r="K153" s="6">
        <v>5.7606968274505144E-3</v>
      </c>
      <c r="L153" s="6">
        <v>4.5987735289581673E-2</v>
      </c>
      <c r="M153" s="6">
        <v>25.223693706168699</v>
      </c>
      <c r="N153" s="6">
        <v>2.5860269560632589E-3</v>
      </c>
      <c r="O153" s="6">
        <v>5225</v>
      </c>
      <c r="P153" s="6">
        <v>81.348693748289264</v>
      </c>
      <c r="Q153" s="6">
        <v>28924.400000000001</v>
      </c>
      <c r="R153" s="6">
        <v>0</v>
      </c>
      <c r="S153" s="6">
        <v>26.298077232362441</v>
      </c>
      <c r="T153" s="6">
        <f t="shared" si="45"/>
        <v>22.896741683084208</v>
      </c>
      <c r="U153" s="6" t="e">
        <f t="shared" si="60"/>
        <v>#N/A</v>
      </c>
      <c r="V153" s="6">
        <f t="shared" si="46"/>
        <v>23.086396855497998</v>
      </c>
      <c r="W153" s="6">
        <f t="shared" si="47"/>
        <v>22.707086510670415</v>
      </c>
      <c r="X153" s="6" t="e">
        <f t="shared" si="61"/>
        <v>#N/A</v>
      </c>
      <c r="Y153" s="6" t="e">
        <f t="shared" si="63"/>
        <v>#N/A</v>
      </c>
      <c r="Z153" s="6" t="e">
        <f t="shared" si="63"/>
        <v>#N/A</v>
      </c>
      <c r="AA153" s="6" t="e">
        <f t="shared" si="63"/>
        <v>#N/A</v>
      </c>
      <c r="AB153" s="6" t="e">
        <f t="shared" si="63"/>
        <v>#N/A</v>
      </c>
      <c r="AC153" s="6" t="e">
        <f t="shared" si="63"/>
        <v>#N/A</v>
      </c>
      <c r="AG153">
        <f t="shared" si="48"/>
        <v>3.5000000000000323E-2</v>
      </c>
      <c r="AH153">
        <f t="shared" si="49"/>
        <v>0</v>
      </c>
      <c r="AI153">
        <f t="shared" si="50"/>
        <v>-1.3598484848484826</v>
      </c>
      <c r="AJ153">
        <f t="shared" si="51"/>
        <v>0.37931034482758424</v>
      </c>
      <c r="AK153">
        <f t="shared" si="52"/>
        <v>1.4999999999999998</v>
      </c>
      <c r="AL153">
        <f t="shared" si="53"/>
        <v>-1.5909090909090897</v>
      </c>
      <c r="AM153">
        <f t="shared" si="54"/>
        <v>0</v>
      </c>
      <c r="AN153">
        <f t="shared" si="55"/>
        <v>-0.59481750000000011</v>
      </c>
      <c r="AO153">
        <f t="shared" si="56"/>
        <v>2.4939678802592855</v>
      </c>
      <c r="AQ153">
        <f t="shared" si="57"/>
        <v>23.086396855497998</v>
      </c>
      <c r="AR153">
        <f t="shared" si="58"/>
        <v>22.707086510670415</v>
      </c>
      <c r="AT153" t="str">
        <f t="shared" si="59"/>
        <v>45469A</v>
      </c>
    </row>
    <row r="154" spans="1:46" hidden="1" x14ac:dyDescent="0.3">
      <c r="A154" s="17">
        <v>45469</v>
      </c>
      <c r="B154" s="18" t="s">
        <v>19</v>
      </c>
      <c r="C154" s="6">
        <v>7.9671428571428562</v>
      </c>
      <c r="D154" s="6">
        <v>37.700000000000003</v>
      </c>
      <c r="E154" s="6">
        <v>27.138999999999999</v>
      </c>
      <c r="F154" s="6">
        <v>54.39</v>
      </c>
      <c r="G154" s="6">
        <v>3.39</v>
      </c>
      <c r="H154" s="6">
        <v>3.1920000000000002</v>
      </c>
      <c r="I154" s="6">
        <v>148.6</v>
      </c>
      <c r="J154" s="6">
        <v>8.992095876081871</v>
      </c>
      <c r="K154" s="6">
        <v>4.7098759263215339E-3</v>
      </c>
      <c r="L154" s="6">
        <v>4.2351655893933138E-2</v>
      </c>
      <c r="M154" s="6">
        <v>19.91917238019515</v>
      </c>
      <c r="N154" s="6">
        <v>2.5834516971860108E-3</v>
      </c>
      <c r="O154" s="6">
        <v>5225</v>
      </c>
      <c r="P154" s="6">
        <v>81.266503796572366</v>
      </c>
      <c r="Q154" s="6">
        <v>22640.48618947369</v>
      </c>
      <c r="R154" s="6">
        <v>0</v>
      </c>
      <c r="S154" s="6">
        <v>23.056247874631971</v>
      </c>
      <c r="T154" s="6">
        <f t="shared" si="45"/>
        <v>16.083285560172108</v>
      </c>
      <c r="U154" s="6" t="e">
        <f t="shared" si="60"/>
        <v>#N/A</v>
      </c>
      <c r="V154" s="6">
        <f t="shared" si="46"/>
        <v>16.66949245672383</v>
      </c>
      <c r="W154" s="6">
        <f t="shared" si="47"/>
        <v>15.497078663620382</v>
      </c>
      <c r="X154" s="6" t="e">
        <f t="shared" si="61"/>
        <v>#N/A</v>
      </c>
      <c r="Y154" s="6" t="e">
        <f t="shared" si="63"/>
        <v>#N/A</v>
      </c>
      <c r="Z154" s="6" t="e">
        <f t="shared" si="63"/>
        <v>#N/A</v>
      </c>
      <c r="AA154" s="6" t="e">
        <f t="shared" si="63"/>
        <v>#N/A</v>
      </c>
      <c r="AB154" s="6" t="e">
        <f t="shared" si="63"/>
        <v>#N/A</v>
      </c>
      <c r="AC154" s="6" t="e">
        <f t="shared" si="63"/>
        <v>#N/A</v>
      </c>
      <c r="AG154">
        <f t="shared" si="48"/>
        <v>3.6571428571428831E-2</v>
      </c>
      <c r="AH154">
        <f t="shared" si="49"/>
        <v>0</v>
      </c>
      <c r="AI154">
        <f t="shared" si="50"/>
        <v>-0.77416666666666545</v>
      </c>
      <c r="AJ154">
        <f t="shared" si="51"/>
        <v>1.1724137931034477</v>
      </c>
      <c r="AK154">
        <f t="shared" si="52"/>
        <v>1.2599999999999996</v>
      </c>
      <c r="AL154">
        <f t="shared" si="53"/>
        <v>-1.0399999999999987</v>
      </c>
      <c r="AM154">
        <f t="shared" si="54"/>
        <v>0</v>
      </c>
      <c r="AN154">
        <f t="shared" si="55"/>
        <v>-1.3803067263157891</v>
      </c>
      <c r="AO154">
        <f t="shared" si="56"/>
        <v>0.47580824783625886</v>
      </c>
      <c r="AQ154">
        <f t="shared" si="57"/>
        <v>16.66949245672383</v>
      </c>
      <c r="AR154">
        <f t="shared" si="58"/>
        <v>15.497078663620382</v>
      </c>
      <c r="AT154" t="str">
        <f t="shared" si="59"/>
        <v>45469B</v>
      </c>
    </row>
    <row r="155" spans="1:46" hidden="1" x14ac:dyDescent="0.3">
      <c r="A155" s="17">
        <v>45469</v>
      </c>
      <c r="B155" s="18" t="s">
        <v>20</v>
      </c>
      <c r="C155" s="6">
        <v>7.8116666666666674</v>
      </c>
      <c r="D155" s="6">
        <v>37.4</v>
      </c>
      <c r="E155" s="6">
        <v>26.539000000000001</v>
      </c>
      <c r="F155" s="6">
        <v>54.39</v>
      </c>
      <c r="G155" s="6">
        <v>3.39</v>
      </c>
      <c r="H155" s="6">
        <v>3.1920000000000002</v>
      </c>
      <c r="I155" s="6">
        <v>150.4</v>
      </c>
      <c r="J155" s="6">
        <v>10.50025308290247</v>
      </c>
      <c r="K155" s="6">
        <v>5.1678618815479381E-3</v>
      </c>
      <c r="L155" s="6">
        <v>5.4263857653737903E-2</v>
      </c>
      <c r="M155" s="6">
        <v>21.107724765643301</v>
      </c>
      <c r="N155" s="6">
        <v>2.5840550021976388E-3</v>
      </c>
      <c r="O155" s="6">
        <v>5225</v>
      </c>
      <c r="P155" s="6">
        <v>81.28491960966781</v>
      </c>
      <c r="Q155" s="6">
        <v>25082.809600000001</v>
      </c>
      <c r="R155" s="6">
        <v>0</v>
      </c>
      <c r="S155" s="6">
        <v>23.80803795186559</v>
      </c>
      <c r="T155" s="6">
        <f t="shared" si="45"/>
        <v>15.091909196390086</v>
      </c>
      <c r="U155" s="6" t="e">
        <f t="shared" si="60"/>
        <v>#N/A</v>
      </c>
      <c r="V155" s="6">
        <f t="shared" si="46"/>
        <v>15.67811609294181</v>
      </c>
      <c r="W155" s="6">
        <f t="shared" si="47"/>
        <v>14.505702299838362</v>
      </c>
      <c r="X155" s="6" t="e">
        <f t="shared" si="61"/>
        <v>#N/A</v>
      </c>
      <c r="Y155" s="6" t="e">
        <f t="shared" si="63"/>
        <v>#N/A</v>
      </c>
      <c r="Z155" s="6" t="e">
        <f t="shared" si="63"/>
        <v>#N/A</v>
      </c>
      <c r="AA155" s="6" t="e">
        <f t="shared" si="63"/>
        <v>#N/A</v>
      </c>
      <c r="AB155" s="6" t="e">
        <f t="shared" si="63"/>
        <v>#N/A</v>
      </c>
      <c r="AC155" s="6" t="e">
        <f t="shared" si="63"/>
        <v>#N/A</v>
      </c>
      <c r="AG155">
        <f t="shared" si="48"/>
        <v>6.7666666666666583E-2</v>
      </c>
      <c r="AH155">
        <f t="shared" si="49"/>
        <v>0</v>
      </c>
      <c r="AI155">
        <f t="shared" si="50"/>
        <v>-0.27416666666666722</v>
      </c>
      <c r="AJ155">
        <f t="shared" si="51"/>
        <v>1.1724137931034477</v>
      </c>
      <c r="AK155">
        <f t="shared" si="52"/>
        <v>1.2599999999999996</v>
      </c>
      <c r="AL155">
        <f t="shared" si="53"/>
        <v>-1.0399999999999987</v>
      </c>
      <c r="AM155">
        <f t="shared" si="54"/>
        <v>0</v>
      </c>
      <c r="AN155">
        <f t="shared" si="55"/>
        <v>-1.0750163000000001</v>
      </c>
      <c r="AO155">
        <f t="shared" si="56"/>
        <v>-2.5405061658049384</v>
      </c>
      <c r="AQ155">
        <f t="shared" si="57"/>
        <v>15.67811609294181</v>
      </c>
      <c r="AR155">
        <f t="shared" si="58"/>
        <v>14.505702299838362</v>
      </c>
      <c r="AT155" t="str">
        <f t="shared" si="59"/>
        <v>45469C</v>
      </c>
    </row>
    <row r="156" spans="1:46" hidden="1" x14ac:dyDescent="0.3">
      <c r="A156" s="17">
        <v>45469</v>
      </c>
      <c r="B156" s="18" t="s">
        <v>21</v>
      </c>
      <c r="C156" s="6">
        <v>7.7966666666666669</v>
      </c>
      <c r="D156" s="6">
        <v>37.444444444444443</v>
      </c>
      <c r="E156" s="6">
        <v>26.788888888888891</v>
      </c>
      <c r="F156" s="6">
        <v>54.39</v>
      </c>
      <c r="G156" s="6">
        <v>3.39</v>
      </c>
      <c r="H156" s="6">
        <v>3.166666666666667</v>
      </c>
      <c r="I156" s="6">
        <v>155.33333333333329</v>
      </c>
      <c r="J156" s="6">
        <v>10.18166362862865</v>
      </c>
      <c r="K156" s="6">
        <v>6.0464429158600891E-3</v>
      </c>
      <c r="L156" s="6">
        <v>6.1562847918992053E-2</v>
      </c>
      <c r="M156" s="6">
        <v>23.42971092587263</v>
      </c>
      <c r="N156" s="6">
        <v>2.5851592349391459E-3</v>
      </c>
      <c r="O156" s="6">
        <v>5225</v>
      </c>
      <c r="P156" s="6">
        <v>81.320897194176752</v>
      </c>
      <c r="Q156" s="6">
        <v>29460.08625132743</v>
      </c>
      <c r="R156" s="6">
        <v>0</v>
      </c>
      <c r="S156" s="6">
        <v>24.930775532114009</v>
      </c>
      <c r="T156" s="6">
        <f t="shared" si="45"/>
        <v>18.266326439175579</v>
      </c>
      <c r="U156" s="6" t="e">
        <f t="shared" si="60"/>
        <v>#N/A</v>
      </c>
      <c r="V156" s="6">
        <f t="shared" si="46"/>
        <v>18.852533335727301</v>
      </c>
      <c r="W156" s="6">
        <f t="shared" si="47"/>
        <v>17.680119542623853</v>
      </c>
      <c r="X156" s="6" t="e">
        <f t="shared" si="61"/>
        <v>#N/A</v>
      </c>
      <c r="Y156" s="6" t="e">
        <f t="shared" si="63"/>
        <v>#N/A</v>
      </c>
      <c r="Z156" s="6" t="e">
        <f t="shared" si="63"/>
        <v>#N/A</v>
      </c>
      <c r="AA156" s="6" t="e">
        <f t="shared" si="63"/>
        <v>#N/A</v>
      </c>
      <c r="AB156" s="6" t="e">
        <f t="shared" si="63"/>
        <v>#N/A</v>
      </c>
      <c r="AC156" s="6" t="e">
        <f t="shared" si="63"/>
        <v>#N/A</v>
      </c>
      <c r="AG156">
        <f t="shared" si="48"/>
        <v>7.0666666666666697E-2</v>
      </c>
      <c r="AH156">
        <f t="shared" si="49"/>
        <v>0</v>
      </c>
      <c r="AI156">
        <f t="shared" si="50"/>
        <v>-0.48240740740740884</v>
      </c>
      <c r="AJ156">
        <f t="shared" si="51"/>
        <v>1.1724137931034477</v>
      </c>
      <c r="AK156">
        <f t="shared" si="52"/>
        <v>1.2599999999999996</v>
      </c>
      <c r="AL156">
        <f t="shared" si="53"/>
        <v>-1.1666666666666647</v>
      </c>
      <c r="AM156">
        <f t="shared" si="54"/>
        <v>0</v>
      </c>
      <c r="AN156">
        <f t="shared" si="55"/>
        <v>-0.52785671858407157</v>
      </c>
      <c r="AO156">
        <f t="shared" si="56"/>
        <v>-1.903327257257299</v>
      </c>
      <c r="AQ156">
        <f t="shared" si="57"/>
        <v>18.852533335727301</v>
      </c>
      <c r="AR156">
        <f t="shared" si="58"/>
        <v>17.680119542623853</v>
      </c>
      <c r="AT156" t="str">
        <f t="shared" si="59"/>
        <v>45469D</v>
      </c>
    </row>
    <row r="157" spans="1:46" hidden="1" x14ac:dyDescent="0.3">
      <c r="A157" s="17">
        <v>45470</v>
      </c>
      <c r="B157" s="18" t="s">
        <v>22</v>
      </c>
      <c r="C157" s="6">
        <v>8.0619999999999994</v>
      </c>
      <c r="D157" s="6">
        <v>38.1</v>
      </c>
      <c r="E157" s="6">
        <v>27.259</v>
      </c>
      <c r="F157" s="6">
        <v>54.39</v>
      </c>
      <c r="G157" s="6">
        <v>3.22</v>
      </c>
      <c r="H157" s="6">
        <v>3.1579999999999999</v>
      </c>
      <c r="I157" s="6">
        <v>162.5</v>
      </c>
      <c r="J157" s="6">
        <v>9.2200652204012155</v>
      </c>
      <c r="K157" s="6">
        <v>7.695777323178719E-3</v>
      </c>
      <c r="L157" s="6">
        <v>7.0955568841392466E-2</v>
      </c>
      <c r="M157" s="6">
        <v>24.551728162474941</v>
      </c>
      <c r="N157" s="6">
        <v>2.5856967661679448E-3</v>
      </c>
      <c r="O157" s="6">
        <v>5225</v>
      </c>
      <c r="P157" s="6">
        <v>81.338282087088317</v>
      </c>
      <c r="Q157" s="6">
        <v>30672.308799999999</v>
      </c>
      <c r="R157" s="6">
        <v>0</v>
      </c>
      <c r="S157" s="6">
        <v>24.308032292527649</v>
      </c>
      <c r="T157" s="6">
        <f t="shared" si="45"/>
        <v>21.484909051557565</v>
      </c>
      <c r="U157" s="6" t="e">
        <f t="shared" si="60"/>
        <v>#N/A</v>
      </c>
      <c r="V157" s="6">
        <f t="shared" si="46"/>
        <v>22.071115948109291</v>
      </c>
      <c r="W157" s="6">
        <f t="shared" si="47"/>
        <v>20.898702155005843</v>
      </c>
      <c r="X157" s="6" t="e">
        <f t="shared" si="61"/>
        <v>#N/A</v>
      </c>
      <c r="Y157" s="6" t="e">
        <f t="shared" ref="Y157:AC166" si="64">VLOOKUP($AT157,hhh,3,0)</f>
        <v>#N/A</v>
      </c>
      <c r="Z157" s="6" t="e">
        <f t="shared" si="64"/>
        <v>#N/A</v>
      </c>
      <c r="AA157" s="6" t="e">
        <f t="shared" si="64"/>
        <v>#N/A</v>
      </c>
      <c r="AB157" s="6" t="e">
        <f t="shared" si="64"/>
        <v>#N/A</v>
      </c>
      <c r="AC157" s="6" t="e">
        <f t="shared" si="64"/>
        <v>#N/A</v>
      </c>
      <c r="AG157">
        <f t="shared" si="48"/>
        <v>1.7600000000000195E-2</v>
      </c>
      <c r="AH157">
        <f t="shared" si="49"/>
        <v>0</v>
      </c>
      <c r="AI157">
        <f t="shared" si="50"/>
        <v>-0.87416666666666631</v>
      </c>
      <c r="AJ157">
        <f t="shared" si="51"/>
        <v>1.1724137931034477</v>
      </c>
      <c r="AK157">
        <f t="shared" si="52"/>
        <v>1.7699999999999996</v>
      </c>
      <c r="AL157">
        <f t="shared" si="53"/>
        <v>-1.21</v>
      </c>
      <c r="AM157">
        <f t="shared" si="54"/>
        <v>0</v>
      </c>
      <c r="AN157">
        <f t="shared" si="55"/>
        <v>-0.37632890000000041</v>
      </c>
      <c r="AO157">
        <f t="shared" si="56"/>
        <v>1.9869559197569941E-2</v>
      </c>
      <c r="AQ157">
        <f t="shared" si="57"/>
        <v>22.071115948109291</v>
      </c>
      <c r="AR157">
        <f t="shared" si="58"/>
        <v>20.898702155005843</v>
      </c>
      <c r="AT157" t="str">
        <f t="shared" si="59"/>
        <v>45470A</v>
      </c>
    </row>
    <row r="158" spans="1:46" hidden="1" x14ac:dyDescent="0.3">
      <c r="A158" s="17">
        <v>45470</v>
      </c>
      <c r="B158" s="18" t="s">
        <v>19</v>
      </c>
      <c r="C158" s="6">
        <v>7.9833333333333334</v>
      </c>
      <c r="D158" s="6">
        <v>37.9</v>
      </c>
      <c r="E158" s="6">
        <v>27.175999999999998</v>
      </c>
      <c r="F158" s="6">
        <v>54.39</v>
      </c>
      <c r="G158" s="6">
        <v>3.45</v>
      </c>
      <c r="H158" s="6">
        <v>3.1720000000000002</v>
      </c>
      <c r="I158" s="6">
        <v>158.69999999999999</v>
      </c>
      <c r="J158" s="6">
        <v>9.2735061809108572</v>
      </c>
      <c r="K158" s="6">
        <v>3.4986853136749728E-3</v>
      </c>
      <c r="L158" s="6">
        <v>3.2445079881426912E-2</v>
      </c>
      <c r="M158" s="6">
        <v>21.969298932428622</v>
      </c>
      <c r="N158" s="6">
        <v>2.5844507439772299E-3</v>
      </c>
      <c r="O158" s="6">
        <v>5225</v>
      </c>
      <c r="P158" s="6">
        <v>81.29826909840088</v>
      </c>
      <c r="Q158" s="6">
        <v>12141.5805</v>
      </c>
      <c r="R158" s="6">
        <v>0</v>
      </c>
      <c r="S158" s="6">
        <v>22.6502639180876</v>
      </c>
      <c r="T158" s="6">
        <f t="shared" si="45"/>
        <v>15.944156862991965</v>
      </c>
      <c r="U158" s="6" t="e">
        <f t="shared" si="60"/>
        <v>#N/A</v>
      </c>
      <c r="V158" s="6">
        <f t="shared" si="46"/>
        <v>16.53036375954369</v>
      </c>
      <c r="W158" s="6">
        <f t="shared" si="47"/>
        <v>15.357949966440241</v>
      </c>
      <c r="X158" s="6" t="e">
        <f t="shared" si="61"/>
        <v>#N/A</v>
      </c>
      <c r="Y158" s="6" t="e">
        <f t="shared" si="64"/>
        <v>#N/A</v>
      </c>
      <c r="Z158" s="6" t="e">
        <f t="shared" si="64"/>
        <v>#N/A</v>
      </c>
      <c r="AA158" s="6" t="e">
        <f t="shared" si="64"/>
        <v>#N/A</v>
      </c>
      <c r="AB158" s="6" t="e">
        <f t="shared" si="64"/>
        <v>#N/A</v>
      </c>
      <c r="AC158" s="6" t="e">
        <f t="shared" si="64"/>
        <v>#N/A</v>
      </c>
      <c r="AG158">
        <f t="shared" si="48"/>
        <v>3.3333333333333395E-2</v>
      </c>
      <c r="AH158">
        <f t="shared" si="49"/>
        <v>0</v>
      </c>
      <c r="AI158">
        <f t="shared" si="50"/>
        <v>-0.80499999999999794</v>
      </c>
      <c r="AJ158">
        <f t="shared" si="51"/>
        <v>1.1724137931034477</v>
      </c>
      <c r="AK158">
        <f t="shared" si="52"/>
        <v>1.0799999999999994</v>
      </c>
      <c r="AL158">
        <f t="shared" si="53"/>
        <v>-1.1399999999999988</v>
      </c>
      <c r="AM158">
        <f t="shared" si="54"/>
        <v>0</v>
      </c>
      <c r="AN158">
        <f t="shared" si="55"/>
        <v>-2.6926699375000003</v>
      </c>
      <c r="AO158">
        <f t="shared" si="56"/>
        <v>-8.7012361821713569E-2</v>
      </c>
      <c r="AQ158">
        <f t="shared" si="57"/>
        <v>16.53036375954369</v>
      </c>
      <c r="AR158">
        <f t="shared" si="58"/>
        <v>15.357949966440241</v>
      </c>
      <c r="AT158" t="str">
        <f t="shared" si="59"/>
        <v>45470B</v>
      </c>
    </row>
    <row r="159" spans="1:46" hidden="1" x14ac:dyDescent="0.3">
      <c r="A159" s="17">
        <v>45470</v>
      </c>
      <c r="B159" s="18" t="s">
        <v>20</v>
      </c>
      <c r="C159" s="6">
        <v>7.8599999999999994</v>
      </c>
      <c r="D159" s="6">
        <v>37.333333333333343</v>
      </c>
      <c r="E159" s="6">
        <v>27.481111111111112</v>
      </c>
      <c r="F159" s="6">
        <v>54.39</v>
      </c>
      <c r="G159" s="6">
        <v>3.45</v>
      </c>
      <c r="H159" s="6">
        <v>3.1422222222222218</v>
      </c>
      <c r="I159" s="6">
        <v>158.44444444444451</v>
      </c>
      <c r="J159" s="6">
        <v>9.8765153903118108</v>
      </c>
      <c r="K159" s="6">
        <v>5.1614483865182166E-3</v>
      </c>
      <c r="L159" s="6">
        <v>5.0977124425747228E-2</v>
      </c>
      <c r="M159" s="6">
        <v>23.547082885718201</v>
      </c>
      <c r="N159" s="6">
        <v>2.585220457100767E-3</v>
      </c>
      <c r="O159" s="6">
        <v>5225</v>
      </c>
      <c r="P159" s="6">
        <v>81.322715808570635</v>
      </c>
      <c r="Q159" s="6">
        <v>22647.759999999998</v>
      </c>
      <c r="R159" s="6">
        <v>0</v>
      </c>
      <c r="S159" s="6">
        <v>24.29067424654545</v>
      </c>
      <c r="T159" s="6">
        <f t="shared" si="45"/>
        <v>17.250713353498156</v>
      </c>
      <c r="U159" s="6" t="e">
        <f t="shared" si="60"/>
        <v>#N/A</v>
      </c>
      <c r="V159" s="6">
        <f t="shared" si="46"/>
        <v>17.836920250049879</v>
      </c>
      <c r="W159" s="6">
        <f t="shared" si="47"/>
        <v>16.66450645694643</v>
      </c>
      <c r="X159" s="6" t="e">
        <f t="shared" si="61"/>
        <v>#N/A</v>
      </c>
      <c r="Y159" s="6" t="e">
        <f t="shared" si="64"/>
        <v>#N/A</v>
      </c>
      <c r="Z159" s="6" t="e">
        <f t="shared" si="64"/>
        <v>#N/A</v>
      </c>
      <c r="AA159" s="6" t="e">
        <f t="shared" si="64"/>
        <v>#N/A</v>
      </c>
      <c r="AB159" s="6" t="e">
        <f t="shared" si="64"/>
        <v>#N/A</v>
      </c>
      <c r="AC159" s="6" t="e">
        <f t="shared" si="64"/>
        <v>#N/A</v>
      </c>
      <c r="AG159">
        <f t="shared" si="48"/>
        <v>5.800000000000019E-2</v>
      </c>
      <c r="AH159">
        <f t="shared" si="49"/>
        <v>0</v>
      </c>
      <c r="AI159">
        <f t="shared" si="50"/>
        <v>-1.0592592592592591</v>
      </c>
      <c r="AJ159">
        <f t="shared" si="51"/>
        <v>1.1724137931034477</v>
      </c>
      <c r="AK159">
        <f t="shared" si="52"/>
        <v>1.0799999999999994</v>
      </c>
      <c r="AL159">
        <f t="shared" si="53"/>
        <v>-1.2888888888888905</v>
      </c>
      <c r="AM159">
        <f t="shared" si="54"/>
        <v>0</v>
      </c>
      <c r="AN159">
        <f t="shared" si="55"/>
        <v>-1.3793975000000005</v>
      </c>
      <c r="AO159">
        <f t="shared" si="56"/>
        <v>-1.2930307806236208</v>
      </c>
      <c r="AQ159">
        <f t="shared" si="57"/>
        <v>17.836920250049879</v>
      </c>
      <c r="AR159">
        <f t="shared" si="58"/>
        <v>16.66450645694643</v>
      </c>
      <c r="AT159" t="str">
        <f t="shared" si="59"/>
        <v>45470C</v>
      </c>
    </row>
    <row r="160" spans="1:46" hidden="1" x14ac:dyDescent="0.3">
      <c r="A160" s="17">
        <v>45470</v>
      </c>
      <c r="B160" s="18" t="s">
        <v>21</v>
      </c>
      <c r="C160" s="6">
        <v>7.8</v>
      </c>
      <c r="D160" s="6">
        <v>37</v>
      </c>
      <c r="E160" s="6">
        <v>27.957142857142859</v>
      </c>
      <c r="F160" s="6">
        <v>54.39</v>
      </c>
      <c r="G160" s="6">
        <v>3.45</v>
      </c>
      <c r="H160" s="6">
        <v>3.1257142857142859</v>
      </c>
      <c r="I160" s="6">
        <v>158.85714285714289</v>
      </c>
      <c r="J160" s="6">
        <v>9.6041304804574708</v>
      </c>
      <c r="K160" s="6">
        <v>8.6007058731500004E-3</v>
      </c>
      <c r="L160" s="6">
        <v>8.2602301429769501E-2</v>
      </c>
      <c r="M160" s="6">
        <v>25.472865367327369</v>
      </c>
      <c r="N160" s="6">
        <v>2.5861676670578221E-3</v>
      </c>
      <c r="O160" s="6">
        <v>5225</v>
      </c>
      <c r="P160" s="6">
        <v>81.352554556600722</v>
      </c>
      <c r="Q160" s="6">
        <v>44462.108380141843</v>
      </c>
      <c r="R160" s="6">
        <v>0</v>
      </c>
      <c r="S160" s="6">
        <v>26.116434462526541</v>
      </c>
      <c r="T160" s="6">
        <f t="shared" si="45"/>
        <v>21.98082639810093</v>
      </c>
      <c r="U160" s="6" t="e">
        <f t="shared" si="60"/>
        <v>#N/A</v>
      </c>
      <c r="V160" s="6">
        <f t="shared" si="46"/>
        <v>22.567033294652653</v>
      </c>
      <c r="W160" s="6">
        <f t="shared" si="47"/>
        <v>21.394619501549204</v>
      </c>
      <c r="X160" s="6" t="e">
        <f t="shared" si="61"/>
        <v>#N/A</v>
      </c>
      <c r="Y160" s="6" t="e">
        <f t="shared" si="64"/>
        <v>#N/A</v>
      </c>
      <c r="Z160" s="6" t="e">
        <f t="shared" si="64"/>
        <v>#N/A</v>
      </c>
      <c r="AA160" s="6" t="e">
        <f t="shared" si="64"/>
        <v>#N/A</v>
      </c>
      <c r="AB160" s="6" t="e">
        <f t="shared" si="64"/>
        <v>#N/A</v>
      </c>
      <c r="AC160" s="6" t="e">
        <f t="shared" si="64"/>
        <v>#N/A</v>
      </c>
      <c r="AG160">
        <f t="shared" si="48"/>
        <v>7.0000000000000104E-2</v>
      </c>
      <c r="AH160">
        <f t="shared" si="49"/>
        <v>0</v>
      </c>
      <c r="AI160">
        <f t="shared" si="50"/>
        <v>-1.455952380952382</v>
      </c>
      <c r="AJ160">
        <f t="shared" si="51"/>
        <v>1.1724137931034477</v>
      </c>
      <c r="AK160">
        <f t="shared" si="52"/>
        <v>1.0799999999999994</v>
      </c>
      <c r="AL160">
        <f t="shared" si="53"/>
        <v>-1.3714285714285701</v>
      </c>
      <c r="AM160">
        <f t="shared" si="54"/>
        <v>0</v>
      </c>
      <c r="AN160">
        <f t="shared" si="55"/>
        <v>1.34739604751773</v>
      </c>
      <c r="AO160">
        <f t="shared" si="56"/>
        <v>-0.74826096091494065</v>
      </c>
      <c r="AQ160">
        <f t="shared" si="57"/>
        <v>22.567033294652653</v>
      </c>
      <c r="AR160">
        <f t="shared" si="58"/>
        <v>21.394619501549204</v>
      </c>
      <c r="AT160" t="str">
        <f t="shared" si="59"/>
        <v>45470D</v>
      </c>
    </row>
    <row r="161" spans="1:46" hidden="1" x14ac:dyDescent="0.3">
      <c r="A161" s="17">
        <v>45482</v>
      </c>
      <c r="B161" s="18" t="s">
        <v>21</v>
      </c>
      <c r="C161" s="6">
        <v>8.3249999999999993</v>
      </c>
      <c r="D161" s="6">
        <v>39</v>
      </c>
      <c r="E161" s="6">
        <v>28.333333333333329</v>
      </c>
      <c r="F161" s="6">
        <v>53.43</v>
      </c>
      <c r="G161" s="6">
        <v>3.39</v>
      </c>
      <c r="H161" s="6">
        <v>3.2833333333333332</v>
      </c>
      <c r="I161" s="6">
        <v>158.66666666666671</v>
      </c>
      <c r="J161" s="6">
        <v>11.185525637551869</v>
      </c>
      <c r="K161" s="6">
        <v>4.9072417049706514E-4</v>
      </c>
      <c r="L161" s="6">
        <v>5.4890077900612974E-3</v>
      </c>
      <c r="M161" s="6">
        <v>13.22059350764278</v>
      </c>
      <c r="N161" s="6">
        <v>2.5803883580521902E-3</v>
      </c>
      <c r="O161" s="6">
        <v>5225</v>
      </c>
      <c r="P161" s="6">
        <v>81.646794574093917</v>
      </c>
      <c r="Q161" s="6">
        <v>1183.288888888889</v>
      </c>
      <c r="R161" s="6">
        <v>4949.9520000000002</v>
      </c>
      <c r="S161" s="6">
        <v>15.984793602256969</v>
      </c>
      <c r="T161" s="6">
        <f t="shared" si="45"/>
        <v>3.1518451693206573</v>
      </c>
      <c r="U161" s="6" t="e">
        <f t="shared" si="60"/>
        <v>#N/A</v>
      </c>
      <c r="V161" s="6">
        <f t="shared" si="46"/>
        <v>4.5656382727689335</v>
      </c>
      <c r="W161" s="6">
        <f t="shared" si="47"/>
        <v>1.738052065872381</v>
      </c>
      <c r="X161" s="6" t="e">
        <f t="shared" si="61"/>
        <v>#N/A</v>
      </c>
      <c r="Y161" s="6" t="e">
        <f t="shared" si="64"/>
        <v>#N/A</v>
      </c>
      <c r="Z161" s="6" t="e">
        <f t="shared" si="64"/>
        <v>#N/A</v>
      </c>
      <c r="AA161" s="6" t="e">
        <f t="shared" si="64"/>
        <v>#N/A</v>
      </c>
      <c r="AB161" s="6" t="e">
        <f t="shared" si="64"/>
        <v>#N/A</v>
      </c>
      <c r="AC161" s="6" t="e">
        <f t="shared" si="64"/>
        <v>#N/A</v>
      </c>
      <c r="AG161">
        <f t="shared" si="48"/>
        <v>-3.4999999999999788E-2</v>
      </c>
      <c r="AH161">
        <f t="shared" si="49"/>
        <v>0</v>
      </c>
      <c r="AI161">
        <f t="shared" si="50"/>
        <v>-1.7694444444444399</v>
      </c>
      <c r="AJ161">
        <f t="shared" si="51"/>
        <v>2.8275862068965525</v>
      </c>
      <c r="AK161">
        <f t="shared" si="52"/>
        <v>1.2599999999999996</v>
      </c>
      <c r="AL161">
        <f t="shared" si="53"/>
        <v>-0.58333333333333348</v>
      </c>
      <c r="AM161">
        <f t="shared" si="54"/>
        <v>0</v>
      </c>
      <c r="AN161">
        <f t="shared" si="55"/>
        <v>-4.0624563888888892</v>
      </c>
      <c r="AO161">
        <f t="shared" si="56"/>
        <v>-3.9110512751037376</v>
      </c>
      <c r="AQ161">
        <f t="shared" si="57"/>
        <v>4.5656382727689335</v>
      </c>
      <c r="AR161">
        <f t="shared" si="58"/>
        <v>1.738052065872381</v>
      </c>
      <c r="AT161" t="str">
        <f t="shared" si="59"/>
        <v>45482D</v>
      </c>
    </row>
    <row r="162" spans="1:46" hidden="1" x14ac:dyDescent="0.3">
      <c r="A162" s="17">
        <v>45483</v>
      </c>
      <c r="B162" s="18" t="s">
        <v>22</v>
      </c>
      <c r="C162" s="6">
        <v>8.1166666666666671</v>
      </c>
      <c r="D162" s="6">
        <v>39</v>
      </c>
      <c r="E162" s="6">
        <v>27.388999999999999</v>
      </c>
      <c r="F162" s="6">
        <v>53.43</v>
      </c>
      <c r="G162" s="6">
        <v>3.39</v>
      </c>
      <c r="H162" s="6">
        <v>3.1960000000000002</v>
      </c>
      <c r="I162" s="6">
        <v>161.5</v>
      </c>
      <c r="J162" s="6">
        <v>8.9980594843492518</v>
      </c>
      <c r="K162" s="6">
        <v>7.5104776412835668E-3</v>
      </c>
      <c r="L162" s="6">
        <v>6.7579724572144603E-2</v>
      </c>
      <c r="M162" s="6">
        <v>19.721195464739001</v>
      </c>
      <c r="N162" s="6">
        <v>2.5833470788380092E-3</v>
      </c>
      <c r="O162" s="6">
        <v>5225</v>
      </c>
      <c r="P162" s="6">
        <v>81.263436448722828</v>
      </c>
      <c r="Q162" s="6">
        <v>25788.396000000001</v>
      </c>
      <c r="R162" s="6">
        <v>941.93399999999997</v>
      </c>
      <c r="S162" s="6">
        <v>22.903254829268111</v>
      </c>
      <c r="T162" s="6">
        <f t="shared" si="45"/>
        <v>16.993960016155441</v>
      </c>
      <c r="U162" s="6" t="e">
        <f t="shared" si="60"/>
        <v>#N/A</v>
      </c>
      <c r="V162" s="6">
        <f t="shared" si="46"/>
        <v>18.407753119603719</v>
      </c>
      <c r="W162" s="6">
        <f t="shared" si="47"/>
        <v>15.580166912707167</v>
      </c>
      <c r="X162" s="6" t="e">
        <f t="shared" si="61"/>
        <v>#N/A</v>
      </c>
      <c r="Y162" s="6" t="e">
        <f t="shared" si="64"/>
        <v>#N/A</v>
      </c>
      <c r="Z162" s="6" t="e">
        <f t="shared" si="64"/>
        <v>#N/A</v>
      </c>
      <c r="AA162" s="6" t="e">
        <f t="shared" si="64"/>
        <v>#N/A</v>
      </c>
      <c r="AB162" s="6" t="e">
        <f t="shared" si="64"/>
        <v>#N/A</v>
      </c>
      <c r="AC162" s="6" t="e">
        <f t="shared" si="64"/>
        <v>#N/A</v>
      </c>
      <c r="AG162">
        <f t="shared" si="48"/>
        <v>6.6666666666666437E-3</v>
      </c>
      <c r="AH162">
        <f t="shared" si="49"/>
        <v>0</v>
      </c>
      <c r="AI162">
        <f t="shared" si="50"/>
        <v>-0.98249999999999882</v>
      </c>
      <c r="AJ162">
        <f t="shared" si="51"/>
        <v>2.8275862068965525</v>
      </c>
      <c r="AK162">
        <f t="shared" si="52"/>
        <v>1.2599999999999996</v>
      </c>
      <c r="AL162">
        <f t="shared" si="53"/>
        <v>-1.0199999999999987</v>
      </c>
      <c r="AM162">
        <f t="shared" si="54"/>
        <v>0</v>
      </c>
      <c r="AN162">
        <f t="shared" si="55"/>
        <v>-0.9868180000000002</v>
      </c>
      <c r="AO162">
        <f t="shared" si="56"/>
        <v>0.46388103130149716</v>
      </c>
      <c r="AQ162">
        <f t="shared" si="57"/>
        <v>18.407753119603719</v>
      </c>
      <c r="AR162">
        <f t="shared" si="58"/>
        <v>15.580166912707167</v>
      </c>
      <c r="AT162" t="str">
        <f t="shared" si="59"/>
        <v>45483A</v>
      </c>
    </row>
    <row r="163" spans="1:46" hidden="1" x14ac:dyDescent="0.3">
      <c r="A163" s="17">
        <v>45483</v>
      </c>
      <c r="B163" s="18" t="s">
        <v>19</v>
      </c>
      <c r="C163" s="6">
        <v>7.9171428571428573</v>
      </c>
      <c r="D163" s="6">
        <v>37.4</v>
      </c>
      <c r="E163" s="6">
        <v>27.201000000000001</v>
      </c>
      <c r="F163" s="6">
        <v>52.86</v>
      </c>
      <c r="G163" s="6">
        <v>3.46</v>
      </c>
      <c r="H163" s="6">
        <v>3.1360000000000001</v>
      </c>
      <c r="I163" s="6">
        <v>157.30000000000001</v>
      </c>
      <c r="J163" s="6">
        <v>9.668284641741721</v>
      </c>
      <c r="K163" s="6">
        <v>1.906640799808819E-3</v>
      </c>
      <c r="L163" s="6">
        <v>1.843394596210975E-2</v>
      </c>
      <c r="M163" s="6">
        <v>16.95260182075247</v>
      </c>
      <c r="N163" s="6">
        <v>2.582022546268662E-3</v>
      </c>
      <c r="O163" s="6">
        <v>5225.0000000000009</v>
      </c>
      <c r="P163" s="6">
        <v>81.220540550727563</v>
      </c>
      <c r="Q163" s="6">
        <v>7837.5517987421381</v>
      </c>
      <c r="R163" s="6">
        <v>0</v>
      </c>
      <c r="S163" s="6">
        <v>23.04245031886888</v>
      </c>
      <c r="T163" s="6">
        <f t="shared" si="45"/>
        <v>10.701269521142997</v>
      </c>
      <c r="U163" s="6" t="e">
        <f t="shared" si="60"/>
        <v>#N/A</v>
      </c>
      <c r="V163" s="6">
        <f t="shared" si="46"/>
        <v>12.6064419349361</v>
      </c>
      <c r="W163" s="6">
        <f t="shared" si="47"/>
        <v>8.7960971073498921</v>
      </c>
      <c r="X163" s="6" t="e">
        <f t="shared" si="61"/>
        <v>#N/A</v>
      </c>
      <c r="Y163" s="6" t="e">
        <f t="shared" si="64"/>
        <v>#N/A</v>
      </c>
      <c r="Z163" s="6" t="e">
        <f t="shared" si="64"/>
        <v>#N/A</v>
      </c>
      <c r="AA163" s="6" t="e">
        <f t="shared" si="64"/>
        <v>#N/A</v>
      </c>
      <c r="AB163" s="6" t="e">
        <f t="shared" si="64"/>
        <v>#N/A</v>
      </c>
      <c r="AC163" s="6" t="e">
        <f t="shared" si="64"/>
        <v>#N/A</v>
      </c>
      <c r="AG163">
        <f t="shared" si="48"/>
        <v>4.6571428571428625E-2</v>
      </c>
      <c r="AH163">
        <f t="shared" si="49"/>
        <v>0</v>
      </c>
      <c r="AI163">
        <f t="shared" si="50"/>
        <v>-0.82583333333333309</v>
      </c>
      <c r="AJ163">
        <f t="shared" si="51"/>
        <v>3.8103448275862082</v>
      </c>
      <c r="AK163">
        <f t="shared" si="52"/>
        <v>1.0500000000000003</v>
      </c>
      <c r="AL163">
        <f t="shared" si="53"/>
        <v>-1.319999999999999</v>
      </c>
      <c r="AM163">
        <f t="shared" si="54"/>
        <v>0</v>
      </c>
      <c r="AN163">
        <f t="shared" si="55"/>
        <v>-3.2306735251572332</v>
      </c>
      <c r="AO163">
        <f t="shared" si="56"/>
        <v>-0.8765692834834411</v>
      </c>
      <c r="AQ163">
        <f t="shared" si="57"/>
        <v>12.6064419349361</v>
      </c>
      <c r="AR163">
        <f t="shared" si="58"/>
        <v>8.7960971073498921</v>
      </c>
      <c r="AT163" t="str">
        <f t="shared" si="59"/>
        <v>45483B</v>
      </c>
    </row>
    <row r="164" spans="1:46" hidden="1" x14ac:dyDescent="0.3">
      <c r="A164" s="17">
        <v>45483</v>
      </c>
      <c r="B164" s="18" t="s">
        <v>20</v>
      </c>
      <c r="C164" s="6">
        <v>7.8949999999999996</v>
      </c>
      <c r="D164" s="6">
        <v>37.5</v>
      </c>
      <c r="E164" s="6">
        <v>27.318000000000001</v>
      </c>
      <c r="F164" s="6">
        <v>52.86</v>
      </c>
      <c r="G164" s="6">
        <v>3.46</v>
      </c>
      <c r="H164" s="6">
        <v>3.1539999999999999</v>
      </c>
      <c r="I164" s="6">
        <v>157.4</v>
      </c>
      <c r="J164" s="6">
        <v>10.519681924243111</v>
      </c>
      <c r="K164" s="6">
        <v>3.1033034580992152E-3</v>
      </c>
      <c r="L164" s="6">
        <v>3.2645765293607458E-2</v>
      </c>
      <c r="M164" s="6">
        <v>16.72789275282268</v>
      </c>
      <c r="N164" s="6">
        <v>2.581932313517821E-3</v>
      </c>
      <c r="O164" s="6">
        <v>5225</v>
      </c>
      <c r="P164" s="6">
        <v>81.21705974331276</v>
      </c>
      <c r="Q164" s="6">
        <v>12672.415999999999</v>
      </c>
      <c r="R164" s="6">
        <v>0</v>
      </c>
      <c r="S164" s="6">
        <v>22.792886535784</v>
      </c>
      <c r="T164" s="6">
        <f t="shared" si="45"/>
        <v>9.3750524847962282</v>
      </c>
      <c r="U164" s="6" t="e">
        <f t="shared" si="60"/>
        <v>#N/A</v>
      </c>
      <c r="V164" s="6">
        <f t="shared" si="46"/>
        <v>11.280224898589333</v>
      </c>
      <c r="W164" s="6">
        <f t="shared" si="47"/>
        <v>7.469880071003125</v>
      </c>
      <c r="X164" s="6" t="e">
        <f t="shared" si="61"/>
        <v>#N/A</v>
      </c>
      <c r="Y164" s="6" t="e">
        <f t="shared" si="64"/>
        <v>#N/A</v>
      </c>
      <c r="Z164" s="6" t="e">
        <f t="shared" si="64"/>
        <v>#N/A</v>
      </c>
      <c r="AA164" s="6" t="e">
        <f t="shared" si="64"/>
        <v>#N/A</v>
      </c>
      <c r="AB164" s="6" t="e">
        <f t="shared" si="64"/>
        <v>#N/A</v>
      </c>
      <c r="AC164" s="6" t="e">
        <f t="shared" si="64"/>
        <v>#N/A</v>
      </c>
      <c r="AG164">
        <f t="shared" si="48"/>
        <v>5.1000000000000156E-2</v>
      </c>
      <c r="AH164">
        <f t="shared" si="49"/>
        <v>0</v>
      </c>
      <c r="AI164">
        <f t="shared" si="50"/>
        <v>-0.92333333333333378</v>
      </c>
      <c r="AJ164">
        <f t="shared" si="51"/>
        <v>3.8103448275862082</v>
      </c>
      <c r="AK164">
        <f t="shared" si="52"/>
        <v>1.0500000000000003</v>
      </c>
      <c r="AL164">
        <f t="shared" si="53"/>
        <v>-1.23</v>
      </c>
      <c r="AM164">
        <f t="shared" si="54"/>
        <v>0</v>
      </c>
      <c r="AN164">
        <f t="shared" si="55"/>
        <v>-2.6263155000000005</v>
      </c>
      <c r="AO164">
        <f t="shared" si="56"/>
        <v>-2.5793638484862207</v>
      </c>
      <c r="AQ164">
        <f t="shared" si="57"/>
        <v>11.280224898589333</v>
      </c>
      <c r="AR164">
        <f t="shared" si="58"/>
        <v>7.469880071003125</v>
      </c>
      <c r="AT164" t="str">
        <f t="shared" si="59"/>
        <v>45483C</v>
      </c>
    </row>
    <row r="165" spans="1:46" hidden="1" x14ac:dyDescent="0.3">
      <c r="A165" s="17">
        <v>45483</v>
      </c>
      <c r="B165" s="18" t="s">
        <v>21</v>
      </c>
      <c r="C165" s="6">
        <v>7.9366666666666674</v>
      </c>
      <c r="D165" s="6">
        <v>37.375</v>
      </c>
      <c r="E165" s="6">
        <v>27.737500000000001</v>
      </c>
      <c r="F165" s="6">
        <v>52.86</v>
      </c>
      <c r="G165" s="6">
        <v>3.46</v>
      </c>
      <c r="H165" s="6">
        <v>3.15</v>
      </c>
      <c r="I165" s="6">
        <v>157.5</v>
      </c>
      <c r="J165" s="6">
        <v>10.227958260487499</v>
      </c>
      <c r="K165" s="6">
        <v>5.0105184248678061E-3</v>
      </c>
      <c r="L165" s="6">
        <v>5.1247373312951483E-2</v>
      </c>
      <c r="M165" s="6">
        <v>16.958769637260549</v>
      </c>
      <c r="N165" s="6">
        <v>2.5820302455069788E-3</v>
      </c>
      <c r="O165" s="6">
        <v>5225</v>
      </c>
      <c r="P165" s="6">
        <v>81.220636750086285</v>
      </c>
      <c r="Q165" s="6">
        <v>20283.00952566641</v>
      </c>
      <c r="R165" s="6">
        <v>0</v>
      </c>
      <c r="S165" s="6">
        <v>22.99996383242383</v>
      </c>
      <c r="T165" s="6">
        <f t="shared" si="45"/>
        <v>10.762784220786955</v>
      </c>
      <c r="U165" s="6" t="e">
        <f t="shared" si="60"/>
        <v>#N/A</v>
      </c>
      <c r="V165" s="6">
        <f t="shared" si="46"/>
        <v>12.66795663458006</v>
      </c>
      <c r="W165" s="6">
        <f t="shared" si="47"/>
        <v>8.8576118069938516</v>
      </c>
      <c r="X165" s="6" t="e">
        <f t="shared" si="61"/>
        <v>#N/A</v>
      </c>
      <c r="Y165" s="6" t="e">
        <f t="shared" si="64"/>
        <v>#N/A</v>
      </c>
      <c r="Z165" s="6" t="e">
        <f t="shared" si="64"/>
        <v>#N/A</v>
      </c>
      <c r="AA165" s="6" t="e">
        <f t="shared" si="64"/>
        <v>#N/A</v>
      </c>
      <c r="AB165" s="6" t="e">
        <f t="shared" si="64"/>
        <v>#N/A</v>
      </c>
      <c r="AC165" s="6" t="e">
        <f t="shared" si="64"/>
        <v>#N/A</v>
      </c>
      <c r="AG165">
        <f t="shared" si="48"/>
        <v>4.2666666666666589E-2</v>
      </c>
      <c r="AH165">
        <f t="shared" si="49"/>
        <v>0</v>
      </c>
      <c r="AI165">
        <f t="shared" si="50"/>
        <v>-1.2729166666666667</v>
      </c>
      <c r="AJ165">
        <f t="shared" si="51"/>
        <v>3.8103448275862082</v>
      </c>
      <c r="AK165">
        <f t="shared" si="52"/>
        <v>1.0500000000000003</v>
      </c>
      <c r="AL165">
        <f t="shared" si="53"/>
        <v>-1.25</v>
      </c>
      <c r="AM165">
        <f t="shared" si="54"/>
        <v>0</v>
      </c>
      <c r="AN165">
        <f t="shared" si="55"/>
        <v>-1.674991309291699</v>
      </c>
      <c r="AO165">
        <f t="shared" si="56"/>
        <v>-1.9959165209749976</v>
      </c>
      <c r="AQ165">
        <f t="shared" si="57"/>
        <v>12.66795663458006</v>
      </c>
      <c r="AR165">
        <f t="shared" si="58"/>
        <v>8.8576118069938516</v>
      </c>
      <c r="AT165" t="str">
        <f t="shared" si="59"/>
        <v>45483D</v>
      </c>
    </row>
    <row r="166" spans="1:46" hidden="1" x14ac:dyDescent="0.3">
      <c r="A166" s="17">
        <v>45484</v>
      </c>
      <c r="B166" s="18" t="s">
        <v>22</v>
      </c>
      <c r="C166" s="6">
        <v>8.129999999999999</v>
      </c>
      <c r="D166" s="6">
        <v>37.428571428571431</v>
      </c>
      <c r="E166" s="6">
        <v>28.144285714285711</v>
      </c>
      <c r="F166" s="6">
        <v>52.86</v>
      </c>
      <c r="G166" s="6">
        <v>3.46</v>
      </c>
      <c r="H166" s="6">
        <v>3.0775000000000001</v>
      </c>
      <c r="I166" s="6">
        <v>160.75</v>
      </c>
      <c r="J166" s="6">
        <v>7.3329212769567294</v>
      </c>
      <c r="K166" s="6">
        <v>7.2449586145677189E-3</v>
      </c>
      <c r="L166" s="6">
        <v>5.312671117543457E-2</v>
      </c>
      <c r="M166" s="6">
        <v>19.26626175271657</v>
      </c>
      <c r="N166" s="6">
        <v>2.5831140475752069E-3</v>
      </c>
      <c r="O166" s="6">
        <v>5225</v>
      </c>
      <c r="P166" s="6">
        <v>81.256387577127725</v>
      </c>
      <c r="Q166" s="6">
        <v>34425.008800000003</v>
      </c>
      <c r="R166" s="6">
        <v>0</v>
      </c>
      <c r="S166" s="6">
        <v>24.521344923846542</v>
      </c>
      <c r="T166" s="6">
        <f t="shared" si="45"/>
        <v>19.887945450691461</v>
      </c>
      <c r="U166" s="6" t="e">
        <f t="shared" si="60"/>
        <v>#N/A</v>
      </c>
      <c r="V166" s="6">
        <f t="shared" si="46"/>
        <v>21.793117864484564</v>
      </c>
      <c r="W166" s="6">
        <f t="shared" si="47"/>
        <v>17.982773036898358</v>
      </c>
      <c r="X166" s="6" t="e">
        <f t="shared" si="61"/>
        <v>#N/A</v>
      </c>
      <c r="Y166" s="6" t="e">
        <f t="shared" si="64"/>
        <v>#N/A</v>
      </c>
      <c r="Z166" s="6" t="e">
        <f t="shared" si="64"/>
        <v>#N/A</v>
      </c>
      <c r="AA166" s="6" t="e">
        <f t="shared" si="64"/>
        <v>#N/A</v>
      </c>
      <c r="AB166" s="6" t="e">
        <f t="shared" si="64"/>
        <v>#N/A</v>
      </c>
      <c r="AC166" s="6" t="e">
        <f t="shared" si="64"/>
        <v>#N/A</v>
      </c>
      <c r="AG166">
        <f t="shared" si="48"/>
        <v>4.0000000000002698E-3</v>
      </c>
      <c r="AH166">
        <f t="shared" si="49"/>
        <v>0</v>
      </c>
      <c r="AI166">
        <f t="shared" si="50"/>
        <v>-1.6119047619047588</v>
      </c>
      <c r="AJ166">
        <f t="shared" si="51"/>
        <v>3.8103448275862082</v>
      </c>
      <c r="AK166">
        <f t="shared" si="52"/>
        <v>1.0500000000000003</v>
      </c>
      <c r="AL166">
        <f t="shared" si="53"/>
        <v>-1.6124999999999989</v>
      </c>
      <c r="AM166">
        <f t="shared" si="54"/>
        <v>0</v>
      </c>
      <c r="AN166">
        <f t="shared" si="55"/>
        <v>9.2758600000000122E-2</v>
      </c>
      <c r="AO166">
        <f t="shared" si="56"/>
        <v>3.7941574460865422</v>
      </c>
      <c r="AQ166">
        <f t="shared" si="57"/>
        <v>21.793117864484564</v>
      </c>
      <c r="AR166">
        <f t="shared" si="58"/>
        <v>17.982773036898358</v>
      </c>
      <c r="AT166" t="str">
        <f t="shared" si="59"/>
        <v>45484A</v>
      </c>
    </row>
    <row r="167" spans="1:46" hidden="1" x14ac:dyDescent="0.3">
      <c r="A167" s="17">
        <v>45484</v>
      </c>
      <c r="B167" s="18" t="s">
        <v>19</v>
      </c>
      <c r="C167" s="6">
        <v>7.955000000000001</v>
      </c>
      <c r="D167" s="6">
        <v>38</v>
      </c>
      <c r="E167" s="6">
        <v>27.006666666666671</v>
      </c>
      <c r="F167" s="6">
        <v>53.72</v>
      </c>
      <c r="G167" s="6">
        <v>3.55</v>
      </c>
      <c r="H167" s="6">
        <v>3.1755555555555559</v>
      </c>
      <c r="I167" s="6">
        <v>159.33333333333329</v>
      </c>
      <c r="J167" s="6">
        <v>8.4347830009223532</v>
      </c>
      <c r="K167" s="6">
        <v>4.4605909181115464E-3</v>
      </c>
      <c r="L167" s="6">
        <v>3.7624116450155898E-2</v>
      </c>
      <c r="M167" s="6">
        <v>20.531180620684481</v>
      </c>
      <c r="N167" s="6">
        <v>2.5837469546458481E-3</v>
      </c>
      <c r="O167" s="6">
        <v>5225</v>
      </c>
      <c r="P167" s="6">
        <v>81.275986683116727</v>
      </c>
      <c r="Q167" s="6">
        <v>21811.766763636369</v>
      </c>
      <c r="R167" s="6">
        <v>0</v>
      </c>
      <c r="S167" s="6">
        <v>23.2794498493611</v>
      </c>
      <c r="T167" s="6">
        <f t="shared" si="45"/>
        <v>17.834399956631486</v>
      </c>
      <c r="U167" s="6" t="e">
        <f t="shared" si="60"/>
        <v>#N/A</v>
      </c>
      <c r="V167" s="6">
        <f t="shared" si="46"/>
        <v>18.998193060079764</v>
      </c>
      <c r="W167" s="6">
        <f t="shared" si="47"/>
        <v>16.670606853183209</v>
      </c>
      <c r="X167" s="6" t="e">
        <f t="shared" si="61"/>
        <v>#N/A</v>
      </c>
      <c r="Y167" s="6" t="e">
        <f t="shared" ref="Y167:AC176" si="65">VLOOKUP($AT167,hhh,3,0)</f>
        <v>#N/A</v>
      </c>
      <c r="Z167" s="6" t="e">
        <f t="shared" si="65"/>
        <v>#N/A</v>
      </c>
      <c r="AA167" s="6" t="e">
        <f t="shared" si="65"/>
        <v>#N/A</v>
      </c>
      <c r="AB167" s="6" t="e">
        <f t="shared" si="65"/>
        <v>#N/A</v>
      </c>
      <c r="AC167" s="6" t="e">
        <f t="shared" si="65"/>
        <v>#N/A</v>
      </c>
      <c r="AG167">
        <f t="shared" si="48"/>
        <v>3.8999999999999882E-2</v>
      </c>
      <c r="AH167">
        <f t="shared" si="49"/>
        <v>0</v>
      </c>
      <c r="AI167">
        <f t="shared" si="50"/>
        <v>-0.66388888888889208</v>
      </c>
      <c r="AJ167">
        <f t="shared" si="51"/>
        <v>2.3275862068965543</v>
      </c>
      <c r="AK167">
        <f t="shared" si="52"/>
        <v>0.78000000000000069</v>
      </c>
      <c r="AL167">
        <f t="shared" si="53"/>
        <v>-1.12222222222222</v>
      </c>
      <c r="AM167">
        <f t="shared" si="54"/>
        <v>0</v>
      </c>
      <c r="AN167">
        <f t="shared" si="55"/>
        <v>-1.4838966545454542</v>
      </c>
      <c r="AO167">
        <f t="shared" si="56"/>
        <v>1.5904339981552944</v>
      </c>
      <c r="AQ167">
        <f t="shared" si="57"/>
        <v>18.998193060079764</v>
      </c>
      <c r="AR167">
        <f t="shared" si="58"/>
        <v>16.670606853183209</v>
      </c>
      <c r="AT167" t="str">
        <f t="shared" si="59"/>
        <v>45484B</v>
      </c>
    </row>
    <row r="168" spans="1:46" hidden="1" x14ac:dyDescent="0.3">
      <c r="A168" s="17">
        <v>45484</v>
      </c>
      <c r="B168" s="18" t="s">
        <v>20</v>
      </c>
      <c r="C168" s="6">
        <v>7.871666666666667</v>
      </c>
      <c r="D168" s="6">
        <v>37.1</v>
      </c>
      <c r="E168" s="6">
        <v>27.071999999999999</v>
      </c>
      <c r="F168" s="6">
        <v>53.72</v>
      </c>
      <c r="G168" s="6">
        <v>3.55</v>
      </c>
      <c r="H168" s="6">
        <v>3.1739999999999999</v>
      </c>
      <c r="I168" s="6">
        <v>158.9</v>
      </c>
      <c r="J168" s="6">
        <v>10.2048988698063</v>
      </c>
      <c r="K168" s="6">
        <v>4.4070727857343714E-3</v>
      </c>
      <c r="L168" s="6">
        <v>4.4973732090294767E-2</v>
      </c>
      <c r="M168" s="6">
        <v>19.66454690822874</v>
      </c>
      <c r="N168" s="6">
        <v>2.5833351290659372E-3</v>
      </c>
      <c r="O168" s="6">
        <v>5225</v>
      </c>
      <c r="P168" s="6">
        <v>81.262559329424391</v>
      </c>
      <c r="Q168" s="6">
        <v>20447.272799999999</v>
      </c>
      <c r="R168" s="6">
        <v>0</v>
      </c>
      <c r="S168" s="6">
        <v>22.517333966942619</v>
      </c>
      <c r="T168" s="6">
        <f t="shared" si="45"/>
        <v>13.211417205397751</v>
      </c>
      <c r="U168" s="6" t="e">
        <f t="shared" si="60"/>
        <v>#N/A</v>
      </c>
      <c r="V168" s="6">
        <f t="shared" si="46"/>
        <v>14.375210308846029</v>
      </c>
      <c r="W168" s="6">
        <f t="shared" si="47"/>
        <v>12.047624101949474</v>
      </c>
      <c r="X168" s="6" t="e">
        <f t="shared" si="61"/>
        <v>#N/A</v>
      </c>
      <c r="Y168" s="6" t="e">
        <f t="shared" si="65"/>
        <v>#N/A</v>
      </c>
      <c r="Z168" s="6" t="e">
        <f t="shared" si="65"/>
        <v>#N/A</v>
      </c>
      <c r="AA168" s="6" t="e">
        <f t="shared" si="65"/>
        <v>#N/A</v>
      </c>
      <c r="AB168" s="6" t="e">
        <f t="shared" si="65"/>
        <v>#N/A</v>
      </c>
      <c r="AC168" s="6" t="e">
        <f t="shared" si="65"/>
        <v>#N/A</v>
      </c>
      <c r="AG168">
        <f t="shared" si="48"/>
        <v>5.566666666666667E-2</v>
      </c>
      <c r="AH168">
        <f t="shared" si="49"/>
        <v>0</v>
      </c>
      <c r="AI168">
        <f t="shared" si="50"/>
        <v>-0.71833333333333194</v>
      </c>
      <c r="AJ168">
        <f t="shared" si="51"/>
        <v>2.3275862068965543</v>
      </c>
      <c r="AK168">
        <f t="shared" si="52"/>
        <v>0.78000000000000069</v>
      </c>
      <c r="AL168">
        <f t="shared" si="53"/>
        <v>-1.1299999999999999</v>
      </c>
      <c r="AM168">
        <f t="shared" si="54"/>
        <v>0</v>
      </c>
      <c r="AN168">
        <f t="shared" si="55"/>
        <v>-1.6544584000000004</v>
      </c>
      <c r="AO168">
        <f t="shared" si="56"/>
        <v>-1.9497977396125989</v>
      </c>
      <c r="AQ168">
        <f t="shared" si="57"/>
        <v>14.375210308846029</v>
      </c>
      <c r="AR168">
        <f t="shared" si="58"/>
        <v>12.047624101949474</v>
      </c>
      <c r="AT168" t="str">
        <f t="shared" si="59"/>
        <v>45484C</v>
      </c>
    </row>
    <row r="169" spans="1:46" hidden="1" x14ac:dyDescent="0.3">
      <c r="A169" s="17">
        <v>45484</v>
      </c>
      <c r="B169" s="18" t="s">
        <v>21</v>
      </c>
      <c r="C169" s="6">
        <v>7.8999999999999986</v>
      </c>
      <c r="D169" s="6">
        <v>36.909090909090907</v>
      </c>
      <c r="E169" s="6">
        <v>27.563636363636359</v>
      </c>
      <c r="F169" s="6">
        <v>53.72</v>
      </c>
      <c r="G169" s="6">
        <v>3.55</v>
      </c>
      <c r="H169" s="6">
        <v>3.1781818181818182</v>
      </c>
      <c r="I169" s="6">
        <v>160.81818181818181</v>
      </c>
      <c r="J169" s="6">
        <v>9.4592260163613062</v>
      </c>
      <c r="K169" s="6">
        <v>6.7314425001914384E-3</v>
      </c>
      <c r="L169" s="6">
        <v>6.3674236025451053E-2</v>
      </c>
      <c r="M169" s="6">
        <v>20.65023335544134</v>
      </c>
      <c r="N169" s="6">
        <v>2.583806197577098E-3</v>
      </c>
      <c r="O169" s="6">
        <v>5225</v>
      </c>
      <c r="P169" s="6">
        <v>81.277831514266424</v>
      </c>
      <c r="Q169" s="6">
        <v>33055.198464039182</v>
      </c>
      <c r="R169" s="6">
        <v>0</v>
      </c>
      <c r="S169" s="6">
        <v>23.0372734012543</v>
      </c>
      <c r="T169" s="6">
        <f t="shared" si="45"/>
        <v>16.869985522050698</v>
      </c>
      <c r="U169" s="6" t="e">
        <f t="shared" si="60"/>
        <v>#N/A</v>
      </c>
      <c r="V169" s="6">
        <f t="shared" si="46"/>
        <v>18.033778625498975</v>
      </c>
      <c r="W169" s="6">
        <f t="shared" si="47"/>
        <v>15.70619241860242</v>
      </c>
      <c r="X169" s="6" t="e">
        <f t="shared" si="61"/>
        <v>#N/A</v>
      </c>
      <c r="Y169" s="6" t="e">
        <f t="shared" si="65"/>
        <v>#N/A</v>
      </c>
      <c r="Z169" s="6" t="e">
        <f t="shared" si="65"/>
        <v>#N/A</v>
      </c>
      <c r="AA169" s="6" t="e">
        <f t="shared" si="65"/>
        <v>#N/A</v>
      </c>
      <c r="AB169" s="6" t="e">
        <f t="shared" si="65"/>
        <v>#N/A</v>
      </c>
      <c r="AC169" s="6" t="e">
        <f t="shared" si="65"/>
        <v>#N/A</v>
      </c>
      <c r="AG169">
        <f t="shared" si="48"/>
        <v>5.0000000000000357E-2</v>
      </c>
      <c r="AH169">
        <f t="shared" si="49"/>
        <v>0</v>
      </c>
      <c r="AI169">
        <f t="shared" si="50"/>
        <v>-1.1280303030302985</v>
      </c>
      <c r="AJ169">
        <f t="shared" si="51"/>
        <v>2.3275862068965543</v>
      </c>
      <c r="AK169">
        <f t="shared" si="52"/>
        <v>0.78000000000000069</v>
      </c>
      <c r="AL169">
        <f t="shared" si="53"/>
        <v>-1.1090909090909085</v>
      </c>
      <c r="AM169">
        <f t="shared" si="54"/>
        <v>0</v>
      </c>
      <c r="AN169">
        <f t="shared" si="55"/>
        <v>-7.8467691995102534E-2</v>
      </c>
      <c r="AO169">
        <f t="shared" si="56"/>
        <v>-0.45845203272261159</v>
      </c>
      <c r="AQ169">
        <f t="shared" si="57"/>
        <v>18.033778625498975</v>
      </c>
      <c r="AR169">
        <f t="shared" si="58"/>
        <v>15.70619241860242</v>
      </c>
      <c r="AT169" t="str">
        <f t="shared" si="59"/>
        <v>45484D</v>
      </c>
    </row>
    <row r="170" spans="1:46" hidden="1" x14ac:dyDescent="0.3">
      <c r="A170" s="17">
        <v>45485</v>
      </c>
      <c r="B170" s="18" t="s">
        <v>22</v>
      </c>
      <c r="C170" s="6">
        <v>7.9566666666666661</v>
      </c>
      <c r="D170" s="6">
        <v>37.4</v>
      </c>
      <c r="E170" s="6">
        <v>27.7</v>
      </c>
      <c r="F170" s="6">
        <v>53.72</v>
      </c>
      <c r="G170" s="6">
        <v>3.79</v>
      </c>
      <c r="H170" s="6">
        <v>3.1280000000000001</v>
      </c>
      <c r="I170" s="6">
        <v>159.6</v>
      </c>
      <c r="J170" s="6">
        <v>9.7022159501461722</v>
      </c>
      <c r="K170" s="6">
        <v>9.7635772806248453E-3</v>
      </c>
      <c r="L170" s="6">
        <v>9.4728335222563173E-2</v>
      </c>
      <c r="M170" s="6">
        <v>20.58389416872971</v>
      </c>
      <c r="N170" s="6">
        <v>2.5837604290078549E-3</v>
      </c>
      <c r="O170" s="6">
        <v>5225</v>
      </c>
      <c r="P170" s="6">
        <v>81.276804324298723</v>
      </c>
      <c r="Q170" s="6">
        <v>40596.023200000003</v>
      </c>
      <c r="R170" s="6">
        <v>0</v>
      </c>
      <c r="S170" s="6">
        <v>23.26732039663699</v>
      </c>
      <c r="T170" s="6">
        <f t="shared" si="45"/>
        <v>16.164390771885646</v>
      </c>
      <c r="U170" s="6" t="e">
        <f t="shared" si="60"/>
        <v>#N/A</v>
      </c>
      <c r="V170" s="6">
        <f t="shared" si="46"/>
        <v>17.328183875333924</v>
      </c>
      <c r="W170" s="6">
        <f t="shared" si="47"/>
        <v>15.000597668437369</v>
      </c>
      <c r="X170" s="6" t="e">
        <f t="shared" si="61"/>
        <v>#N/A</v>
      </c>
      <c r="Y170" s="6" t="e">
        <f t="shared" si="65"/>
        <v>#N/A</v>
      </c>
      <c r="Z170" s="6" t="e">
        <f t="shared" si="65"/>
        <v>#N/A</v>
      </c>
      <c r="AA170" s="6" t="e">
        <f t="shared" si="65"/>
        <v>#N/A</v>
      </c>
      <c r="AB170" s="6" t="e">
        <f t="shared" si="65"/>
        <v>#N/A</v>
      </c>
      <c r="AC170" s="6" t="e">
        <f t="shared" si="65"/>
        <v>#N/A</v>
      </c>
      <c r="AG170">
        <f t="shared" si="48"/>
        <v>3.8666666666666849E-2</v>
      </c>
      <c r="AH170">
        <f t="shared" si="49"/>
        <v>0</v>
      </c>
      <c r="AI170">
        <f t="shared" si="50"/>
        <v>-1.2416666666666654</v>
      </c>
      <c r="AJ170">
        <f t="shared" si="51"/>
        <v>2.3275862068965543</v>
      </c>
      <c r="AK170">
        <f t="shared" si="52"/>
        <v>6.0000000000000053E-2</v>
      </c>
      <c r="AL170">
        <f t="shared" si="53"/>
        <v>-1.359999999999999</v>
      </c>
      <c r="AM170">
        <f t="shared" si="54"/>
        <v>0</v>
      </c>
      <c r="AN170">
        <f t="shared" si="55"/>
        <v>0.86413540000000011</v>
      </c>
      <c r="AO170">
        <f t="shared" si="56"/>
        <v>-0.94443190029234358</v>
      </c>
      <c r="AQ170">
        <f t="shared" si="57"/>
        <v>17.328183875333924</v>
      </c>
      <c r="AR170">
        <f t="shared" si="58"/>
        <v>15.000597668437369</v>
      </c>
      <c r="AT170" t="str">
        <f t="shared" si="59"/>
        <v>45485A</v>
      </c>
    </row>
    <row r="171" spans="1:46" hidden="1" x14ac:dyDescent="0.3">
      <c r="A171" s="17">
        <v>45485</v>
      </c>
      <c r="B171" s="18" t="s">
        <v>19</v>
      </c>
      <c r="C171" s="6">
        <v>7.793333333333333</v>
      </c>
      <c r="D171" s="6">
        <v>38.375</v>
      </c>
      <c r="E171" s="6">
        <v>26.5975</v>
      </c>
      <c r="F171" s="6">
        <v>54.92</v>
      </c>
      <c r="G171" s="6">
        <v>3.74</v>
      </c>
      <c r="H171" s="6">
        <v>3.24</v>
      </c>
      <c r="I171" s="6">
        <v>153.42857142857139</v>
      </c>
      <c r="J171" s="6">
        <v>8.7550031852431189</v>
      </c>
      <c r="K171" s="6">
        <v>4.4397002687394816E-3</v>
      </c>
      <c r="L171" s="6">
        <v>3.8869589994338899E-2</v>
      </c>
      <c r="M171" s="6">
        <v>22.868521680207451</v>
      </c>
      <c r="N171" s="6">
        <v>2.5848842099934041E-3</v>
      </c>
      <c r="O171" s="6">
        <v>5225</v>
      </c>
      <c r="P171" s="6">
        <v>81.312202187829527</v>
      </c>
      <c r="Q171" s="6">
        <v>20288.2088</v>
      </c>
      <c r="R171" s="6">
        <v>0</v>
      </c>
      <c r="S171" s="6">
        <v>23.074407866864551</v>
      </c>
      <c r="T171" s="6">
        <f t="shared" si="45"/>
        <v>18.431900921215465</v>
      </c>
      <c r="U171" s="6" t="e">
        <f t="shared" si="60"/>
        <v>#N/A</v>
      </c>
      <c r="V171" s="6">
        <f t="shared" si="46"/>
        <v>18.561211266043053</v>
      </c>
      <c r="W171" s="6">
        <f t="shared" si="47"/>
        <v>18.302590576387882</v>
      </c>
      <c r="X171" s="6" t="e">
        <f t="shared" si="61"/>
        <v>#N/A</v>
      </c>
      <c r="Y171" s="6" t="e">
        <f t="shared" si="65"/>
        <v>#N/A</v>
      </c>
      <c r="Z171" s="6" t="e">
        <f t="shared" si="65"/>
        <v>#N/A</v>
      </c>
      <c r="AA171" s="6" t="e">
        <f t="shared" si="65"/>
        <v>#N/A</v>
      </c>
      <c r="AB171" s="6" t="e">
        <f t="shared" si="65"/>
        <v>#N/A</v>
      </c>
      <c r="AC171" s="6" t="e">
        <f t="shared" si="65"/>
        <v>#N/A</v>
      </c>
      <c r="AG171">
        <f t="shared" si="48"/>
        <v>7.1333333333333471E-2</v>
      </c>
      <c r="AH171">
        <f t="shared" si="49"/>
        <v>0</v>
      </c>
      <c r="AI171">
        <f t="shared" si="50"/>
        <v>-0.32291666666666607</v>
      </c>
      <c r="AJ171">
        <f t="shared" si="51"/>
        <v>0.25862068965516999</v>
      </c>
      <c r="AK171">
        <f t="shared" si="52"/>
        <v>0.20999999999999952</v>
      </c>
      <c r="AL171">
        <f t="shared" si="53"/>
        <v>-0.79999999999999849</v>
      </c>
      <c r="AM171">
        <f t="shared" si="54"/>
        <v>0</v>
      </c>
      <c r="AN171">
        <f t="shared" si="55"/>
        <v>-1.6743414000000003</v>
      </c>
      <c r="AO171">
        <f t="shared" si="56"/>
        <v>0.94999362951376298</v>
      </c>
      <c r="AQ171">
        <f t="shared" si="57"/>
        <v>18.561211266043053</v>
      </c>
      <c r="AR171">
        <f t="shared" si="58"/>
        <v>18.302590576387882</v>
      </c>
      <c r="AT171" t="str">
        <f t="shared" si="59"/>
        <v>45485B</v>
      </c>
    </row>
    <row r="172" spans="1:46" hidden="1" x14ac:dyDescent="0.3">
      <c r="A172" s="17">
        <v>45485</v>
      </c>
      <c r="B172" s="18" t="s">
        <v>20</v>
      </c>
      <c r="C172" s="6">
        <v>7.765714285714286</v>
      </c>
      <c r="D172" s="6">
        <v>37.9</v>
      </c>
      <c r="E172" s="6">
        <v>26.718</v>
      </c>
      <c r="F172" s="6">
        <v>54.92</v>
      </c>
      <c r="G172" s="6">
        <v>3.74</v>
      </c>
      <c r="H172" s="6">
        <v>3.204444444444444</v>
      </c>
      <c r="I172" s="6">
        <v>151.88888888888891</v>
      </c>
      <c r="J172" s="6">
        <v>7.8493589278716511</v>
      </c>
      <c r="K172" s="6">
        <v>5.1595240217815084E-3</v>
      </c>
      <c r="L172" s="6">
        <v>4.049895594393893E-2</v>
      </c>
      <c r="M172" s="6">
        <v>23.887919221235698</v>
      </c>
      <c r="N172" s="6">
        <v>2.5853921695764039E-3</v>
      </c>
      <c r="O172" s="6">
        <v>5225</v>
      </c>
      <c r="P172" s="6">
        <v>81.327996943350982</v>
      </c>
      <c r="Q172" s="6">
        <v>25920.480800000001</v>
      </c>
      <c r="R172" s="6">
        <v>0</v>
      </c>
      <c r="S172" s="6">
        <v>24.468735286627201</v>
      </c>
      <c r="T172" s="6">
        <f t="shared" si="45"/>
        <v>21.69395034206601</v>
      </c>
      <c r="U172" s="6" t="e">
        <f t="shared" si="60"/>
        <v>#N/A</v>
      </c>
      <c r="V172" s="6">
        <f t="shared" si="46"/>
        <v>21.823260686893597</v>
      </c>
      <c r="W172" s="6">
        <f t="shared" si="47"/>
        <v>21.564639997238427</v>
      </c>
      <c r="X172" s="6" t="e">
        <f t="shared" si="61"/>
        <v>#N/A</v>
      </c>
      <c r="Y172" s="6" t="e">
        <f t="shared" si="65"/>
        <v>#N/A</v>
      </c>
      <c r="Z172" s="6" t="e">
        <f t="shared" si="65"/>
        <v>#N/A</v>
      </c>
      <c r="AA172" s="6" t="e">
        <f t="shared" si="65"/>
        <v>#N/A</v>
      </c>
      <c r="AB172" s="6" t="e">
        <f t="shared" si="65"/>
        <v>#N/A</v>
      </c>
      <c r="AC172" s="6" t="e">
        <f t="shared" si="65"/>
        <v>#N/A</v>
      </c>
      <c r="AG172">
        <f t="shared" si="48"/>
        <v>7.6857142857142874E-2</v>
      </c>
      <c r="AH172">
        <f t="shared" si="49"/>
        <v>0</v>
      </c>
      <c r="AI172">
        <f t="shared" si="50"/>
        <v>-0.42333333333333262</v>
      </c>
      <c r="AJ172">
        <f t="shared" si="51"/>
        <v>0.25862068965516999</v>
      </c>
      <c r="AK172">
        <f t="shared" si="52"/>
        <v>0.20999999999999952</v>
      </c>
      <c r="AL172">
        <f t="shared" si="53"/>
        <v>-0.97777777777777963</v>
      </c>
      <c r="AM172">
        <f t="shared" si="54"/>
        <v>0</v>
      </c>
      <c r="AN172">
        <f t="shared" si="55"/>
        <v>-0.97030740000000015</v>
      </c>
      <c r="AO172">
        <f t="shared" si="56"/>
        <v>2.7612821442566986</v>
      </c>
      <c r="AQ172">
        <f t="shared" si="57"/>
        <v>21.823260686893597</v>
      </c>
      <c r="AR172">
        <f t="shared" si="58"/>
        <v>21.564639997238427</v>
      </c>
      <c r="AT172" t="str">
        <f t="shared" si="59"/>
        <v>45485C</v>
      </c>
    </row>
    <row r="173" spans="1:46" hidden="1" x14ac:dyDescent="0.3">
      <c r="A173" s="17">
        <v>45485</v>
      </c>
      <c r="B173" s="18" t="s">
        <v>21</v>
      </c>
      <c r="C173" s="6">
        <v>7.7662499999999994</v>
      </c>
      <c r="D173" s="6">
        <v>37.444444444444443</v>
      </c>
      <c r="E173" s="6">
        <v>26.81111111111111</v>
      </c>
      <c r="F173" s="6">
        <v>54.92</v>
      </c>
      <c r="G173" s="6">
        <v>3.74</v>
      </c>
      <c r="H173" s="6">
        <v>3.184444444444444</v>
      </c>
      <c r="I173" s="6">
        <v>151.88888888888891</v>
      </c>
      <c r="J173" s="6">
        <v>7.5577661775632423</v>
      </c>
      <c r="K173" s="6">
        <v>5.2381366420663151E-3</v>
      </c>
      <c r="L173" s="6">
        <v>3.9588611946863493E-2</v>
      </c>
      <c r="M173" s="6">
        <v>24.14047697787878</v>
      </c>
      <c r="N173" s="6">
        <v>2.58551749577804E-3</v>
      </c>
      <c r="O173" s="6">
        <v>5225</v>
      </c>
      <c r="P173" s="6">
        <v>81.331910134083358</v>
      </c>
      <c r="Q173" s="6">
        <v>25534.543079245279</v>
      </c>
      <c r="R173" s="6">
        <v>0</v>
      </c>
      <c r="S173" s="6">
        <v>24.72134859711861</v>
      </c>
      <c r="T173" s="6">
        <f t="shared" si="45"/>
        <v>22.303751648781834</v>
      </c>
      <c r="U173" s="6" t="e">
        <f t="shared" si="60"/>
        <v>#N/A</v>
      </c>
      <c r="V173" s="6">
        <f t="shared" si="46"/>
        <v>22.433061993609421</v>
      </c>
      <c r="W173" s="6">
        <f t="shared" si="47"/>
        <v>22.17444130395425</v>
      </c>
      <c r="X173" s="6" t="e">
        <f t="shared" si="61"/>
        <v>#N/A</v>
      </c>
      <c r="Y173" s="6" t="e">
        <f t="shared" si="65"/>
        <v>#N/A</v>
      </c>
      <c r="Z173" s="6" t="e">
        <f t="shared" si="65"/>
        <v>#N/A</v>
      </c>
      <c r="AA173" s="6" t="e">
        <f t="shared" si="65"/>
        <v>#N/A</v>
      </c>
      <c r="AB173" s="6" t="e">
        <f t="shared" si="65"/>
        <v>#N/A</v>
      </c>
      <c r="AC173" s="6" t="e">
        <f t="shared" si="65"/>
        <v>#N/A</v>
      </c>
      <c r="AG173">
        <f t="shared" si="48"/>
        <v>7.6750000000000193E-2</v>
      </c>
      <c r="AH173">
        <f t="shared" si="49"/>
        <v>0</v>
      </c>
      <c r="AI173">
        <f t="shared" si="50"/>
        <v>-0.50092592592592433</v>
      </c>
      <c r="AJ173">
        <f t="shared" si="51"/>
        <v>0.25862068965516999</v>
      </c>
      <c r="AK173">
        <f t="shared" si="52"/>
        <v>0.20999999999999952</v>
      </c>
      <c r="AL173">
        <f t="shared" si="53"/>
        <v>-1.0777777777777797</v>
      </c>
      <c r="AM173">
        <f t="shared" si="54"/>
        <v>0</v>
      </c>
      <c r="AN173">
        <f t="shared" si="55"/>
        <v>-1.0185496150943405</v>
      </c>
      <c r="AO173">
        <f t="shared" si="56"/>
        <v>3.3444676448735162</v>
      </c>
      <c r="AQ173">
        <f t="shared" si="57"/>
        <v>22.433061993609421</v>
      </c>
      <c r="AR173">
        <f t="shared" si="58"/>
        <v>22.17444130395425</v>
      </c>
      <c r="AT173" t="str">
        <f t="shared" si="59"/>
        <v>45485D</v>
      </c>
    </row>
    <row r="174" spans="1:46" hidden="1" x14ac:dyDescent="0.3">
      <c r="A174" s="17">
        <v>45488</v>
      </c>
      <c r="B174" s="18" t="s">
        <v>19</v>
      </c>
      <c r="C174" s="6">
        <v>7.9019999999999992</v>
      </c>
      <c r="D174" s="6">
        <v>37.666666666666657</v>
      </c>
      <c r="E174" s="6">
        <v>27.594999999999999</v>
      </c>
      <c r="F174" s="6">
        <v>54.99</v>
      </c>
      <c r="G174" s="6">
        <v>3.72</v>
      </c>
      <c r="H174" s="6">
        <v>3.2333333333333329</v>
      </c>
      <c r="I174" s="6">
        <v>143.5</v>
      </c>
      <c r="J174" s="6">
        <v>8.039484810667501</v>
      </c>
      <c r="K174" s="6">
        <v>9.5074979077639681E-4</v>
      </c>
      <c r="L174" s="6">
        <v>7.6435385016921462E-3</v>
      </c>
      <c r="M174" s="6">
        <v>18.77856510750965</v>
      </c>
      <c r="N174" s="6">
        <v>2.5829169073523892E-3</v>
      </c>
      <c r="O174" s="6">
        <v>5225</v>
      </c>
      <c r="P174" s="6">
        <v>81.248832453499844</v>
      </c>
      <c r="Q174" s="6">
        <v>4193.1999679999999</v>
      </c>
      <c r="R174" s="6">
        <v>0</v>
      </c>
      <c r="S174" s="6">
        <v>21.165531474484411</v>
      </c>
      <c r="T174" s="6">
        <f t="shared" si="45"/>
        <v>12.874443499416028</v>
      </c>
      <c r="U174" s="6" t="e">
        <f t="shared" si="60"/>
        <v>#N/A</v>
      </c>
      <c r="V174" s="6">
        <f t="shared" si="46"/>
        <v>12.943409016657405</v>
      </c>
      <c r="W174" s="6">
        <f t="shared" si="47"/>
        <v>12.805477982174649</v>
      </c>
      <c r="X174" s="6" t="e">
        <f t="shared" si="61"/>
        <v>#N/A</v>
      </c>
      <c r="Y174" s="6" t="e">
        <f t="shared" si="65"/>
        <v>#N/A</v>
      </c>
      <c r="Z174" s="6" t="e">
        <f t="shared" si="65"/>
        <v>#N/A</v>
      </c>
      <c r="AA174" s="6" t="e">
        <f t="shared" si="65"/>
        <v>#N/A</v>
      </c>
      <c r="AB174" s="6" t="e">
        <f t="shared" si="65"/>
        <v>#N/A</v>
      </c>
      <c r="AC174" s="6" t="e">
        <f t="shared" si="65"/>
        <v>#N/A</v>
      </c>
      <c r="AG174">
        <f t="shared" si="48"/>
        <v>4.9600000000000227E-2</v>
      </c>
      <c r="AH174">
        <f t="shared" si="49"/>
        <v>0</v>
      </c>
      <c r="AI174">
        <f t="shared" si="50"/>
        <v>-1.154166666666665</v>
      </c>
      <c r="AJ174">
        <f t="shared" si="51"/>
        <v>0.13793103448275568</v>
      </c>
      <c r="AK174">
        <f t="shared" si="52"/>
        <v>0.26999999999999957</v>
      </c>
      <c r="AL174">
        <f t="shared" si="53"/>
        <v>-0.83333333333333481</v>
      </c>
      <c r="AM174">
        <f t="shared" si="54"/>
        <v>0</v>
      </c>
      <c r="AN174">
        <f t="shared" si="55"/>
        <v>-3.686217504</v>
      </c>
      <c r="AO174">
        <f t="shared" si="56"/>
        <v>2.3810303786649989</v>
      </c>
      <c r="AQ174">
        <f t="shared" si="57"/>
        <v>12.943409016657405</v>
      </c>
      <c r="AR174">
        <f t="shared" si="58"/>
        <v>12.805477982174649</v>
      </c>
      <c r="AT174" t="str">
        <f t="shared" si="59"/>
        <v>45488B</v>
      </c>
    </row>
    <row r="175" spans="1:46" hidden="1" x14ac:dyDescent="0.3">
      <c r="A175" s="17">
        <v>45488</v>
      </c>
      <c r="B175" s="18" t="s">
        <v>20</v>
      </c>
      <c r="C175" s="6">
        <v>7.835</v>
      </c>
      <c r="D175" s="6">
        <v>37.333333333333343</v>
      </c>
      <c r="E175" s="6">
        <v>27.49666666666667</v>
      </c>
      <c r="F175" s="6">
        <v>54.99</v>
      </c>
      <c r="G175" s="6">
        <v>3.72</v>
      </c>
      <c r="H175" s="6">
        <v>3.204444444444444</v>
      </c>
      <c r="I175" s="6">
        <v>144.44444444444451</v>
      </c>
      <c r="J175" s="6">
        <v>8.3516111234365891</v>
      </c>
      <c r="K175" s="6">
        <v>4.7134912498973902E-4</v>
      </c>
      <c r="L175" s="6">
        <v>3.9365245952864081E-3</v>
      </c>
      <c r="M175" s="6">
        <v>19.77061102048394</v>
      </c>
      <c r="N175" s="6">
        <v>2.5833944004530211E-3</v>
      </c>
      <c r="O175" s="6">
        <v>5225</v>
      </c>
      <c r="P175" s="6">
        <v>81.264202881155526</v>
      </c>
      <c r="Q175" s="6">
        <v>2086.6408000000001</v>
      </c>
      <c r="R175" s="6">
        <v>0</v>
      </c>
      <c r="S175" s="6">
        <v>21.928742950437162</v>
      </c>
      <c r="T175" s="6">
        <f t="shared" si="45"/>
        <v>12.929816890852138</v>
      </c>
      <c r="U175" s="6" t="e">
        <f t="shared" si="60"/>
        <v>#N/A</v>
      </c>
      <c r="V175" s="6">
        <f t="shared" si="46"/>
        <v>12.998782408093515</v>
      </c>
      <c r="W175" s="6">
        <f t="shared" si="47"/>
        <v>12.860851373610759</v>
      </c>
      <c r="X175" s="6" t="e">
        <f t="shared" si="61"/>
        <v>#N/A</v>
      </c>
      <c r="Y175" s="6" t="e">
        <f t="shared" si="65"/>
        <v>#N/A</v>
      </c>
      <c r="Z175" s="6" t="e">
        <f t="shared" si="65"/>
        <v>#N/A</v>
      </c>
      <c r="AA175" s="6" t="e">
        <f t="shared" si="65"/>
        <v>#N/A</v>
      </c>
      <c r="AB175" s="6" t="e">
        <f t="shared" si="65"/>
        <v>#N/A</v>
      </c>
      <c r="AC175" s="6" t="e">
        <f t="shared" si="65"/>
        <v>#N/A</v>
      </c>
      <c r="AG175">
        <f t="shared" si="48"/>
        <v>6.3000000000000084E-2</v>
      </c>
      <c r="AH175">
        <f t="shared" si="49"/>
        <v>0</v>
      </c>
      <c r="AI175">
        <f t="shared" si="50"/>
        <v>-1.0722222222222242</v>
      </c>
      <c r="AJ175">
        <f t="shared" si="51"/>
        <v>0.13793103448275568</v>
      </c>
      <c r="AK175">
        <f t="shared" si="52"/>
        <v>0.26999999999999957</v>
      </c>
      <c r="AL175">
        <f t="shared" si="53"/>
        <v>-0.97777777777777963</v>
      </c>
      <c r="AM175">
        <f t="shared" si="54"/>
        <v>0</v>
      </c>
      <c r="AN175">
        <f t="shared" si="55"/>
        <v>-3.9495374000000001</v>
      </c>
      <c r="AO175">
        <f t="shared" si="56"/>
        <v>1.7567777531268227</v>
      </c>
      <c r="AQ175">
        <f t="shared" si="57"/>
        <v>12.998782408093515</v>
      </c>
      <c r="AR175">
        <f t="shared" si="58"/>
        <v>12.860851373610759</v>
      </c>
      <c r="AT175" t="str">
        <f t="shared" si="59"/>
        <v>45488C</v>
      </c>
    </row>
    <row r="176" spans="1:46" hidden="1" x14ac:dyDescent="0.3">
      <c r="A176" s="17">
        <v>45488</v>
      </c>
      <c r="B176" s="18" t="s">
        <v>21</v>
      </c>
      <c r="C176" s="6">
        <v>7.77</v>
      </c>
      <c r="D176" s="6">
        <v>37</v>
      </c>
      <c r="E176" s="6">
        <v>27.714285714285719</v>
      </c>
      <c r="F176" s="6">
        <v>54.99</v>
      </c>
      <c r="G176" s="6">
        <v>3.72</v>
      </c>
      <c r="H176" s="6">
        <v>3.18</v>
      </c>
      <c r="I176" s="6">
        <v>145.28571428571431</v>
      </c>
      <c r="J176" s="6">
        <v>7.8193247587850587</v>
      </c>
      <c r="K176" s="6">
        <v>1.032252438912296E-3</v>
      </c>
      <c r="L176" s="6">
        <v>8.0715170529031752E-3</v>
      </c>
      <c r="M176" s="6">
        <v>21.43792438502398</v>
      </c>
      <c r="N176" s="6">
        <v>2.5841972064080082E-3</v>
      </c>
      <c r="O176" s="6">
        <v>5225</v>
      </c>
      <c r="P176" s="6">
        <v>81.290036160006565</v>
      </c>
      <c r="Q176" s="6">
        <v>4667.3271999999997</v>
      </c>
      <c r="R176" s="6">
        <v>0</v>
      </c>
      <c r="S176" s="6">
        <v>23.39267515636713</v>
      </c>
      <c r="T176" s="6">
        <f t="shared" si="45"/>
        <v>15.693717356123809</v>
      </c>
      <c r="U176" s="6" t="e">
        <f t="shared" si="60"/>
        <v>#N/A</v>
      </c>
      <c r="V176" s="6">
        <f t="shared" si="46"/>
        <v>15.762682873365186</v>
      </c>
      <c r="W176" s="6">
        <f t="shared" si="47"/>
        <v>15.62475183888243</v>
      </c>
      <c r="X176" s="6" t="e">
        <f t="shared" si="61"/>
        <v>#N/A</v>
      </c>
      <c r="Y176" s="6" t="e">
        <f t="shared" si="65"/>
        <v>#N/A</v>
      </c>
      <c r="Z176" s="6" t="e">
        <f t="shared" si="65"/>
        <v>#N/A</v>
      </c>
      <c r="AA176" s="6" t="e">
        <f t="shared" si="65"/>
        <v>#N/A</v>
      </c>
      <c r="AB176" s="6" t="e">
        <f t="shared" si="65"/>
        <v>#N/A</v>
      </c>
      <c r="AC176" s="6" t="e">
        <f t="shared" si="65"/>
        <v>#N/A</v>
      </c>
      <c r="AG176">
        <f t="shared" si="48"/>
        <v>7.6000000000000165E-2</v>
      </c>
      <c r="AH176">
        <f t="shared" si="49"/>
        <v>0</v>
      </c>
      <c r="AI176">
        <f t="shared" si="50"/>
        <v>-1.2535714285714317</v>
      </c>
      <c r="AJ176">
        <f t="shared" si="51"/>
        <v>0.13793103448275568</v>
      </c>
      <c r="AK176">
        <f t="shared" si="52"/>
        <v>0.26999999999999957</v>
      </c>
      <c r="AL176">
        <f t="shared" si="53"/>
        <v>-1.099999999999999</v>
      </c>
      <c r="AM176">
        <f t="shared" si="54"/>
        <v>0</v>
      </c>
      <c r="AN176">
        <f t="shared" si="55"/>
        <v>-3.6269516000000004</v>
      </c>
      <c r="AO176">
        <f t="shared" si="56"/>
        <v>2.8213504824298834</v>
      </c>
      <c r="AQ176">
        <f t="shared" si="57"/>
        <v>15.762682873365186</v>
      </c>
      <c r="AR176">
        <f t="shared" si="58"/>
        <v>15.62475183888243</v>
      </c>
      <c r="AT176" t="str">
        <f t="shared" si="59"/>
        <v>45488D</v>
      </c>
    </row>
    <row r="177" spans="1:46" hidden="1" x14ac:dyDescent="0.3">
      <c r="A177" s="17">
        <v>45489</v>
      </c>
      <c r="B177" s="18" t="s">
        <v>22</v>
      </c>
      <c r="C177" s="6">
        <v>7.9849999999999994</v>
      </c>
      <c r="D177" s="6">
        <v>37</v>
      </c>
      <c r="E177" s="6">
        <v>26.16714285714286</v>
      </c>
      <c r="F177" s="6">
        <v>54.99</v>
      </c>
      <c r="G177" s="6">
        <v>3.56</v>
      </c>
      <c r="H177" s="6">
        <v>3.168571428571429</v>
      </c>
      <c r="I177" s="6">
        <v>151.71428571428569</v>
      </c>
      <c r="J177" s="6">
        <v>8.0251211357234098</v>
      </c>
      <c r="K177" s="6">
        <v>6.3291309774099634E-3</v>
      </c>
      <c r="L177" s="6">
        <v>5.0792042777574452E-2</v>
      </c>
      <c r="M177" s="6">
        <v>22.610088027223458</v>
      </c>
      <c r="N177" s="6">
        <v>2.5847545545532001E-3</v>
      </c>
      <c r="O177" s="6">
        <v>5225</v>
      </c>
      <c r="P177" s="6">
        <v>81.308197682208601</v>
      </c>
      <c r="Q177" s="6">
        <v>27119.3024</v>
      </c>
      <c r="R177" s="6">
        <v>0</v>
      </c>
      <c r="S177" s="6">
        <v>23.000912696802668</v>
      </c>
      <c r="T177" s="6">
        <f t="shared" si="45"/>
        <v>20.929928001589449</v>
      </c>
      <c r="U177" s="6" t="e">
        <f t="shared" si="60"/>
        <v>#N/A</v>
      </c>
      <c r="V177" s="6">
        <f t="shared" si="46"/>
        <v>20.998893518830826</v>
      </c>
      <c r="W177" s="6">
        <f t="shared" si="47"/>
        <v>20.860962484348072</v>
      </c>
      <c r="X177" s="6" t="e">
        <f t="shared" si="61"/>
        <v>#N/A</v>
      </c>
      <c r="Y177" s="6" t="e">
        <f t="shared" ref="Y177:AC186" si="66">VLOOKUP($AT177,hhh,3,0)</f>
        <v>#N/A</v>
      </c>
      <c r="Z177" s="6" t="e">
        <f t="shared" si="66"/>
        <v>#N/A</v>
      </c>
      <c r="AA177" s="6" t="e">
        <f t="shared" si="66"/>
        <v>#N/A</v>
      </c>
      <c r="AB177" s="6" t="e">
        <f t="shared" si="66"/>
        <v>#N/A</v>
      </c>
      <c r="AC177" s="6" t="e">
        <f t="shared" si="66"/>
        <v>#N/A</v>
      </c>
      <c r="AG177">
        <f t="shared" si="48"/>
        <v>3.3000000000000189E-2</v>
      </c>
      <c r="AH177">
        <f t="shared" si="49"/>
        <v>0</v>
      </c>
      <c r="AI177">
        <f t="shared" si="50"/>
        <v>3.5714285714284109E-2</v>
      </c>
      <c r="AJ177">
        <f t="shared" si="51"/>
        <v>0.13793103448275568</v>
      </c>
      <c r="AK177">
        <f t="shared" si="52"/>
        <v>0.74999999999999989</v>
      </c>
      <c r="AL177">
        <f t="shared" si="53"/>
        <v>-1.1571428571428546</v>
      </c>
      <c r="AM177">
        <f t="shared" si="54"/>
        <v>0</v>
      </c>
      <c r="AN177">
        <f t="shared" si="55"/>
        <v>-0.8204547000000002</v>
      </c>
      <c r="AO177">
        <f t="shared" si="56"/>
        <v>2.4097577285531813</v>
      </c>
      <c r="AQ177">
        <f t="shared" si="57"/>
        <v>20.998893518830826</v>
      </c>
      <c r="AR177">
        <f t="shared" si="58"/>
        <v>20.860962484348072</v>
      </c>
      <c r="AT177" t="str">
        <f t="shared" si="59"/>
        <v>45489A</v>
      </c>
    </row>
    <row r="178" spans="1:46" hidden="1" x14ac:dyDescent="0.3">
      <c r="A178" s="17">
        <v>45489</v>
      </c>
      <c r="B178" s="18" t="s">
        <v>19</v>
      </c>
      <c r="C178" s="6">
        <v>7.9159999999999986</v>
      </c>
      <c r="D178" s="6">
        <v>37.166666666666657</v>
      </c>
      <c r="E178" s="6">
        <v>26.243333333333329</v>
      </c>
      <c r="F178" s="6">
        <v>54.23</v>
      </c>
      <c r="G178" s="6">
        <v>3.56</v>
      </c>
      <c r="H178" s="6">
        <v>3.1150000000000002</v>
      </c>
      <c r="I178" s="6">
        <v>153.16666666666671</v>
      </c>
      <c r="J178" s="6">
        <v>9.5624782361803469</v>
      </c>
      <c r="K178" s="6">
        <v>3.5277496410349518E-3</v>
      </c>
      <c r="L178" s="6">
        <v>3.3734029165089753E-2</v>
      </c>
      <c r="M178" s="6">
        <v>20.755625177466719</v>
      </c>
      <c r="N178" s="6">
        <v>2.583876243868335E-3</v>
      </c>
      <c r="O178" s="6">
        <v>5225</v>
      </c>
      <c r="P178" s="6">
        <v>81.27946413690141</v>
      </c>
      <c r="Q178" s="6">
        <v>12651.0575805668</v>
      </c>
      <c r="R178" s="6">
        <v>0</v>
      </c>
      <c r="S178" s="6">
        <v>23.31303201961283</v>
      </c>
      <c r="T178" s="6">
        <f t="shared" si="45"/>
        <v>14.52984355593359</v>
      </c>
      <c r="U178" s="6" t="e">
        <f t="shared" si="60"/>
        <v>#N/A</v>
      </c>
      <c r="V178" s="6">
        <f t="shared" si="46"/>
        <v>15.253981486968076</v>
      </c>
      <c r="W178" s="6">
        <f t="shared" si="47"/>
        <v>13.805705624899105</v>
      </c>
      <c r="X178" s="6" t="e">
        <f t="shared" si="61"/>
        <v>#N/A</v>
      </c>
      <c r="Y178" s="6" t="e">
        <f t="shared" si="66"/>
        <v>#N/A</v>
      </c>
      <c r="Z178" s="6" t="e">
        <f t="shared" si="66"/>
        <v>#N/A</v>
      </c>
      <c r="AA178" s="6" t="e">
        <f t="shared" si="66"/>
        <v>#N/A</v>
      </c>
      <c r="AB178" s="6" t="e">
        <f t="shared" si="66"/>
        <v>#N/A</v>
      </c>
      <c r="AC178" s="6" t="e">
        <f t="shared" si="66"/>
        <v>#N/A</v>
      </c>
      <c r="AG178">
        <f t="shared" si="48"/>
        <v>4.6800000000000355E-2</v>
      </c>
      <c r="AH178">
        <f t="shared" si="49"/>
        <v>0</v>
      </c>
      <c r="AI178">
        <f t="shared" si="50"/>
        <v>-2.7777777777773238E-2</v>
      </c>
      <c r="AJ178">
        <f t="shared" si="51"/>
        <v>1.4482758620689715</v>
      </c>
      <c r="AK178">
        <f t="shared" si="52"/>
        <v>0.74999999999999989</v>
      </c>
      <c r="AL178">
        <f t="shared" si="53"/>
        <v>-1.4249999999999985</v>
      </c>
      <c r="AM178">
        <f t="shared" si="54"/>
        <v>0</v>
      </c>
      <c r="AN178">
        <f t="shared" si="55"/>
        <v>-2.6289853024291507</v>
      </c>
      <c r="AO178">
        <f t="shared" si="56"/>
        <v>-0.66495647236069289</v>
      </c>
      <c r="AQ178">
        <f t="shared" si="57"/>
        <v>15.253981486968076</v>
      </c>
      <c r="AR178">
        <f t="shared" si="58"/>
        <v>13.805705624899105</v>
      </c>
      <c r="AT178" t="str">
        <f t="shared" si="59"/>
        <v>45489B</v>
      </c>
    </row>
    <row r="179" spans="1:46" hidden="1" x14ac:dyDescent="0.3">
      <c r="A179" s="17">
        <v>45489</v>
      </c>
      <c r="B179" s="18" t="s">
        <v>20</v>
      </c>
      <c r="C179" s="6">
        <v>7.82</v>
      </c>
      <c r="D179" s="6">
        <v>37</v>
      </c>
      <c r="E179" s="6">
        <v>26.83</v>
      </c>
      <c r="F179" s="6">
        <v>54.23</v>
      </c>
      <c r="G179" s="6">
        <v>3.37</v>
      </c>
      <c r="H179" s="6">
        <v>3.05</v>
      </c>
      <c r="I179" s="6">
        <v>155.19999999999999</v>
      </c>
      <c r="J179" s="6">
        <v>9.3680436696667257</v>
      </c>
      <c r="K179" s="6">
        <v>4.2570585192967959E-3</v>
      </c>
      <c r="L179" s="6">
        <v>3.9880310113099157E-2</v>
      </c>
      <c r="M179" s="6">
        <v>24.662669780244769</v>
      </c>
      <c r="N179" s="6">
        <v>2.585749309206953E-3</v>
      </c>
      <c r="O179" s="6">
        <v>5225</v>
      </c>
      <c r="P179" s="6">
        <v>81.340001092951525</v>
      </c>
      <c r="Q179" s="6">
        <v>14185.8752</v>
      </c>
      <c r="R179" s="6">
        <v>0</v>
      </c>
      <c r="S179" s="6">
        <v>26.728329340779741</v>
      </c>
      <c r="T179" s="6">
        <f t="shared" si="45"/>
        <v>18.792920605279143</v>
      </c>
      <c r="U179" s="6" t="e">
        <f t="shared" si="60"/>
        <v>#N/A</v>
      </c>
      <c r="V179" s="6">
        <f t="shared" si="46"/>
        <v>19.517058536313627</v>
      </c>
      <c r="W179" s="6">
        <f t="shared" si="47"/>
        <v>18.068782674244655</v>
      </c>
      <c r="X179" s="6" t="e">
        <f t="shared" si="61"/>
        <v>#N/A</v>
      </c>
      <c r="Y179" s="6" t="e">
        <f t="shared" si="66"/>
        <v>#N/A</v>
      </c>
      <c r="Z179" s="6" t="e">
        <f t="shared" si="66"/>
        <v>#N/A</v>
      </c>
      <c r="AA179" s="6" t="e">
        <f t="shared" si="66"/>
        <v>#N/A</v>
      </c>
      <c r="AB179" s="6" t="e">
        <f t="shared" si="66"/>
        <v>#N/A</v>
      </c>
      <c r="AC179" s="6" t="e">
        <f t="shared" si="66"/>
        <v>#N/A</v>
      </c>
      <c r="AG179">
        <f t="shared" si="48"/>
        <v>6.6000000000000017E-2</v>
      </c>
      <c r="AH179">
        <f t="shared" si="49"/>
        <v>0</v>
      </c>
      <c r="AI179">
        <f t="shared" si="50"/>
        <v>-0.51666666666666461</v>
      </c>
      <c r="AJ179">
        <f t="shared" si="51"/>
        <v>1.4482758620689715</v>
      </c>
      <c r="AK179">
        <f t="shared" si="52"/>
        <v>1.3199999999999996</v>
      </c>
      <c r="AL179">
        <f t="shared" si="53"/>
        <v>-1.7500000000000004</v>
      </c>
      <c r="AM179">
        <f t="shared" si="54"/>
        <v>0</v>
      </c>
      <c r="AN179">
        <f t="shared" si="55"/>
        <v>-2.4371331000000001</v>
      </c>
      <c r="AO179">
        <f t="shared" si="56"/>
        <v>-0.27608733933345064</v>
      </c>
      <c r="AQ179">
        <f t="shared" si="57"/>
        <v>19.517058536313627</v>
      </c>
      <c r="AR179">
        <f t="shared" si="58"/>
        <v>18.068782674244655</v>
      </c>
      <c r="AT179" t="str">
        <f t="shared" si="59"/>
        <v>45489C</v>
      </c>
    </row>
    <row r="180" spans="1:46" hidden="1" x14ac:dyDescent="0.3">
      <c r="A180" s="17">
        <v>45489</v>
      </c>
      <c r="B180" s="18" t="s">
        <v>21</v>
      </c>
      <c r="C180" s="6">
        <v>7.6714285714285717</v>
      </c>
      <c r="D180" s="6">
        <v>37</v>
      </c>
      <c r="E180" s="6">
        <v>27.475000000000001</v>
      </c>
      <c r="F180" s="6">
        <v>54.23</v>
      </c>
      <c r="G180" s="6">
        <v>3.37</v>
      </c>
      <c r="H180" s="6">
        <v>2.9985714285714291</v>
      </c>
      <c r="I180" s="6">
        <v>154</v>
      </c>
      <c r="J180" s="6">
        <v>8.2146967747887576</v>
      </c>
      <c r="K180" s="6">
        <v>6.5480432697799119E-3</v>
      </c>
      <c r="L180" s="6">
        <v>5.3790189929438278E-2</v>
      </c>
      <c r="M180" s="6">
        <v>27.04767202903156</v>
      </c>
      <c r="N180" s="6">
        <v>2.586922551460757E-3</v>
      </c>
      <c r="O180" s="6">
        <v>5225</v>
      </c>
      <c r="P180" s="6">
        <v>81.376955133071931</v>
      </c>
      <c r="Q180" s="6">
        <v>25371.771586069659</v>
      </c>
      <c r="R180" s="6">
        <v>0</v>
      </c>
      <c r="S180" s="6">
        <v>27.04768341027971</v>
      </c>
      <c r="T180" s="6">
        <f t="shared" si="45"/>
        <v>24.117925120652004</v>
      </c>
      <c r="U180" s="6" t="e">
        <f t="shared" si="60"/>
        <v>#N/A</v>
      </c>
      <c r="V180" s="6">
        <f t="shared" si="46"/>
        <v>24.842063051686488</v>
      </c>
      <c r="W180" s="6">
        <f t="shared" si="47"/>
        <v>23.393787189617516</v>
      </c>
      <c r="X180" s="6" t="e">
        <f t="shared" si="61"/>
        <v>#N/A</v>
      </c>
      <c r="Y180" s="6" t="e">
        <f t="shared" si="66"/>
        <v>#N/A</v>
      </c>
      <c r="Z180" s="6" t="e">
        <f t="shared" si="66"/>
        <v>#N/A</v>
      </c>
      <c r="AA180" s="6" t="e">
        <f t="shared" si="66"/>
        <v>#N/A</v>
      </c>
      <c r="AB180" s="6" t="e">
        <f t="shared" si="66"/>
        <v>#N/A</v>
      </c>
      <c r="AC180" s="6" t="e">
        <f t="shared" si="66"/>
        <v>#N/A</v>
      </c>
      <c r="AG180">
        <f t="shared" si="48"/>
        <v>9.5714285714285738E-2</v>
      </c>
      <c r="AH180">
        <f t="shared" si="49"/>
        <v>0</v>
      </c>
      <c r="AI180">
        <f t="shared" si="50"/>
        <v>-1.0541666666666671</v>
      </c>
      <c r="AJ180">
        <f t="shared" si="51"/>
        <v>1.4482758620689715</v>
      </c>
      <c r="AK180">
        <f t="shared" si="52"/>
        <v>1.3199999999999996</v>
      </c>
      <c r="AL180">
        <f t="shared" si="53"/>
        <v>-2.007142857142854</v>
      </c>
      <c r="AM180">
        <f t="shared" si="54"/>
        <v>0</v>
      </c>
      <c r="AN180">
        <f t="shared" si="55"/>
        <v>-1.0388960517412928</v>
      </c>
      <c r="AO180">
        <f t="shared" si="56"/>
        <v>2.0306064504224857</v>
      </c>
      <c r="AQ180">
        <f t="shared" si="57"/>
        <v>24.842063051686488</v>
      </c>
      <c r="AR180">
        <f t="shared" si="58"/>
        <v>23.393787189617516</v>
      </c>
      <c r="AT180" t="str">
        <f t="shared" si="59"/>
        <v>45489D</v>
      </c>
    </row>
    <row r="181" spans="1:46" hidden="1" x14ac:dyDescent="0.3">
      <c r="A181" s="17">
        <v>45490</v>
      </c>
      <c r="B181" s="18" t="s">
        <v>22</v>
      </c>
      <c r="C181" s="6">
        <v>7.5742857142857138</v>
      </c>
      <c r="D181" s="6">
        <v>36.545454545454547</v>
      </c>
      <c r="E181" s="6">
        <v>26.127500000000001</v>
      </c>
      <c r="F181" s="6">
        <v>54.23</v>
      </c>
      <c r="G181" s="6">
        <v>3.27</v>
      </c>
      <c r="H181" s="6">
        <v>2.9690909090909088</v>
      </c>
      <c r="I181" s="6">
        <v>152.18181818181819</v>
      </c>
      <c r="J181" s="6">
        <v>8.3333899297454721</v>
      </c>
      <c r="K181" s="6">
        <v>8.7734396364263102E-3</v>
      </c>
      <c r="L181" s="6">
        <v>7.3112493515424787E-2</v>
      </c>
      <c r="M181" s="6">
        <v>27.047683213601509</v>
      </c>
      <c r="N181" s="6">
        <v>2.5869231805944679E-3</v>
      </c>
      <c r="O181" s="6">
        <v>5225</v>
      </c>
      <c r="P181" s="6">
        <v>81.376955266016921</v>
      </c>
      <c r="Q181" s="6">
        <v>37636.374400000001</v>
      </c>
      <c r="R181" s="6">
        <v>0</v>
      </c>
      <c r="S181" s="6">
        <v>27.04768385462425</v>
      </c>
      <c r="T181" s="6">
        <f t="shared" si="45"/>
        <v>26.708567987742455</v>
      </c>
      <c r="U181" s="6" t="e">
        <f t="shared" si="60"/>
        <v>#N/A</v>
      </c>
      <c r="V181" s="6">
        <f t="shared" si="46"/>
        <v>27.432705918776939</v>
      </c>
      <c r="W181" s="6">
        <f t="shared" si="47"/>
        <v>25.984430056707968</v>
      </c>
      <c r="X181" s="6" t="e">
        <f t="shared" si="61"/>
        <v>#N/A</v>
      </c>
      <c r="Y181" s="6" t="e">
        <f t="shared" si="66"/>
        <v>#N/A</v>
      </c>
      <c r="Z181" s="6" t="e">
        <f t="shared" si="66"/>
        <v>#N/A</v>
      </c>
      <c r="AA181" s="6" t="e">
        <f t="shared" si="66"/>
        <v>#N/A</v>
      </c>
      <c r="AB181" s="6" t="e">
        <f t="shared" si="66"/>
        <v>#N/A</v>
      </c>
      <c r="AC181" s="6" t="e">
        <f t="shared" si="66"/>
        <v>#N/A</v>
      </c>
      <c r="AG181">
        <f t="shared" si="48"/>
        <v>0.11514285714285731</v>
      </c>
      <c r="AH181">
        <f t="shared" si="49"/>
        <v>0</v>
      </c>
      <c r="AI181">
        <f t="shared" si="50"/>
        <v>6.8749999999999645E-2</v>
      </c>
      <c r="AJ181">
        <f t="shared" si="51"/>
        <v>1.4482758620689715</v>
      </c>
      <c r="AK181">
        <f t="shared" si="52"/>
        <v>1.6199999999999999</v>
      </c>
      <c r="AL181">
        <f t="shared" si="53"/>
        <v>-2.1545454545454557</v>
      </c>
      <c r="AM181">
        <f t="shared" si="54"/>
        <v>0</v>
      </c>
      <c r="AN181">
        <f t="shared" si="55"/>
        <v>0.49417929999999977</v>
      </c>
      <c r="AO181">
        <f t="shared" si="56"/>
        <v>1.7932201405090566</v>
      </c>
      <c r="AQ181">
        <f t="shared" si="57"/>
        <v>27.432705918776939</v>
      </c>
      <c r="AR181">
        <f t="shared" si="58"/>
        <v>25.984430056707968</v>
      </c>
      <c r="AT181" t="str">
        <f t="shared" si="59"/>
        <v>45490A</v>
      </c>
    </row>
    <row r="182" spans="1:46" hidden="1" x14ac:dyDescent="0.3">
      <c r="A182" s="17">
        <v>45490</v>
      </c>
      <c r="B182" s="18" t="s">
        <v>19</v>
      </c>
      <c r="C182" s="6">
        <v>7.9139999999999997</v>
      </c>
      <c r="D182" s="6">
        <v>38</v>
      </c>
      <c r="E182" s="6">
        <v>27.723333333333329</v>
      </c>
      <c r="F182" s="6">
        <v>54.724999999999987</v>
      </c>
      <c r="G182" s="6">
        <v>3.47</v>
      </c>
      <c r="H182" s="6">
        <v>3.17</v>
      </c>
      <c r="I182" s="6">
        <v>151.5</v>
      </c>
      <c r="J182" s="6">
        <v>9.9468841192408011</v>
      </c>
      <c r="K182" s="6">
        <v>5.0177605899973691E-3</v>
      </c>
      <c r="L182" s="6">
        <v>4.9911083126797193E-2</v>
      </c>
      <c r="M182" s="6">
        <v>22.12300427560481</v>
      </c>
      <c r="N182" s="6">
        <v>2.5845374070214032E-3</v>
      </c>
      <c r="O182" s="6">
        <v>5225</v>
      </c>
      <c r="P182" s="6">
        <v>81.300650703187628</v>
      </c>
      <c r="Q182" s="6">
        <v>28451.788479999999</v>
      </c>
      <c r="R182" s="6">
        <v>0</v>
      </c>
      <c r="S182" s="6">
        <v>23.444898002717039</v>
      </c>
      <c r="T182" s="6">
        <f t="shared" si="45"/>
        <v>15.98884477911556</v>
      </c>
      <c r="U182" s="6" t="e">
        <f t="shared" si="60"/>
        <v>#N/A</v>
      </c>
      <c r="V182" s="6">
        <f t="shared" si="46"/>
        <v>16.286258572219019</v>
      </c>
      <c r="W182" s="6">
        <f t="shared" si="47"/>
        <v>15.691430986012099</v>
      </c>
      <c r="X182" s="6" t="e">
        <f t="shared" si="61"/>
        <v>#N/A</v>
      </c>
      <c r="Y182" s="6" t="e">
        <f t="shared" si="66"/>
        <v>#N/A</v>
      </c>
      <c r="Z182" s="6" t="e">
        <f t="shared" si="66"/>
        <v>#N/A</v>
      </c>
      <c r="AA182" s="6" t="e">
        <f t="shared" si="66"/>
        <v>#N/A</v>
      </c>
      <c r="AB182" s="6" t="e">
        <f t="shared" si="66"/>
        <v>#N/A</v>
      </c>
      <c r="AC182" s="6" t="e">
        <f t="shared" si="66"/>
        <v>#N/A</v>
      </c>
      <c r="AG182">
        <f t="shared" si="48"/>
        <v>4.7200000000000131E-2</v>
      </c>
      <c r="AH182">
        <f t="shared" si="49"/>
        <v>0</v>
      </c>
      <c r="AI182">
        <f t="shared" si="50"/>
        <v>-1.2611111111111071</v>
      </c>
      <c r="AJ182">
        <f t="shared" si="51"/>
        <v>0.59482758620691911</v>
      </c>
      <c r="AK182">
        <f t="shared" si="52"/>
        <v>1.0199999999999994</v>
      </c>
      <c r="AL182">
        <f t="shared" si="53"/>
        <v>-1.1499999999999999</v>
      </c>
      <c r="AM182">
        <f t="shared" si="54"/>
        <v>0</v>
      </c>
      <c r="AN182">
        <f t="shared" si="55"/>
        <v>-0.65389394000000034</v>
      </c>
      <c r="AO182">
        <f t="shared" si="56"/>
        <v>-1.4337682384816013</v>
      </c>
      <c r="AQ182">
        <f t="shared" si="57"/>
        <v>16.286258572219019</v>
      </c>
      <c r="AR182">
        <f t="shared" si="58"/>
        <v>15.691430986012099</v>
      </c>
      <c r="AT182" t="str">
        <f t="shared" si="59"/>
        <v>45490B</v>
      </c>
    </row>
    <row r="183" spans="1:46" hidden="1" x14ac:dyDescent="0.3">
      <c r="A183" s="17">
        <v>45490</v>
      </c>
      <c r="B183" s="18" t="s">
        <v>20</v>
      </c>
      <c r="C183" s="6">
        <v>7.9340000000000002</v>
      </c>
      <c r="D183" s="6">
        <v>37.5</v>
      </c>
      <c r="E183" s="6">
        <v>28.221250000000001</v>
      </c>
      <c r="F183" s="6">
        <v>54.724999999999987</v>
      </c>
      <c r="G183" s="6">
        <v>3.47</v>
      </c>
      <c r="H183" s="6">
        <v>3.1324999999999998</v>
      </c>
      <c r="I183" s="6">
        <v>149.125</v>
      </c>
      <c r="J183" s="6">
        <v>10.869226812876301</v>
      </c>
      <c r="K183" s="6">
        <v>2.2805489473193799E-3</v>
      </c>
      <c r="L183" s="6">
        <v>2.4787803766280619E-2</v>
      </c>
      <c r="M183" s="6">
        <v>20.389377989534161</v>
      </c>
      <c r="N183" s="6">
        <v>2.5837190188118652E-3</v>
      </c>
      <c r="O183" s="6">
        <v>5225</v>
      </c>
      <c r="P183" s="6">
        <v>81.273789433148551</v>
      </c>
      <c r="Q183" s="6">
        <v>11474.2</v>
      </c>
      <c r="R183" s="6">
        <v>0</v>
      </c>
      <c r="S183" s="6">
        <v>22.288111852301689</v>
      </c>
      <c r="T183" s="6">
        <f t="shared" si="45"/>
        <v>9.6819039902183519</v>
      </c>
      <c r="U183" s="6" t="e">
        <f t="shared" si="60"/>
        <v>#N/A</v>
      </c>
      <c r="V183" s="6">
        <f t="shared" si="46"/>
        <v>9.979317783321811</v>
      </c>
      <c r="W183" s="6">
        <f t="shared" si="47"/>
        <v>9.3844901971148911</v>
      </c>
      <c r="X183" s="6" t="e">
        <f t="shared" si="61"/>
        <v>#N/A</v>
      </c>
      <c r="Y183" s="6" t="e">
        <f t="shared" si="66"/>
        <v>#N/A</v>
      </c>
      <c r="Z183" s="6" t="e">
        <f t="shared" si="66"/>
        <v>#N/A</v>
      </c>
      <c r="AA183" s="6" t="e">
        <f t="shared" si="66"/>
        <v>#N/A</v>
      </c>
      <c r="AB183" s="6" t="e">
        <f t="shared" si="66"/>
        <v>#N/A</v>
      </c>
      <c r="AC183" s="6" t="e">
        <f t="shared" si="66"/>
        <v>#N/A</v>
      </c>
      <c r="AG183">
        <f t="shared" si="48"/>
        <v>4.3200000000000044E-2</v>
      </c>
      <c r="AH183">
        <f t="shared" si="49"/>
        <v>0</v>
      </c>
      <c r="AI183">
        <f t="shared" si="50"/>
        <v>-1.6760416666666671</v>
      </c>
      <c r="AJ183">
        <f t="shared" si="51"/>
        <v>0.59482758620691911</v>
      </c>
      <c r="AK183">
        <f t="shared" si="52"/>
        <v>1.0199999999999994</v>
      </c>
      <c r="AL183">
        <f t="shared" si="53"/>
        <v>-1.3375000000000004</v>
      </c>
      <c r="AM183">
        <f t="shared" si="54"/>
        <v>0</v>
      </c>
      <c r="AN183">
        <f t="shared" si="55"/>
        <v>-2.7760925000000003</v>
      </c>
      <c r="AO183">
        <f t="shared" si="56"/>
        <v>-3.2784536257526007</v>
      </c>
      <c r="AQ183">
        <f t="shared" si="57"/>
        <v>9.979317783321811</v>
      </c>
      <c r="AR183">
        <f t="shared" si="58"/>
        <v>9.3844901971148911</v>
      </c>
      <c r="AT183" t="str">
        <f t="shared" si="59"/>
        <v>45490C</v>
      </c>
    </row>
    <row r="184" spans="1:46" hidden="1" x14ac:dyDescent="0.3">
      <c r="A184" s="17">
        <v>45490</v>
      </c>
      <c r="B184" s="18" t="s">
        <v>21</v>
      </c>
      <c r="C184" s="6">
        <v>7.916666666666667</v>
      </c>
      <c r="D184" s="6">
        <v>37</v>
      </c>
      <c r="E184" s="6">
        <v>28.712499999999999</v>
      </c>
      <c r="F184" s="6">
        <v>55.22</v>
      </c>
      <c r="G184" s="6">
        <v>3.47</v>
      </c>
      <c r="H184" s="6">
        <v>3.14</v>
      </c>
      <c r="I184" s="6">
        <v>146.375</v>
      </c>
      <c r="J184" s="6">
        <v>10.50818320743552</v>
      </c>
      <c r="K184" s="6">
        <v>1.4019416337129581E-3</v>
      </c>
      <c r="L184" s="6">
        <v>1.473185953318722E-2</v>
      </c>
      <c r="M184" s="6">
        <v>21.059467226146861</v>
      </c>
      <c r="N184" s="6">
        <v>2.584058331899093E-3</v>
      </c>
      <c r="O184" s="6">
        <v>5225</v>
      </c>
      <c r="P184" s="6">
        <v>81.284171909060007</v>
      </c>
      <c r="Q184" s="6">
        <v>7017.1562905960691</v>
      </c>
      <c r="R184" s="6">
        <v>0</v>
      </c>
      <c r="S184" s="6">
        <v>21.986155115705291</v>
      </c>
      <c r="T184" s="6">
        <f t="shared" si="45"/>
        <v>9.7218175027727476</v>
      </c>
      <c r="U184" s="6" t="e">
        <f t="shared" si="60"/>
        <v>#N/A</v>
      </c>
      <c r="V184" s="6">
        <f t="shared" si="46"/>
        <v>9.5925071579451622</v>
      </c>
      <c r="W184" s="6">
        <f t="shared" si="47"/>
        <v>9.851127847600333</v>
      </c>
      <c r="X184" s="6" t="e">
        <f t="shared" si="61"/>
        <v>#N/A</v>
      </c>
      <c r="Y184" s="6" t="e">
        <f t="shared" si="66"/>
        <v>#N/A</v>
      </c>
      <c r="Z184" s="6" t="e">
        <f t="shared" si="66"/>
        <v>#N/A</v>
      </c>
      <c r="AA184" s="6" t="e">
        <f t="shared" si="66"/>
        <v>#N/A</v>
      </c>
      <c r="AB184" s="6" t="e">
        <f t="shared" si="66"/>
        <v>#N/A</v>
      </c>
      <c r="AC184" s="6" t="e">
        <f t="shared" si="66"/>
        <v>#N/A</v>
      </c>
      <c r="AG184">
        <f t="shared" si="48"/>
        <v>4.6666666666666683E-2</v>
      </c>
      <c r="AH184">
        <f t="shared" si="49"/>
        <v>0</v>
      </c>
      <c r="AI184">
        <f t="shared" si="50"/>
        <v>-2.0854166666666649</v>
      </c>
      <c r="AJ184">
        <f t="shared" si="51"/>
        <v>-0.25862068965516999</v>
      </c>
      <c r="AK184">
        <f t="shared" si="52"/>
        <v>1.0199999999999994</v>
      </c>
      <c r="AL184">
        <f t="shared" si="53"/>
        <v>-1.2999999999999992</v>
      </c>
      <c r="AM184">
        <f t="shared" si="54"/>
        <v>0</v>
      </c>
      <c r="AN184">
        <f t="shared" si="55"/>
        <v>-3.333222963675492</v>
      </c>
      <c r="AO184">
        <f t="shared" si="56"/>
        <v>-2.5563664148710394</v>
      </c>
      <c r="AQ184">
        <f t="shared" si="57"/>
        <v>9.5925071579451622</v>
      </c>
      <c r="AR184">
        <f t="shared" si="58"/>
        <v>9.851127847600333</v>
      </c>
      <c r="AT184" t="str">
        <f t="shared" si="59"/>
        <v>45490D</v>
      </c>
    </row>
    <row r="185" spans="1:46" hidden="1" x14ac:dyDescent="0.3">
      <c r="A185" s="17">
        <v>45491</v>
      </c>
      <c r="B185" s="18" t="s">
        <v>22</v>
      </c>
      <c r="C185" s="6">
        <v>8.1828571428571433</v>
      </c>
      <c r="D185" s="6">
        <v>37.545454545454547</v>
      </c>
      <c r="E185" s="6">
        <v>27.822727272727271</v>
      </c>
      <c r="F185" s="6">
        <v>55.22</v>
      </c>
      <c r="G185" s="6">
        <v>3.37</v>
      </c>
      <c r="H185" s="6">
        <v>3.2272727272727271</v>
      </c>
      <c r="I185" s="6">
        <v>149.81818181818181</v>
      </c>
      <c r="J185" s="6">
        <v>9.8187336372860088</v>
      </c>
      <c r="K185" s="6">
        <v>4.8976039177749233E-3</v>
      </c>
      <c r="L185" s="6">
        <v>4.8088268329560382E-2</v>
      </c>
      <c r="M185" s="6">
        <v>19.358646089629879</v>
      </c>
      <c r="N185" s="6">
        <v>2.602102558018279E-3</v>
      </c>
      <c r="O185" s="6">
        <v>5225</v>
      </c>
      <c r="P185" s="6">
        <v>81.257820014879371</v>
      </c>
      <c r="Q185" s="6">
        <v>20614.241600000001</v>
      </c>
      <c r="R185" s="6">
        <v>0</v>
      </c>
      <c r="S185" s="6">
        <v>19.44786435939255</v>
      </c>
      <c r="T185" s="6">
        <f t="shared" si="45"/>
        <v>12.524133984083093</v>
      </c>
      <c r="U185" s="6" t="e">
        <f t="shared" si="60"/>
        <v>#N/A</v>
      </c>
      <c r="V185" s="6">
        <f t="shared" si="46"/>
        <v>12.394823639255508</v>
      </c>
      <c r="W185" s="6">
        <f t="shared" si="47"/>
        <v>12.653444328910679</v>
      </c>
      <c r="X185" s="6" t="e">
        <f t="shared" si="61"/>
        <v>#N/A</v>
      </c>
      <c r="Y185" s="6" t="e">
        <f t="shared" si="66"/>
        <v>#N/A</v>
      </c>
      <c r="Z185" s="6" t="e">
        <f t="shared" si="66"/>
        <v>#N/A</v>
      </c>
      <c r="AA185" s="6" t="e">
        <f t="shared" si="66"/>
        <v>#N/A</v>
      </c>
      <c r="AB185" s="6" t="e">
        <f t="shared" si="66"/>
        <v>#N/A</v>
      </c>
      <c r="AC185" s="6" t="e">
        <f t="shared" si="66"/>
        <v>#N/A</v>
      </c>
      <c r="AG185">
        <f t="shared" si="48"/>
        <v>-6.571428571428584E-3</v>
      </c>
      <c r="AH185">
        <f t="shared" si="49"/>
        <v>0</v>
      </c>
      <c r="AI185">
        <f t="shared" si="50"/>
        <v>-1.3439393939393915</v>
      </c>
      <c r="AJ185">
        <f t="shared" si="51"/>
        <v>-0.25862068965516999</v>
      </c>
      <c r="AK185">
        <f t="shared" si="52"/>
        <v>1.3199999999999996</v>
      </c>
      <c r="AL185">
        <f t="shared" si="53"/>
        <v>-0.8636363636363642</v>
      </c>
      <c r="AM185">
        <f t="shared" si="54"/>
        <v>0</v>
      </c>
      <c r="AN185">
        <f t="shared" si="55"/>
        <v>-1.6335873000000001</v>
      </c>
      <c r="AO185">
        <f t="shared" si="56"/>
        <v>-1.1774672745720167</v>
      </c>
      <c r="AQ185">
        <f t="shared" si="57"/>
        <v>12.394823639255508</v>
      </c>
      <c r="AR185">
        <f t="shared" si="58"/>
        <v>12.653444328910679</v>
      </c>
      <c r="AT185" t="str">
        <f t="shared" si="59"/>
        <v>45491A</v>
      </c>
    </row>
    <row r="186" spans="1:46" hidden="1" x14ac:dyDescent="0.3">
      <c r="A186" s="17">
        <v>45491</v>
      </c>
      <c r="B186" s="18" t="s">
        <v>19</v>
      </c>
      <c r="C186" s="6">
        <v>8.2133333333333329</v>
      </c>
      <c r="D186" s="6">
        <v>38.222222222222221</v>
      </c>
      <c r="E186" s="6">
        <v>27.268888888888888</v>
      </c>
      <c r="F186" s="6">
        <v>56.62</v>
      </c>
      <c r="G186" s="6">
        <v>3.6</v>
      </c>
      <c r="H186" s="6">
        <v>3.2111111111111108</v>
      </c>
      <c r="I186" s="6">
        <v>151.66666666666671</v>
      </c>
      <c r="J186" s="6">
        <v>10.02822557133951</v>
      </c>
      <c r="K186" s="6">
        <v>2.8423218454192781E-3</v>
      </c>
      <c r="L186" s="6">
        <v>2.85034446122105E-2</v>
      </c>
      <c r="M186" s="6">
        <v>23.721975612921749</v>
      </c>
      <c r="N186" s="6">
        <v>5.2712599721467814</v>
      </c>
      <c r="O186" s="6">
        <v>5225</v>
      </c>
      <c r="P186" s="6">
        <v>81.4070842757138</v>
      </c>
      <c r="Q186" s="6">
        <v>11211.845544554461</v>
      </c>
      <c r="R186" s="6">
        <v>0</v>
      </c>
      <c r="S186" s="6">
        <v>18.179955220288129</v>
      </c>
      <c r="T186" s="6">
        <f t="shared" si="45"/>
        <v>13.770912248241796</v>
      </c>
      <c r="U186" s="6" t="e">
        <f t="shared" si="60"/>
        <v>#N/A</v>
      </c>
      <c r="V186" s="6">
        <f t="shared" si="46"/>
        <v>12.434705351690075</v>
      </c>
      <c r="W186" s="6">
        <f t="shared" si="47"/>
        <v>15.107119144793518</v>
      </c>
      <c r="X186" s="6" t="e">
        <f t="shared" si="61"/>
        <v>#N/A</v>
      </c>
      <c r="Y186" s="6" t="e">
        <f t="shared" si="66"/>
        <v>#N/A</v>
      </c>
      <c r="Z186" s="6" t="e">
        <f t="shared" si="66"/>
        <v>#N/A</v>
      </c>
      <c r="AA186" s="6" t="e">
        <f t="shared" si="66"/>
        <v>#N/A</v>
      </c>
      <c r="AB186" s="6" t="e">
        <f t="shared" si="66"/>
        <v>#N/A</v>
      </c>
      <c r="AC186" s="6" t="e">
        <f t="shared" si="66"/>
        <v>#N/A</v>
      </c>
      <c r="AG186">
        <f t="shared" si="48"/>
        <v>-1.2666666666666515E-2</v>
      </c>
      <c r="AH186">
        <f t="shared" si="49"/>
        <v>0</v>
      </c>
      <c r="AI186">
        <f t="shared" si="50"/>
        <v>-0.8824074074074062</v>
      </c>
      <c r="AJ186">
        <f t="shared" si="51"/>
        <v>-2.6724137931034435</v>
      </c>
      <c r="AK186">
        <f t="shared" si="52"/>
        <v>0.62999999999999978</v>
      </c>
      <c r="AL186">
        <f t="shared" si="53"/>
        <v>-0.94444444444444564</v>
      </c>
      <c r="AM186">
        <f t="shared" si="54"/>
        <v>0</v>
      </c>
      <c r="AN186">
        <f t="shared" si="55"/>
        <v>-2.8088868069306927</v>
      </c>
      <c r="AO186">
        <f t="shared" si="56"/>
        <v>-1.5964511426790189</v>
      </c>
      <c r="AQ186">
        <f t="shared" si="57"/>
        <v>12.434705351690075</v>
      </c>
      <c r="AR186">
        <f t="shared" si="58"/>
        <v>15.107119144793518</v>
      </c>
      <c r="AT186" t="str">
        <f t="shared" si="59"/>
        <v>45491B</v>
      </c>
    </row>
    <row r="187" spans="1:46" hidden="1" x14ac:dyDescent="0.3">
      <c r="A187" s="17">
        <v>45491</v>
      </c>
      <c r="B187" s="18" t="s">
        <v>20</v>
      </c>
      <c r="C187" s="6">
        <v>8.07</v>
      </c>
      <c r="D187" s="6">
        <v>36.625</v>
      </c>
      <c r="E187" s="6">
        <v>27.547499999999999</v>
      </c>
      <c r="F187" s="6">
        <v>56.62</v>
      </c>
      <c r="G187" s="6">
        <v>3.6</v>
      </c>
      <c r="H187" s="6">
        <v>3.11</v>
      </c>
      <c r="I187" s="6">
        <v>152.375</v>
      </c>
      <c r="J187" s="6">
        <v>9.7905451415305222</v>
      </c>
      <c r="K187" s="6">
        <v>5.0615215616094441E-3</v>
      </c>
      <c r="L187" s="6">
        <v>4.9555055333767327E-2</v>
      </c>
      <c r="M187" s="6">
        <v>26.595575192320691</v>
      </c>
      <c r="N187" s="6">
        <v>0.55906347491039721</v>
      </c>
      <c r="O187" s="6">
        <v>5225</v>
      </c>
      <c r="P187" s="6">
        <v>81.378572352568241</v>
      </c>
      <c r="Q187" s="6">
        <v>25272.880000000001</v>
      </c>
      <c r="R187" s="6">
        <v>0</v>
      </c>
      <c r="S187" s="6">
        <v>21.359422408203869</v>
      </c>
      <c r="T187" s="6">
        <f t="shared" si="45"/>
        <v>18.168437179374592</v>
      </c>
      <c r="U187" s="6" t="e">
        <f t="shared" si="60"/>
        <v>#N/A</v>
      </c>
      <c r="V187" s="6">
        <f t="shared" si="46"/>
        <v>16.83223028282287</v>
      </c>
      <c r="W187" s="6">
        <f t="shared" si="47"/>
        <v>19.504644075926315</v>
      </c>
      <c r="X187" s="6" t="e">
        <f t="shared" si="61"/>
        <v>#N/A</v>
      </c>
      <c r="Y187" s="6" t="e">
        <f t="shared" ref="Y187:AC196" si="67">VLOOKUP($AT187,hhh,3,0)</f>
        <v>#N/A</v>
      </c>
      <c r="Z187" s="6" t="e">
        <f t="shared" si="67"/>
        <v>#N/A</v>
      </c>
      <c r="AA187" s="6" t="e">
        <f t="shared" si="67"/>
        <v>#N/A</v>
      </c>
      <c r="AB187" s="6" t="e">
        <f t="shared" si="67"/>
        <v>#N/A</v>
      </c>
      <c r="AC187" s="6" t="e">
        <f t="shared" si="67"/>
        <v>#N/A</v>
      </c>
      <c r="AG187">
        <f t="shared" si="48"/>
        <v>1.6000000000000014E-2</v>
      </c>
      <c r="AH187">
        <f t="shared" si="49"/>
        <v>0</v>
      </c>
      <c r="AI187">
        <f t="shared" si="50"/>
        <v>-1.1145833333333321</v>
      </c>
      <c r="AJ187">
        <f t="shared" si="51"/>
        <v>-2.6724137931034435</v>
      </c>
      <c r="AK187">
        <f t="shared" si="52"/>
        <v>0.62999999999999978</v>
      </c>
      <c r="AL187">
        <f t="shared" si="53"/>
        <v>-1.4500000000000002</v>
      </c>
      <c r="AM187">
        <f t="shared" si="54"/>
        <v>0</v>
      </c>
      <c r="AN187">
        <f t="shared" si="55"/>
        <v>-1.0512575000000002</v>
      </c>
      <c r="AO187">
        <f t="shared" si="56"/>
        <v>-1.1210902830610436</v>
      </c>
      <c r="AQ187">
        <f t="shared" si="57"/>
        <v>16.83223028282287</v>
      </c>
      <c r="AR187">
        <f t="shared" si="58"/>
        <v>19.504644075926315</v>
      </c>
      <c r="AT187" t="str">
        <f t="shared" si="59"/>
        <v>45491C</v>
      </c>
    </row>
    <row r="188" spans="1:46" hidden="1" x14ac:dyDescent="0.3">
      <c r="A188" s="17">
        <v>45491</v>
      </c>
      <c r="B188" s="18" t="s">
        <v>21</v>
      </c>
      <c r="C188" s="6">
        <v>8.0333333333333332</v>
      </c>
      <c r="D188" s="6">
        <v>36.700000000000003</v>
      </c>
      <c r="E188" s="6">
        <v>27.36</v>
      </c>
      <c r="F188" s="6">
        <v>56.62</v>
      </c>
      <c r="G188" s="6">
        <v>3.5249999999999999</v>
      </c>
      <c r="H188" s="6">
        <v>3.0880000000000001</v>
      </c>
      <c r="I188" s="6">
        <v>155</v>
      </c>
      <c r="J188" s="6">
        <v>9.3618441731927007</v>
      </c>
      <c r="K188" s="6">
        <v>7.9926669261041715E-3</v>
      </c>
      <c r="L188" s="6">
        <v>7.4826102290418348E-2</v>
      </c>
      <c r="M188" s="6">
        <v>27.04768048717035</v>
      </c>
      <c r="N188" s="6">
        <v>2.5906726587777138E-3</v>
      </c>
      <c r="O188" s="6">
        <v>5225</v>
      </c>
      <c r="P188" s="6">
        <v>81.376955325105001</v>
      </c>
      <c r="Q188" s="6">
        <v>40335.585163636373</v>
      </c>
      <c r="R188" s="6">
        <v>0</v>
      </c>
      <c r="S188" s="6">
        <v>23.602048273613391</v>
      </c>
      <c r="T188" s="6">
        <f t="shared" si="45"/>
        <v>21.639365889687777</v>
      </c>
      <c r="U188" s="6" t="e">
        <f t="shared" si="60"/>
        <v>#N/A</v>
      </c>
      <c r="V188" s="6">
        <f t="shared" si="46"/>
        <v>20.303158993136055</v>
      </c>
      <c r="W188" s="6">
        <f t="shared" si="47"/>
        <v>22.9755727862395</v>
      </c>
      <c r="X188" s="6" t="e">
        <f t="shared" si="61"/>
        <v>#N/A</v>
      </c>
      <c r="Y188" s="6" t="e">
        <f t="shared" si="67"/>
        <v>#N/A</v>
      </c>
      <c r="Z188" s="6" t="e">
        <f t="shared" si="67"/>
        <v>#N/A</v>
      </c>
      <c r="AA188" s="6" t="e">
        <f t="shared" si="67"/>
        <v>#N/A</v>
      </c>
      <c r="AB188" s="6" t="e">
        <f t="shared" si="67"/>
        <v>#N/A</v>
      </c>
      <c r="AC188" s="6" t="e">
        <f t="shared" si="67"/>
        <v>#N/A</v>
      </c>
      <c r="AG188">
        <f t="shared" si="48"/>
        <v>2.3333333333333428E-2</v>
      </c>
      <c r="AH188">
        <f t="shared" si="49"/>
        <v>0</v>
      </c>
      <c r="AI188">
        <f t="shared" si="50"/>
        <v>-0.95833333333333215</v>
      </c>
      <c r="AJ188">
        <f t="shared" si="51"/>
        <v>-2.6724137931034435</v>
      </c>
      <c r="AK188">
        <f t="shared" si="52"/>
        <v>0.85500000000000032</v>
      </c>
      <c r="AL188">
        <f t="shared" si="53"/>
        <v>-1.5599999999999992</v>
      </c>
      <c r="AM188">
        <f t="shared" si="54"/>
        <v>0</v>
      </c>
      <c r="AN188">
        <f t="shared" si="55"/>
        <v>0.83158064545454635</v>
      </c>
      <c r="AO188">
        <f t="shared" si="56"/>
        <v>-0.26368834638540051</v>
      </c>
      <c r="AQ188">
        <f t="shared" si="57"/>
        <v>20.303158993136055</v>
      </c>
      <c r="AR188">
        <f t="shared" si="58"/>
        <v>22.9755727862395</v>
      </c>
      <c r="AT188" t="str">
        <f t="shared" si="59"/>
        <v>45491D</v>
      </c>
    </row>
    <row r="189" spans="1:46" hidden="1" x14ac:dyDescent="0.3">
      <c r="A189" s="17">
        <v>45492</v>
      </c>
      <c r="B189" s="18" t="s">
        <v>22</v>
      </c>
      <c r="C189" s="6">
        <v>8.086666666666666</v>
      </c>
      <c r="D189" s="6">
        <v>38.111111111111107</v>
      </c>
      <c r="E189" s="6">
        <v>27.74444444444444</v>
      </c>
      <c r="F189" s="6">
        <v>56.62</v>
      </c>
      <c r="G189" s="6">
        <v>3.45</v>
      </c>
      <c r="H189" s="6">
        <v>3.14</v>
      </c>
      <c r="I189" s="6">
        <v>153</v>
      </c>
      <c r="J189" s="6">
        <v>8.723699349878272</v>
      </c>
      <c r="K189" s="6">
        <v>6.053570992291854E-3</v>
      </c>
      <c r="L189" s="6">
        <v>5.2809533329898413E-2</v>
      </c>
      <c r="M189" s="6">
        <v>27.04767465355317</v>
      </c>
      <c r="N189" s="6">
        <v>2.6427457178088338E-3</v>
      </c>
      <c r="O189" s="6">
        <v>5225</v>
      </c>
      <c r="P189" s="6">
        <v>81.376956133503867</v>
      </c>
      <c r="Q189" s="6">
        <v>25747.860799999999</v>
      </c>
      <c r="R189" s="6">
        <v>0</v>
      </c>
      <c r="S189" s="6">
        <v>23.226222126419401</v>
      </c>
      <c r="T189" s="6">
        <f t="shared" si="45"/>
        <v>21.246147120207873</v>
      </c>
      <c r="U189" s="6" t="e">
        <f t="shared" si="60"/>
        <v>#N/A</v>
      </c>
      <c r="V189" s="6">
        <f t="shared" si="46"/>
        <v>19.90994022365615</v>
      </c>
      <c r="W189" s="6">
        <f t="shared" si="47"/>
        <v>22.582354016759595</v>
      </c>
      <c r="X189" s="6" t="e">
        <f t="shared" si="61"/>
        <v>#N/A</v>
      </c>
      <c r="Y189" s="6" t="e">
        <f t="shared" si="67"/>
        <v>#N/A</v>
      </c>
      <c r="Z189" s="6" t="e">
        <f t="shared" si="67"/>
        <v>#N/A</v>
      </c>
      <c r="AA189" s="6" t="e">
        <f t="shared" si="67"/>
        <v>#N/A</v>
      </c>
      <c r="AB189" s="6" t="e">
        <f t="shared" si="67"/>
        <v>#N/A</v>
      </c>
      <c r="AC189" s="6" t="e">
        <f t="shared" si="67"/>
        <v>#N/A</v>
      </c>
      <c r="AG189">
        <f t="shared" si="48"/>
        <v>1.2666666666666871E-2</v>
      </c>
      <c r="AH189">
        <f t="shared" si="49"/>
        <v>0</v>
      </c>
      <c r="AI189">
        <f t="shared" si="50"/>
        <v>-1.2787037037036995</v>
      </c>
      <c r="AJ189">
        <f t="shared" si="51"/>
        <v>-2.6724137931034435</v>
      </c>
      <c r="AK189">
        <f t="shared" si="52"/>
        <v>1.0799999999999994</v>
      </c>
      <c r="AL189">
        <f t="shared" si="53"/>
        <v>-1.2999999999999992</v>
      </c>
      <c r="AM189">
        <f t="shared" si="54"/>
        <v>0</v>
      </c>
      <c r="AN189">
        <f t="shared" si="55"/>
        <v>-0.99188490000000051</v>
      </c>
      <c r="AO189">
        <f t="shared" si="56"/>
        <v>1.0126013002434568</v>
      </c>
      <c r="AQ189">
        <f t="shared" si="57"/>
        <v>19.90994022365615</v>
      </c>
      <c r="AR189">
        <f t="shared" si="58"/>
        <v>22.582354016759595</v>
      </c>
      <c r="AT189" t="str">
        <f t="shared" si="59"/>
        <v>45492A</v>
      </c>
    </row>
    <row r="190" spans="1:46" hidden="1" x14ac:dyDescent="0.3">
      <c r="A190" s="17">
        <v>45492</v>
      </c>
      <c r="B190" s="18" t="s">
        <v>19</v>
      </c>
      <c r="C190" s="6">
        <v>8.2724999999999991</v>
      </c>
      <c r="D190" s="6">
        <v>38</v>
      </c>
      <c r="E190" s="6">
        <v>27.135000000000002</v>
      </c>
      <c r="F190" s="6">
        <v>57.18</v>
      </c>
      <c r="G190" s="6">
        <v>3.45</v>
      </c>
      <c r="H190" s="6">
        <v>3.2250000000000001</v>
      </c>
      <c r="I190" s="6">
        <v>148.5</v>
      </c>
      <c r="J190" s="6">
        <v>8.5672058225939374</v>
      </c>
      <c r="K190" s="6">
        <v>0</v>
      </c>
      <c r="L190" s="6">
        <v>0</v>
      </c>
      <c r="M190" s="6">
        <v>24.988789937951331</v>
      </c>
      <c r="N190" s="6">
        <v>8.9375714501155414</v>
      </c>
      <c r="O190" s="6">
        <v>5225</v>
      </c>
      <c r="P190" s="6">
        <v>81.483495775465386</v>
      </c>
      <c r="Q190" s="6">
        <v>0</v>
      </c>
      <c r="R190" s="6">
        <v>0</v>
      </c>
      <c r="S190" s="6">
        <v>18.034918290936119</v>
      </c>
      <c r="T190" s="6">
        <f t="shared" si="45"/>
        <v>16.694711942188746</v>
      </c>
      <c r="U190" s="6" t="e">
        <f t="shared" si="60"/>
        <v>#N/A</v>
      </c>
      <c r="V190" s="6">
        <f t="shared" si="46"/>
        <v>14.875746424947366</v>
      </c>
      <c r="W190" s="6">
        <f t="shared" si="47"/>
        <v>18.513677459430124</v>
      </c>
      <c r="X190" s="6" t="e">
        <f t="shared" si="61"/>
        <v>#N/A</v>
      </c>
      <c r="Y190" s="6" t="e">
        <f t="shared" si="67"/>
        <v>#N/A</v>
      </c>
      <c r="Z190" s="6" t="e">
        <f t="shared" si="67"/>
        <v>#N/A</v>
      </c>
      <c r="AA190" s="6" t="e">
        <f t="shared" si="67"/>
        <v>#N/A</v>
      </c>
      <c r="AB190" s="6" t="e">
        <f t="shared" si="67"/>
        <v>#N/A</v>
      </c>
      <c r="AC190" s="6" t="e">
        <f t="shared" si="67"/>
        <v>#N/A</v>
      </c>
      <c r="AG190">
        <f t="shared" si="48"/>
        <v>-2.4499999999999744E-2</v>
      </c>
      <c r="AH190">
        <f t="shared" si="49"/>
        <v>0</v>
      </c>
      <c r="AI190">
        <f t="shared" si="50"/>
        <v>-0.77083333333333393</v>
      </c>
      <c r="AJ190">
        <f t="shared" si="51"/>
        <v>-3.637931034482758</v>
      </c>
      <c r="AK190">
        <f t="shared" si="52"/>
        <v>1.0799999999999994</v>
      </c>
      <c r="AL190">
        <f t="shared" si="53"/>
        <v>-0.87499999999999922</v>
      </c>
      <c r="AM190">
        <f t="shared" si="54"/>
        <v>0</v>
      </c>
      <c r="AN190">
        <f t="shared" si="55"/>
        <v>-4.2103675000000003</v>
      </c>
      <c r="AO190">
        <f t="shared" si="56"/>
        <v>1.3255883548121261</v>
      </c>
      <c r="AQ190">
        <f t="shared" si="57"/>
        <v>14.875746424947366</v>
      </c>
      <c r="AR190">
        <f t="shared" si="58"/>
        <v>18.513677459430124</v>
      </c>
      <c r="AT190" t="str">
        <f t="shared" si="59"/>
        <v>45492B</v>
      </c>
    </row>
    <row r="191" spans="1:46" hidden="1" x14ac:dyDescent="0.3">
      <c r="A191" s="17">
        <v>45492</v>
      </c>
      <c r="B191" s="18" t="s">
        <v>20</v>
      </c>
      <c r="C191" s="6">
        <v>8.3379999999999992</v>
      </c>
      <c r="D191" s="6">
        <v>37.714285714285722</v>
      </c>
      <c r="E191" s="6">
        <v>27.734285714285711</v>
      </c>
      <c r="F191" s="6">
        <v>57.18</v>
      </c>
      <c r="G191" s="6">
        <v>3.45</v>
      </c>
      <c r="H191" s="6">
        <v>3.285714285714286</v>
      </c>
      <c r="I191" s="6">
        <v>151.85714285714289</v>
      </c>
      <c r="J191" s="6">
        <v>10.260566501565521</v>
      </c>
      <c r="K191" s="6">
        <v>0</v>
      </c>
      <c r="L191" s="6">
        <v>0</v>
      </c>
      <c r="M191" s="6">
        <v>22.55765684934935</v>
      </c>
      <c r="N191" s="6">
        <v>8.9334334653835175</v>
      </c>
      <c r="O191" s="6">
        <v>5225</v>
      </c>
      <c r="P191" s="6">
        <v>81.445763901831384</v>
      </c>
      <c r="Q191" s="6">
        <v>0</v>
      </c>
      <c r="R191" s="6">
        <v>0</v>
      </c>
      <c r="S191" s="6">
        <v>15.08662009886922</v>
      </c>
      <c r="T191" s="6">
        <f t="shared" si="45"/>
        <v>10.667924162310269</v>
      </c>
      <c r="U191" s="6" t="e">
        <f t="shared" si="60"/>
        <v>#N/A</v>
      </c>
      <c r="V191" s="6">
        <f t="shared" si="46"/>
        <v>8.8489586450688904</v>
      </c>
      <c r="W191" s="6">
        <f t="shared" si="47"/>
        <v>12.486889679551648</v>
      </c>
      <c r="X191" s="6" t="e">
        <f t="shared" si="61"/>
        <v>#N/A</v>
      </c>
      <c r="Y191" s="6" t="e">
        <f t="shared" si="67"/>
        <v>#N/A</v>
      </c>
      <c r="Z191" s="6" t="e">
        <f t="shared" si="67"/>
        <v>#N/A</v>
      </c>
      <c r="AA191" s="6" t="e">
        <f t="shared" si="67"/>
        <v>#N/A</v>
      </c>
      <c r="AB191" s="6" t="e">
        <f t="shared" si="67"/>
        <v>#N/A</v>
      </c>
      <c r="AC191" s="6" t="e">
        <f t="shared" si="67"/>
        <v>#N/A</v>
      </c>
      <c r="AG191">
        <f t="shared" si="48"/>
        <v>-3.7599999999999772E-2</v>
      </c>
      <c r="AH191">
        <f t="shared" si="49"/>
        <v>0</v>
      </c>
      <c r="AI191">
        <f t="shared" si="50"/>
        <v>-1.2702380952380921</v>
      </c>
      <c r="AJ191">
        <f t="shared" si="51"/>
        <v>-3.637931034482758</v>
      </c>
      <c r="AK191">
        <f t="shared" si="52"/>
        <v>1.0799999999999994</v>
      </c>
      <c r="AL191">
        <f t="shared" si="53"/>
        <v>-0.5714285714285694</v>
      </c>
      <c r="AM191">
        <f t="shared" si="54"/>
        <v>0</v>
      </c>
      <c r="AN191">
        <f t="shared" si="55"/>
        <v>-4.2103675000000003</v>
      </c>
      <c r="AO191">
        <f t="shared" si="56"/>
        <v>-2.0611330031310402</v>
      </c>
      <c r="AQ191">
        <f t="shared" si="57"/>
        <v>8.8489586450688904</v>
      </c>
      <c r="AR191">
        <f t="shared" si="58"/>
        <v>12.486889679551648</v>
      </c>
      <c r="AT191" t="str">
        <f t="shared" si="59"/>
        <v>45492C</v>
      </c>
    </row>
    <row r="192" spans="1:46" hidden="1" x14ac:dyDescent="0.3">
      <c r="A192" s="17">
        <v>45492</v>
      </c>
      <c r="B192" s="18" t="s">
        <v>21</v>
      </c>
      <c r="C192" s="6">
        <v>8.3185714285714276</v>
      </c>
      <c r="D192" s="6">
        <v>37.200000000000003</v>
      </c>
      <c r="E192" s="6">
        <v>27.844000000000001</v>
      </c>
      <c r="F192" s="6">
        <v>57.18</v>
      </c>
      <c r="G192" s="6">
        <v>3.45</v>
      </c>
      <c r="H192" s="6">
        <v>3.3239999999999998</v>
      </c>
      <c r="I192" s="6">
        <v>155</v>
      </c>
      <c r="J192" s="6">
        <v>9.728114850366115</v>
      </c>
      <c r="K192" s="6">
        <v>4.1808735367651426E-3</v>
      </c>
      <c r="L192" s="6">
        <v>4.067201794050769E-2</v>
      </c>
      <c r="M192" s="6">
        <v>23.87619936679101</v>
      </c>
      <c r="N192" s="6">
        <v>8.9356749690045234</v>
      </c>
      <c r="O192" s="6">
        <v>5225</v>
      </c>
      <c r="P192" s="6">
        <v>81.466227378469753</v>
      </c>
      <c r="Q192" s="6">
        <v>21321.599999999999</v>
      </c>
      <c r="R192" s="6">
        <v>0</v>
      </c>
      <c r="S192" s="6">
        <v>15.295756054270621</v>
      </c>
      <c r="T192" s="6">
        <f t="shared" si="45"/>
        <v>15.820455696436449</v>
      </c>
      <c r="U192" s="6" t="e">
        <f t="shared" si="60"/>
        <v>#N/A</v>
      </c>
      <c r="V192" s="6">
        <f t="shared" si="46"/>
        <v>14.00149017919507</v>
      </c>
      <c r="W192" s="6">
        <f t="shared" si="47"/>
        <v>17.639421213677828</v>
      </c>
      <c r="X192" s="6" t="e">
        <f t="shared" si="61"/>
        <v>#N/A</v>
      </c>
      <c r="Y192" s="6" t="e">
        <f t="shared" si="67"/>
        <v>#N/A</v>
      </c>
      <c r="Z192" s="6" t="e">
        <f t="shared" si="67"/>
        <v>#N/A</v>
      </c>
      <c r="AA192" s="6" t="e">
        <f t="shared" si="67"/>
        <v>#N/A</v>
      </c>
      <c r="AB192" s="6" t="e">
        <f t="shared" si="67"/>
        <v>#N/A</v>
      </c>
      <c r="AC192" s="6" t="e">
        <f t="shared" si="67"/>
        <v>#N/A</v>
      </c>
      <c r="AG192">
        <f t="shared" si="48"/>
        <v>-3.3714285714285454E-2</v>
      </c>
      <c r="AH192">
        <f t="shared" si="49"/>
        <v>0</v>
      </c>
      <c r="AI192">
        <f t="shared" si="50"/>
        <v>-1.361666666666667</v>
      </c>
      <c r="AJ192">
        <f t="shared" si="51"/>
        <v>-3.637931034482758</v>
      </c>
      <c r="AK192">
        <f t="shared" si="52"/>
        <v>1.0799999999999994</v>
      </c>
      <c r="AL192">
        <f t="shared" si="53"/>
        <v>-0.38000000000000034</v>
      </c>
      <c r="AM192">
        <f t="shared" si="54"/>
        <v>0</v>
      </c>
      <c r="AN192">
        <f t="shared" si="55"/>
        <v>-1.5451675000000005</v>
      </c>
      <c r="AO192">
        <f t="shared" si="56"/>
        <v>-0.99622970073222916</v>
      </c>
      <c r="AQ192">
        <f t="shared" si="57"/>
        <v>14.00149017919507</v>
      </c>
      <c r="AR192">
        <f t="shared" si="58"/>
        <v>17.639421213677828</v>
      </c>
      <c r="AT192" t="str">
        <f t="shared" si="59"/>
        <v>45492D</v>
      </c>
    </row>
    <row r="193" spans="1:46" hidden="1" x14ac:dyDescent="0.3">
      <c r="A193" s="17">
        <v>45495</v>
      </c>
      <c r="B193" s="18" t="s">
        <v>19</v>
      </c>
      <c r="C193" s="6">
        <v>8.33</v>
      </c>
      <c r="D193" s="6">
        <v>39.166666666666657</v>
      </c>
      <c r="E193" s="6">
        <v>27.68333333333333</v>
      </c>
      <c r="F193" s="6">
        <v>56.784999999999997</v>
      </c>
      <c r="G193" s="6">
        <v>3.65</v>
      </c>
      <c r="H193" s="6">
        <v>3.53</v>
      </c>
      <c r="I193" s="6">
        <v>151.83333333333329</v>
      </c>
      <c r="J193" s="6">
        <v>10.117555647557131</v>
      </c>
      <c r="K193" s="6">
        <v>1.0674531599613761E-3</v>
      </c>
      <c r="L193" s="6">
        <v>1.0800016747069921E-2</v>
      </c>
      <c r="M193" s="6">
        <v>19.44429531288193</v>
      </c>
      <c r="N193" s="6">
        <v>8.9836264735437403</v>
      </c>
      <c r="O193" s="6">
        <v>5225</v>
      </c>
      <c r="P193" s="6">
        <v>114.5005498522858</v>
      </c>
      <c r="Q193" s="6">
        <v>3733.803389830508</v>
      </c>
      <c r="R193" s="6">
        <v>14891.694584745759</v>
      </c>
      <c r="S193" s="6">
        <v>13.28884846955909</v>
      </c>
      <c r="T193" s="6">
        <f t="shared" si="45"/>
        <v>11.174777710949863</v>
      </c>
      <c r="U193" s="6" t="e">
        <f t="shared" si="60"/>
        <v>#N/A</v>
      </c>
      <c r="V193" s="6">
        <f t="shared" si="46"/>
        <v>9.6963294350877973</v>
      </c>
      <c r="W193" s="6">
        <f t="shared" si="47"/>
        <v>12.653225986811929</v>
      </c>
      <c r="X193" s="6" t="e">
        <f t="shared" si="61"/>
        <v>#N/A</v>
      </c>
      <c r="Y193" s="6" t="e">
        <f t="shared" si="67"/>
        <v>#N/A</v>
      </c>
      <c r="Z193" s="6" t="e">
        <f t="shared" si="67"/>
        <v>#N/A</v>
      </c>
      <c r="AA193" s="6" t="e">
        <f t="shared" si="67"/>
        <v>#N/A</v>
      </c>
      <c r="AB193" s="6" t="e">
        <f t="shared" si="67"/>
        <v>#N/A</v>
      </c>
      <c r="AC193" s="6" t="e">
        <f t="shared" si="67"/>
        <v>#N/A</v>
      </c>
      <c r="AG193">
        <f t="shared" si="48"/>
        <v>-3.5999999999999942E-2</v>
      </c>
      <c r="AH193">
        <f t="shared" si="49"/>
        <v>0</v>
      </c>
      <c r="AI193">
        <f t="shared" si="50"/>
        <v>-1.2277777777777743</v>
      </c>
      <c r="AJ193">
        <f t="shared" si="51"/>
        <v>-2.9568965517241317</v>
      </c>
      <c r="AK193">
        <f t="shared" si="52"/>
        <v>0.48000000000000043</v>
      </c>
      <c r="AL193">
        <f t="shared" si="53"/>
        <v>0.64999999999999958</v>
      </c>
      <c r="AM193">
        <f t="shared" si="54"/>
        <v>0</v>
      </c>
      <c r="AN193">
        <f t="shared" si="55"/>
        <v>-3.7436420762711871</v>
      </c>
      <c r="AO193">
        <f t="shared" si="56"/>
        <v>-1.7751112951142609</v>
      </c>
      <c r="AQ193">
        <f t="shared" si="57"/>
        <v>9.6963294350877973</v>
      </c>
      <c r="AR193">
        <f t="shared" si="58"/>
        <v>12.653225986811929</v>
      </c>
      <c r="AT193" t="str">
        <f t="shared" si="59"/>
        <v>45495B</v>
      </c>
    </row>
    <row r="194" spans="1:46" hidden="1" x14ac:dyDescent="0.3">
      <c r="A194" s="17">
        <v>45495</v>
      </c>
      <c r="B194" s="18" t="s">
        <v>20</v>
      </c>
      <c r="C194" s="6">
        <v>8.3249999999999993</v>
      </c>
      <c r="D194" s="6">
        <v>39.333333333333343</v>
      </c>
      <c r="E194" s="6">
        <v>27.411111111111111</v>
      </c>
      <c r="F194" s="6">
        <v>56.784999999999997</v>
      </c>
      <c r="G194" s="6">
        <v>3.74</v>
      </c>
      <c r="H194" s="6">
        <v>3.54</v>
      </c>
      <c r="I194" s="6">
        <v>154.55555555555549</v>
      </c>
      <c r="J194" s="6">
        <v>10.45246973500698</v>
      </c>
      <c r="K194" s="6">
        <v>1.210533328185435E-3</v>
      </c>
      <c r="L194" s="6">
        <v>1.2653062976075531E-2</v>
      </c>
      <c r="M194" s="6">
        <v>19.237666959094678</v>
      </c>
      <c r="N194" s="6">
        <v>8.9836480617861216</v>
      </c>
      <c r="O194" s="6">
        <v>5225</v>
      </c>
      <c r="P194" s="6">
        <v>114.7202831512752</v>
      </c>
      <c r="Q194" s="6">
        <v>5896.96</v>
      </c>
      <c r="R194" s="6">
        <v>21451.768</v>
      </c>
      <c r="S194" s="6">
        <v>13.32621299217241</v>
      </c>
      <c r="T194" s="6">
        <f t="shared" si="45"/>
        <v>11.396576787292727</v>
      </c>
      <c r="U194" s="6" t="e">
        <f t="shared" si="60"/>
        <v>#N/A</v>
      </c>
      <c r="V194" s="6">
        <f t="shared" si="46"/>
        <v>9.9181285114306608</v>
      </c>
      <c r="W194" s="6">
        <f t="shared" si="47"/>
        <v>12.875025063154792</v>
      </c>
      <c r="X194" s="6" t="e">
        <f t="shared" si="61"/>
        <v>#N/A</v>
      </c>
      <c r="Y194" s="6" t="e">
        <f t="shared" si="67"/>
        <v>#N/A</v>
      </c>
      <c r="Z194" s="6" t="e">
        <f t="shared" si="67"/>
        <v>#N/A</v>
      </c>
      <c r="AA194" s="6" t="e">
        <f t="shared" si="67"/>
        <v>#N/A</v>
      </c>
      <c r="AB194" s="6" t="e">
        <f t="shared" si="67"/>
        <v>#N/A</v>
      </c>
      <c r="AC194" s="6" t="e">
        <f t="shared" si="67"/>
        <v>#N/A</v>
      </c>
      <c r="AG194">
        <f t="shared" si="48"/>
        <v>-3.4999999999999788E-2</v>
      </c>
      <c r="AH194">
        <f t="shared" si="49"/>
        <v>0</v>
      </c>
      <c r="AI194">
        <f t="shared" si="50"/>
        <v>-1.0009259259259256</v>
      </c>
      <c r="AJ194">
        <f t="shared" si="51"/>
        <v>-2.9568965517241317</v>
      </c>
      <c r="AK194">
        <f t="shared" si="52"/>
        <v>0.20999999999999952</v>
      </c>
      <c r="AL194">
        <f t="shared" si="53"/>
        <v>0.70000000000000062</v>
      </c>
      <c r="AM194">
        <f t="shared" si="54"/>
        <v>0</v>
      </c>
      <c r="AN194">
        <f t="shared" si="55"/>
        <v>-3.4732475000000003</v>
      </c>
      <c r="AO194">
        <f t="shared" si="56"/>
        <v>-2.4449394700139599</v>
      </c>
      <c r="AQ194">
        <f t="shared" si="57"/>
        <v>9.9181285114306608</v>
      </c>
      <c r="AR194">
        <f t="shared" si="58"/>
        <v>12.875025063154792</v>
      </c>
      <c r="AT194" t="str">
        <f t="shared" si="59"/>
        <v>45495C</v>
      </c>
    </row>
    <row r="195" spans="1:46" hidden="1" x14ac:dyDescent="0.3">
      <c r="A195" s="17">
        <v>45495</v>
      </c>
      <c r="B195" s="18" t="s">
        <v>21</v>
      </c>
      <c r="C195" s="6">
        <v>8.4712499999999995</v>
      </c>
      <c r="D195" s="6">
        <v>38.909090909090907</v>
      </c>
      <c r="E195" s="6">
        <v>27.572727272727271</v>
      </c>
      <c r="F195" s="6">
        <v>56.39</v>
      </c>
      <c r="G195" s="6">
        <v>3.83</v>
      </c>
      <c r="H195" s="6">
        <v>3.538181818181819</v>
      </c>
      <c r="I195" s="6">
        <v>156</v>
      </c>
      <c r="J195" s="6">
        <v>10.190347671095189</v>
      </c>
      <c r="K195" s="6">
        <v>1.036460024397469E-3</v>
      </c>
      <c r="L195" s="6">
        <v>1.0561887995802009E-2</v>
      </c>
      <c r="M195" s="6">
        <v>16.13082597549257</v>
      </c>
      <c r="N195" s="6">
        <v>8.9836175235713771</v>
      </c>
      <c r="O195" s="6">
        <v>5225</v>
      </c>
      <c r="P195" s="6">
        <v>117.8271563070407</v>
      </c>
      <c r="Q195" s="6">
        <v>5343.56</v>
      </c>
      <c r="R195" s="6">
        <v>16711.424500000001</v>
      </c>
      <c r="S195" s="6">
        <v>13.32582209491305</v>
      </c>
      <c r="T195" s="6">
        <f t="shared" si="45"/>
        <v>8.0497581916224714</v>
      </c>
      <c r="U195" s="6" t="e">
        <f t="shared" si="60"/>
        <v>#N/A</v>
      </c>
      <c r="V195" s="6">
        <f t="shared" si="46"/>
        <v>6.9118271571397125</v>
      </c>
      <c r="W195" s="6">
        <f t="shared" si="47"/>
        <v>9.1876892261052312</v>
      </c>
      <c r="X195" s="6" t="e">
        <f t="shared" si="61"/>
        <v>#N/A</v>
      </c>
      <c r="Y195" s="6" t="e">
        <f t="shared" si="67"/>
        <v>#N/A</v>
      </c>
      <c r="Z195" s="6" t="e">
        <f t="shared" si="67"/>
        <v>#N/A</v>
      </c>
      <c r="AA195" s="6" t="e">
        <f t="shared" si="67"/>
        <v>#N/A</v>
      </c>
      <c r="AB195" s="6" t="e">
        <f t="shared" si="67"/>
        <v>#N/A</v>
      </c>
      <c r="AC195" s="6" t="e">
        <f t="shared" si="67"/>
        <v>#N/A</v>
      </c>
      <c r="AG195">
        <f t="shared" si="48"/>
        <v>-6.4249999999999835E-2</v>
      </c>
      <c r="AH195">
        <f t="shared" si="49"/>
        <v>0</v>
      </c>
      <c r="AI195">
        <f t="shared" si="50"/>
        <v>-1.1356060606060581</v>
      </c>
      <c r="AJ195">
        <f t="shared" si="51"/>
        <v>-2.2758620689655178</v>
      </c>
      <c r="AK195">
        <f t="shared" si="52"/>
        <v>-6.0000000000000053E-2</v>
      </c>
      <c r="AL195">
        <f t="shared" si="53"/>
        <v>0.69090909090909536</v>
      </c>
      <c r="AM195">
        <f t="shared" si="54"/>
        <v>0</v>
      </c>
      <c r="AN195">
        <f t="shared" si="55"/>
        <v>-3.5424225000000003</v>
      </c>
      <c r="AO195">
        <f t="shared" si="56"/>
        <v>-1.9206953421903776</v>
      </c>
      <c r="AQ195">
        <f t="shared" si="57"/>
        <v>6.9118271571397125</v>
      </c>
      <c r="AR195">
        <f t="shared" si="58"/>
        <v>9.1876892261052312</v>
      </c>
      <c r="AT195" t="str">
        <f t="shared" si="59"/>
        <v>45495D</v>
      </c>
    </row>
    <row r="196" spans="1:46" hidden="1" x14ac:dyDescent="0.3">
      <c r="A196" s="17">
        <v>45496</v>
      </c>
      <c r="B196" s="18" t="s">
        <v>22</v>
      </c>
      <c r="C196" s="6">
        <v>8.6524999999999999</v>
      </c>
      <c r="D196" s="6">
        <v>38.545454545454547</v>
      </c>
      <c r="E196" s="6">
        <v>27.946363636363628</v>
      </c>
      <c r="F196" s="6">
        <v>56.39</v>
      </c>
      <c r="G196" s="6">
        <v>3.98</v>
      </c>
      <c r="H196" s="6">
        <v>3.4836363636363639</v>
      </c>
      <c r="I196" s="6">
        <v>151.72727272727269</v>
      </c>
      <c r="J196" s="6">
        <v>8.9716030923918328</v>
      </c>
      <c r="K196" s="6">
        <v>6.8166177716110854E-3</v>
      </c>
      <c r="L196" s="6">
        <v>6.1155989079439137E-2</v>
      </c>
      <c r="M196" s="6">
        <v>14.06053260030327</v>
      </c>
      <c r="N196" s="6">
        <v>0.1451403022120637</v>
      </c>
      <c r="O196" s="6">
        <v>5225</v>
      </c>
      <c r="P196" s="6">
        <v>105.5123070821256</v>
      </c>
      <c r="Q196" s="6">
        <v>34608.480000000003</v>
      </c>
      <c r="R196" s="6">
        <v>0</v>
      </c>
      <c r="S196" s="6">
        <v>13.31018451176223</v>
      </c>
      <c r="T196" s="6">
        <f t="shared" ref="T196:T259" si="68">AVERAGE(AQ196:AR196)</f>
        <v>8.9158000022489787</v>
      </c>
      <c r="U196" s="6" t="e">
        <f t="shared" si="60"/>
        <v>#N/A</v>
      </c>
      <c r="V196" s="6">
        <f t="shared" ref="V196:V259" si="69">M196+SUM(AG196:AO196)+$T$1+R196/$Z$1</f>
        <v>7.7778689677662189</v>
      </c>
      <c r="W196" s="6">
        <f t="shared" ref="W196:W259" si="70">M196+SUM(AG196:AO196)+$T$1+R196/$Z$1-AJ196-AM196</f>
        <v>10.053731036731737</v>
      </c>
      <c r="X196" s="6" t="e">
        <f t="shared" si="61"/>
        <v>#N/A</v>
      </c>
      <c r="Y196" s="6" t="e">
        <f t="shared" si="67"/>
        <v>#N/A</v>
      </c>
      <c r="Z196" s="6" t="e">
        <f t="shared" si="67"/>
        <v>#N/A</v>
      </c>
      <c r="AA196" s="6" t="e">
        <f t="shared" si="67"/>
        <v>#N/A</v>
      </c>
      <c r="AB196" s="6" t="e">
        <f t="shared" si="67"/>
        <v>#N/A</v>
      </c>
      <c r="AC196" s="6" t="e">
        <f t="shared" si="67"/>
        <v>#N/A</v>
      </c>
      <c r="AG196">
        <f t="shared" ref="AG196:AG259" si="71">C$3*(C$1-C196)/C$2</f>
        <v>-0.10049999999999991</v>
      </c>
      <c r="AH196">
        <f t="shared" ref="AH196:AH259" si="72">D$3*(D$1-D196)/D$2</f>
        <v>0</v>
      </c>
      <c r="AI196">
        <f t="shared" ref="AI196:AI259" si="73">E$3*(E$1-E196)/E$2</f>
        <v>-1.4469696969696897</v>
      </c>
      <c r="AJ196">
        <f t="shared" ref="AJ196:AJ259" si="74">F$3*(F$1-F196)/F$2</f>
        <v>-2.2758620689655178</v>
      </c>
      <c r="AK196">
        <f t="shared" ref="AK196:AK259" si="75">G$3*(G$1-G196)/G$2</f>
        <v>-0.50999999999999968</v>
      </c>
      <c r="AL196">
        <f t="shared" ref="AL196:AL259" si="76">H$3*(H$1-H196)/H$2</f>
        <v>0.41818181818181976</v>
      </c>
      <c r="AM196">
        <f t="shared" ref="AM196:AM259" si="77">I$3*(I$1-I196)/I$2</f>
        <v>0</v>
      </c>
      <c r="AN196">
        <f t="shared" ref="AN196:AN259" si="78">(Q196-$M$1)/$M$2</f>
        <v>0.11569250000000011</v>
      </c>
      <c r="AO196">
        <f t="shared" ref="AO196:AO259" si="79">(J196-$Q$1)/$Q$2</f>
        <v>0.51679381521633516</v>
      </c>
      <c r="AQ196">
        <f t="shared" ref="AQ196:AQ259" si="80">M196+SUM(AG196:AO196)+$T$1+R196/$Z$1</f>
        <v>7.7778689677662189</v>
      </c>
      <c r="AR196">
        <f t="shared" ref="AR196:AR259" si="81">M196+SUM(AG196:AO196)+$T$1+R196/$Z$1-AJ196-AM196</f>
        <v>10.053731036731737</v>
      </c>
      <c r="AT196" t="str">
        <f t="shared" ref="AT196:AT259" si="82">A196&amp;B196</f>
        <v>45496A</v>
      </c>
    </row>
    <row r="197" spans="1:46" hidden="1" x14ac:dyDescent="0.3">
      <c r="A197" s="17">
        <v>45496</v>
      </c>
      <c r="B197" s="18" t="s">
        <v>19</v>
      </c>
      <c r="C197" s="6">
        <v>8.3250000000000011</v>
      </c>
      <c r="D197" s="6">
        <v>37.375</v>
      </c>
      <c r="E197" s="6">
        <v>27.147500000000001</v>
      </c>
      <c r="F197" s="6">
        <v>55.84</v>
      </c>
      <c r="G197" s="6">
        <v>3.98</v>
      </c>
      <c r="H197" s="6">
        <v>3.3125</v>
      </c>
      <c r="I197" s="6">
        <v>148.625</v>
      </c>
      <c r="J197" s="6">
        <v>8.7216598705643413</v>
      </c>
      <c r="K197" s="6">
        <v>2.7318853253484772E-3</v>
      </c>
      <c r="L197" s="6">
        <v>2.382657461307542E-2</v>
      </c>
      <c r="M197" s="6">
        <v>15.52701647271464</v>
      </c>
      <c r="N197" s="6">
        <v>2.5842580759267231E-3</v>
      </c>
      <c r="O197" s="6">
        <v>5225</v>
      </c>
      <c r="P197" s="6">
        <v>87.327803114563579</v>
      </c>
      <c r="Q197" s="6">
        <v>12493.89411764706</v>
      </c>
      <c r="R197" s="6">
        <v>0</v>
      </c>
      <c r="S197" s="6">
        <v>13.95198190552102</v>
      </c>
      <c r="T197" s="6">
        <f t="shared" si="68"/>
        <v>8.4675228928435615</v>
      </c>
      <c r="U197" s="6" t="e">
        <f t="shared" si="60"/>
        <v>#N/A</v>
      </c>
      <c r="V197" s="6">
        <f t="shared" si="69"/>
        <v>7.8037297893952839</v>
      </c>
      <c r="W197" s="6">
        <f t="shared" si="70"/>
        <v>9.1313159962918409</v>
      </c>
      <c r="X197" s="6" t="e">
        <f t="shared" si="61"/>
        <v>#N/A</v>
      </c>
      <c r="Y197" s="6" t="e">
        <f t="shared" ref="Y197:AC206" si="83">VLOOKUP($AT197,hhh,3,0)</f>
        <v>#N/A</v>
      </c>
      <c r="Z197" s="6" t="e">
        <f t="shared" si="83"/>
        <v>#N/A</v>
      </c>
      <c r="AA197" s="6" t="e">
        <f t="shared" si="83"/>
        <v>#N/A</v>
      </c>
      <c r="AB197" s="6" t="e">
        <f t="shared" si="83"/>
        <v>#N/A</v>
      </c>
      <c r="AC197" s="6" t="e">
        <f t="shared" si="83"/>
        <v>#N/A</v>
      </c>
      <c r="AG197">
        <f t="shared" si="71"/>
        <v>-3.5000000000000142E-2</v>
      </c>
      <c r="AH197">
        <f t="shared" si="72"/>
        <v>0</v>
      </c>
      <c r="AI197">
        <f t="shared" si="73"/>
        <v>-0.78125</v>
      </c>
      <c r="AJ197">
        <f t="shared" si="74"/>
        <v>-1.3275862068965572</v>
      </c>
      <c r="AK197">
        <f t="shared" si="75"/>
        <v>-0.50999999999999968</v>
      </c>
      <c r="AL197">
        <f t="shared" si="76"/>
        <v>-0.43749999999999961</v>
      </c>
      <c r="AM197">
        <f t="shared" si="77"/>
        <v>0</v>
      </c>
      <c r="AN197">
        <f t="shared" si="78"/>
        <v>-2.6486307352941174</v>
      </c>
      <c r="AO197">
        <f t="shared" si="79"/>
        <v>1.0166802588713182</v>
      </c>
      <c r="AQ197">
        <f t="shared" si="80"/>
        <v>7.8037297893952839</v>
      </c>
      <c r="AR197">
        <f t="shared" si="81"/>
        <v>9.1313159962918409</v>
      </c>
      <c r="AT197" t="str">
        <f t="shared" si="82"/>
        <v>45496B</v>
      </c>
    </row>
    <row r="198" spans="1:46" hidden="1" x14ac:dyDescent="0.3">
      <c r="A198" s="17">
        <v>45496</v>
      </c>
      <c r="B198" s="18" t="s">
        <v>20</v>
      </c>
      <c r="C198" s="6">
        <v>8.1749999999999989</v>
      </c>
      <c r="D198" s="6">
        <v>37</v>
      </c>
      <c r="E198" s="6">
        <v>27.116</v>
      </c>
      <c r="F198" s="6">
        <v>55.84</v>
      </c>
      <c r="G198" s="6">
        <v>3.89</v>
      </c>
      <c r="H198" s="6">
        <v>3.298</v>
      </c>
      <c r="I198" s="6">
        <v>152</v>
      </c>
      <c r="J198" s="6">
        <v>10.406821141500309</v>
      </c>
      <c r="K198" s="6">
        <v>2.326477873296256E-3</v>
      </c>
      <c r="L198" s="6">
        <v>2.4211239117052152E-2</v>
      </c>
      <c r="M198" s="6">
        <v>17.615566803887351</v>
      </c>
      <c r="N198" s="6">
        <v>0.34919209636659398</v>
      </c>
      <c r="O198" s="6">
        <v>5225</v>
      </c>
      <c r="P198" s="6">
        <v>91.295473133236968</v>
      </c>
      <c r="Q198" s="6">
        <v>11012.24</v>
      </c>
      <c r="R198" s="6">
        <v>0</v>
      </c>
      <c r="S198" s="6">
        <v>15.228173991478119</v>
      </c>
      <c r="T198" s="6">
        <f t="shared" si="68"/>
        <v>7.2542939174384555</v>
      </c>
      <c r="U198" s="6" t="e">
        <f t="shared" si="60"/>
        <v>#N/A</v>
      </c>
      <c r="V198" s="6">
        <f t="shared" si="69"/>
        <v>6.5905008139901771</v>
      </c>
      <c r="W198" s="6">
        <f t="shared" si="70"/>
        <v>7.918087020886734</v>
      </c>
      <c r="X198" s="6" t="e">
        <f t="shared" si="61"/>
        <v>#N/A</v>
      </c>
      <c r="Y198" s="6" t="e">
        <f t="shared" si="83"/>
        <v>#N/A</v>
      </c>
      <c r="Z198" s="6" t="e">
        <f t="shared" si="83"/>
        <v>#N/A</v>
      </c>
      <c r="AA198" s="6" t="e">
        <f t="shared" si="83"/>
        <v>#N/A</v>
      </c>
      <c r="AB198" s="6" t="e">
        <f t="shared" si="83"/>
        <v>#N/A</v>
      </c>
      <c r="AC198" s="6" t="e">
        <f t="shared" si="83"/>
        <v>#N/A</v>
      </c>
      <c r="AG198">
        <f t="shared" si="71"/>
        <v>-4.9999999999997165E-3</v>
      </c>
      <c r="AH198">
        <f t="shared" si="72"/>
        <v>0</v>
      </c>
      <c r="AI198">
        <f t="shared" si="73"/>
        <v>-0.75499999999999901</v>
      </c>
      <c r="AJ198">
        <f t="shared" si="74"/>
        <v>-1.3275862068965572</v>
      </c>
      <c r="AK198">
        <f t="shared" si="75"/>
        <v>-0.24000000000000021</v>
      </c>
      <c r="AL198">
        <f t="shared" si="76"/>
        <v>-0.50999999999999934</v>
      </c>
      <c r="AM198">
        <f t="shared" si="77"/>
        <v>0</v>
      </c>
      <c r="AN198">
        <f t="shared" si="78"/>
        <v>-2.8338375000000005</v>
      </c>
      <c r="AO198">
        <f t="shared" si="79"/>
        <v>-2.3536422830006174</v>
      </c>
      <c r="AQ198">
        <f t="shared" si="80"/>
        <v>6.5905008139901771</v>
      </c>
      <c r="AR198">
        <f t="shared" si="81"/>
        <v>7.918087020886734</v>
      </c>
      <c r="AT198" t="str">
        <f t="shared" si="82"/>
        <v>45496C</v>
      </c>
    </row>
    <row r="199" spans="1:46" hidden="1" x14ac:dyDescent="0.3">
      <c r="A199" s="17">
        <v>45496</v>
      </c>
      <c r="B199" s="18" t="s">
        <v>21</v>
      </c>
      <c r="C199" s="6">
        <v>8.125</v>
      </c>
      <c r="D199" s="6">
        <v>37</v>
      </c>
      <c r="E199" s="6">
        <v>27.34</v>
      </c>
      <c r="F199" s="6">
        <v>55.84</v>
      </c>
      <c r="G199" s="6">
        <v>3.89</v>
      </c>
      <c r="H199" s="6">
        <v>3.2839999999999998</v>
      </c>
      <c r="I199" s="6">
        <v>153.1</v>
      </c>
      <c r="J199" s="6">
        <v>10.172278362163841</v>
      </c>
      <c r="K199" s="6">
        <v>4.5525895420758218E-3</v>
      </c>
      <c r="L199" s="6">
        <v>4.6310208090671268E-2</v>
      </c>
      <c r="M199" s="6">
        <v>18.844898225279941</v>
      </c>
      <c r="N199" s="6">
        <v>2.5838535990837762E-3</v>
      </c>
      <c r="O199" s="6">
        <v>5225</v>
      </c>
      <c r="P199" s="6">
        <v>83.081271321536875</v>
      </c>
      <c r="Q199" s="6">
        <v>23333.972370005471</v>
      </c>
      <c r="R199" s="6">
        <v>0</v>
      </c>
      <c r="S199" s="6">
        <v>16.329795603231961</v>
      </c>
      <c r="T199" s="6">
        <f t="shared" si="68"/>
        <v>10.246260777087997</v>
      </c>
      <c r="U199" s="6" t="e">
        <f t="shared" ref="U199:U262" si="84">VLOOKUP($AT199,ggg,U$4,0)</f>
        <v>#N/A</v>
      </c>
      <c r="V199" s="6">
        <f t="shared" si="69"/>
        <v>9.5824676736397194</v>
      </c>
      <c r="W199" s="6">
        <f t="shared" si="70"/>
        <v>10.910053880536276</v>
      </c>
      <c r="X199" s="6" t="e">
        <f t="shared" si="61"/>
        <v>#N/A</v>
      </c>
      <c r="Y199" s="6" t="e">
        <f t="shared" si="83"/>
        <v>#N/A</v>
      </c>
      <c r="Z199" s="6" t="e">
        <f t="shared" si="83"/>
        <v>#N/A</v>
      </c>
      <c r="AA199" s="6" t="e">
        <f t="shared" si="83"/>
        <v>#N/A</v>
      </c>
      <c r="AB199" s="6" t="e">
        <f t="shared" si="83"/>
        <v>#N/A</v>
      </c>
      <c r="AC199" s="6" t="e">
        <f t="shared" si="83"/>
        <v>#N/A</v>
      </c>
      <c r="AG199">
        <f t="shared" si="71"/>
        <v>5.0000000000000712E-3</v>
      </c>
      <c r="AH199">
        <f t="shared" si="72"/>
        <v>0</v>
      </c>
      <c r="AI199">
        <f t="shared" si="73"/>
        <v>-0.94166666666666587</v>
      </c>
      <c r="AJ199">
        <f t="shared" si="74"/>
        <v>-1.3275862068965572</v>
      </c>
      <c r="AK199">
        <f t="shared" si="75"/>
        <v>-0.24000000000000021</v>
      </c>
      <c r="AL199">
        <f t="shared" si="76"/>
        <v>-0.58000000000000052</v>
      </c>
      <c r="AM199">
        <f t="shared" si="77"/>
        <v>0</v>
      </c>
      <c r="AN199">
        <f t="shared" si="78"/>
        <v>-1.2936209537493164</v>
      </c>
      <c r="AO199">
        <f t="shared" si="79"/>
        <v>-1.8845567243276804</v>
      </c>
      <c r="AQ199">
        <f t="shared" si="80"/>
        <v>9.5824676736397194</v>
      </c>
      <c r="AR199">
        <f t="shared" si="81"/>
        <v>10.910053880536276</v>
      </c>
      <c r="AT199" t="str">
        <f t="shared" si="82"/>
        <v>45496D</v>
      </c>
    </row>
    <row r="200" spans="1:46" hidden="1" x14ac:dyDescent="0.3">
      <c r="A200" s="17">
        <v>45497</v>
      </c>
      <c r="B200" s="18" t="s">
        <v>22</v>
      </c>
      <c r="C200" s="6">
        <v>8.26</v>
      </c>
      <c r="D200" s="6">
        <v>38</v>
      </c>
      <c r="E200" s="6">
        <v>26.818999999999999</v>
      </c>
      <c r="F200" s="6">
        <v>55.84</v>
      </c>
      <c r="G200" s="6">
        <v>3.89</v>
      </c>
      <c r="H200" s="6">
        <v>3.26</v>
      </c>
      <c r="I200" s="6">
        <v>149.19999999999999</v>
      </c>
      <c r="J200" s="6">
        <v>7.8040869918775799</v>
      </c>
      <c r="K200" s="6">
        <v>6.2640438459676019E-3</v>
      </c>
      <c r="L200" s="6">
        <v>4.8885143094866558E-2</v>
      </c>
      <c r="M200" s="6">
        <v>19.254175140723419</v>
      </c>
      <c r="N200" s="6">
        <v>2.5831391316872509E-3</v>
      </c>
      <c r="O200" s="6">
        <v>5225</v>
      </c>
      <c r="P200" s="6">
        <v>81.256201489346964</v>
      </c>
      <c r="Q200" s="6">
        <v>36309.879999999997</v>
      </c>
      <c r="R200" s="6">
        <v>0</v>
      </c>
      <c r="S200" s="6">
        <v>17.440629611066999</v>
      </c>
      <c r="T200" s="6">
        <f t="shared" si="68"/>
        <v>17.301075553519979</v>
      </c>
      <c r="U200" s="6" t="e">
        <f t="shared" si="84"/>
        <v>#N/A</v>
      </c>
      <c r="V200" s="6">
        <f t="shared" si="69"/>
        <v>16.637282450071702</v>
      </c>
      <c r="W200" s="6">
        <f t="shared" si="70"/>
        <v>17.96486865696826</v>
      </c>
      <c r="X200" s="6" t="e">
        <f t="shared" ref="X200:X252" si="85">VLOOKUP($AT200,hhh,3,0)</f>
        <v>#N/A</v>
      </c>
      <c r="Y200" s="6" t="e">
        <f t="shared" si="83"/>
        <v>#N/A</v>
      </c>
      <c r="Z200" s="6" t="e">
        <f t="shared" si="83"/>
        <v>#N/A</v>
      </c>
      <c r="AA200" s="6" t="e">
        <f t="shared" si="83"/>
        <v>#N/A</v>
      </c>
      <c r="AB200" s="6" t="e">
        <f t="shared" si="83"/>
        <v>#N/A</v>
      </c>
      <c r="AC200" s="6" t="e">
        <f t="shared" si="83"/>
        <v>#N/A</v>
      </c>
      <c r="AG200">
        <f t="shared" si="71"/>
        <v>-2.1999999999999888E-2</v>
      </c>
      <c r="AH200">
        <f t="shared" si="72"/>
        <v>0</v>
      </c>
      <c r="AI200">
        <f t="shared" si="73"/>
        <v>-0.50749999999999851</v>
      </c>
      <c r="AJ200">
        <f t="shared" si="74"/>
        <v>-1.3275862068965572</v>
      </c>
      <c r="AK200">
        <f t="shared" si="75"/>
        <v>-0.24000000000000021</v>
      </c>
      <c r="AL200">
        <f t="shared" si="76"/>
        <v>-0.70000000000000062</v>
      </c>
      <c r="AM200">
        <f t="shared" si="77"/>
        <v>0</v>
      </c>
      <c r="AN200">
        <f t="shared" si="78"/>
        <v>0.32836749999999937</v>
      </c>
      <c r="AO200">
        <f t="shared" si="79"/>
        <v>2.851826016244841</v>
      </c>
      <c r="AQ200">
        <f t="shared" si="80"/>
        <v>16.637282450071702</v>
      </c>
      <c r="AR200">
        <f t="shared" si="81"/>
        <v>17.96486865696826</v>
      </c>
      <c r="AT200" t="str">
        <f t="shared" si="82"/>
        <v>45497A</v>
      </c>
    </row>
    <row r="201" spans="1:46" hidden="1" x14ac:dyDescent="0.3">
      <c r="A201" s="17">
        <v>45497</v>
      </c>
      <c r="B201" s="18" t="s">
        <v>19</v>
      </c>
      <c r="C201" s="6">
        <v>8.0085714285714289</v>
      </c>
      <c r="D201" s="6">
        <v>38</v>
      </c>
      <c r="E201" s="6">
        <v>26.25333333333333</v>
      </c>
      <c r="F201" s="6">
        <v>55.2</v>
      </c>
      <c r="G201" s="6">
        <v>3.72</v>
      </c>
      <c r="H201" s="6">
        <v>3.26</v>
      </c>
      <c r="I201" s="6">
        <v>150.33333333333329</v>
      </c>
      <c r="J201" s="6">
        <v>8.8541544724904124</v>
      </c>
      <c r="K201" s="6">
        <v>3.085506859208555E-3</v>
      </c>
      <c r="L201" s="6">
        <v>2.7319554357361268E-2</v>
      </c>
      <c r="M201" s="6">
        <v>19.622741286883979</v>
      </c>
      <c r="N201" s="6">
        <v>2.5833672627768541E-3</v>
      </c>
      <c r="O201" s="6">
        <v>5225</v>
      </c>
      <c r="P201" s="6">
        <v>81.26191156685644</v>
      </c>
      <c r="Q201" s="6">
        <v>17905.592380952381</v>
      </c>
      <c r="R201" s="6">
        <v>0</v>
      </c>
      <c r="S201" s="6">
        <v>19.653028885369501</v>
      </c>
      <c r="T201" s="6">
        <f t="shared" si="68"/>
        <v>14.852369527179563</v>
      </c>
      <c r="U201" s="6" t="e">
        <f t="shared" si="84"/>
        <v>#N/A</v>
      </c>
      <c r="V201" s="6">
        <f t="shared" si="69"/>
        <v>14.74030056166232</v>
      </c>
      <c r="W201" s="6">
        <f t="shared" si="70"/>
        <v>14.964438492696807</v>
      </c>
      <c r="X201" s="6" t="e">
        <f t="shared" si="85"/>
        <v>#N/A</v>
      </c>
      <c r="Y201" s="6" t="e">
        <f t="shared" si="83"/>
        <v>#N/A</v>
      </c>
      <c r="Z201" s="6" t="e">
        <f t="shared" si="83"/>
        <v>#N/A</v>
      </c>
      <c r="AA201" s="6" t="e">
        <f t="shared" si="83"/>
        <v>#N/A</v>
      </c>
      <c r="AB201" s="6" t="e">
        <f t="shared" si="83"/>
        <v>#N/A</v>
      </c>
      <c r="AC201" s="6" t="e">
        <f t="shared" si="83"/>
        <v>#N/A</v>
      </c>
      <c r="AG201">
        <f t="shared" si="71"/>
        <v>2.8285714285714292E-2</v>
      </c>
      <c r="AH201">
        <f t="shared" si="72"/>
        <v>0</v>
      </c>
      <c r="AI201">
        <f t="shared" si="73"/>
        <v>-3.6111111111107874E-2</v>
      </c>
      <c r="AJ201">
        <f t="shared" si="74"/>
        <v>-0.22413793103448718</v>
      </c>
      <c r="AK201">
        <f t="shared" si="75"/>
        <v>0.26999999999999957</v>
      </c>
      <c r="AL201">
        <f t="shared" si="76"/>
        <v>-0.70000000000000062</v>
      </c>
      <c r="AM201">
        <f t="shared" si="77"/>
        <v>0</v>
      </c>
      <c r="AN201">
        <f t="shared" si="78"/>
        <v>-1.9721684523809526</v>
      </c>
      <c r="AO201">
        <f t="shared" si="79"/>
        <v>0.75169105501917599</v>
      </c>
      <c r="AQ201">
        <f t="shared" si="80"/>
        <v>14.74030056166232</v>
      </c>
      <c r="AR201">
        <f t="shared" si="81"/>
        <v>14.964438492696807</v>
      </c>
      <c r="AT201" t="str">
        <f t="shared" si="82"/>
        <v>45497B</v>
      </c>
    </row>
    <row r="202" spans="1:46" hidden="1" x14ac:dyDescent="0.3">
      <c r="A202" s="17">
        <v>45497</v>
      </c>
      <c r="B202" s="18" t="s">
        <v>20</v>
      </c>
      <c r="C202" s="6">
        <v>7.8933333333333344</v>
      </c>
      <c r="D202" s="6">
        <v>38.375</v>
      </c>
      <c r="E202" s="6">
        <v>26.074999999999999</v>
      </c>
      <c r="F202" s="6">
        <v>55.2</v>
      </c>
      <c r="G202" s="6">
        <v>3.72</v>
      </c>
      <c r="H202" s="6">
        <v>3.2774999999999999</v>
      </c>
      <c r="I202" s="6">
        <v>153.25</v>
      </c>
      <c r="J202" s="6">
        <v>10.089962579361851</v>
      </c>
      <c r="K202" s="6">
        <v>2.7479130003667429E-3</v>
      </c>
      <c r="L202" s="6">
        <v>2.7726339345042379E-2</v>
      </c>
      <c r="M202" s="6">
        <v>20.705610169548159</v>
      </c>
      <c r="N202" s="6">
        <v>2.58392783186357E-3</v>
      </c>
      <c r="O202" s="6">
        <v>5225</v>
      </c>
      <c r="P202" s="6">
        <v>81.278690101432474</v>
      </c>
      <c r="Q202" s="6">
        <v>12935.28</v>
      </c>
      <c r="R202" s="6">
        <v>0</v>
      </c>
      <c r="S202" s="6">
        <v>20.02687486128481</v>
      </c>
      <c r="T202" s="6">
        <f t="shared" si="68"/>
        <v>13.101491878640548</v>
      </c>
      <c r="U202" s="6" t="e">
        <f t="shared" si="84"/>
        <v>#N/A</v>
      </c>
      <c r="V202" s="6">
        <f t="shared" si="69"/>
        <v>12.989422913123304</v>
      </c>
      <c r="W202" s="6">
        <f t="shared" si="70"/>
        <v>13.213560844157792</v>
      </c>
      <c r="X202" s="6" t="e">
        <f t="shared" si="85"/>
        <v>#N/A</v>
      </c>
      <c r="Y202" s="6" t="e">
        <f t="shared" si="83"/>
        <v>#N/A</v>
      </c>
      <c r="Z202" s="6" t="e">
        <f t="shared" si="83"/>
        <v>#N/A</v>
      </c>
      <c r="AA202" s="6" t="e">
        <f t="shared" si="83"/>
        <v>#N/A</v>
      </c>
      <c r="AB202" s="6" t="e">
        <f t="shared" si="83"/>
        <v>#N/A</v>
      </c>
      <c r="AC202" s="6" t="e">
        <f t="shared" si="83"/>
        <v>#N/A</v>
      </c>
      <c r="AG202">
        <f t="shared" si="71"/>
        <v>5.1333333333333189E-2</v>
      </c>
      <c r="AH202">
        <f t="shared" si="72"/>
        <v>0</v>
      </c>
      <c r="AI202">
        <f t="shared" si="73"/>
        <v>0.11250000000000131</v>
      </c>
      <c r="AJ202">
        <f t="shared" si="74"/>
        <v>-0.22413793103448718</v>
      </c>
      <c r="AK202">
        <f t="shared" si="75"/>
        <v>0.26999999999999957</v>
      </c>
      <c r="AL202">
        <f t="shared" si="76"/>
        <v>-0.61250000000000027</v>
      </c>
      <c r="AM202">
        <f t="shared" si="77"/>
        <v>0</v>
      </c>
      <c r="AN202">
        <f t="shared" si="78"/>
        <v>-2.5934575000000004</v>
      </c>
      <c r="AO202">
        <f t="shared" si="79"/>
        <v>-1.7199251587237008</v>
      </c>
      <c r="AQ202">
        <f t="shared" si="80"/>
        <v>12.989422913123304</v>
      </c>
      <c r="AR202">
        <f t="shared" si="81"/>
        <v>13.213560844157792</v>
      </c>
      <c r="AT202" t="str">
        <f t="shared" si="82"/>
        <v>45497C</v>
      </c>
    </row>
    <row r="203" spans="1:46" hidden="1" x14ac:dyDescent="0.3">
      <c r="A203" s="17">
        <v>45497</v>
      </c>
      <c r="B203" s="18" t="s">
        <v>21</v>
      </c>
      <c r="C203" s="6">
        <v>7.8357142857142863</v>
      </c>
      <c r="D203" s="6">
        <v>37.75</v>
      </c>
      <c r="E203" s="6">
        <v>26.524999999999999</v>
      </c>
      <c r="F203" s="6">
        <v>55.2</v>
      </c>
      <c r="G203" s="6">
        <v>3.72</v>
      </c>
      <c r="H203" s="6">
        <v>3.1775000000000002</v>
      </c>
      <c r="I203" s="6">
        <v>155</v>
      </c>
      <c r="J203" s="6">
        <v>10.60248502828823</v>
      </c>
      <c r="K203" s="6">
        <v>3.9157576224500452E-3</v>
      </c>
      <c r="L203" s="6">
        <v>4.1516761566432123E-2</v>
      </c>
      <c r="M203" s="6">
        <v>23.273513912337261</v>
      </c>
      <c r="N203" s="6">
        <v>2.5851006007332638E-3</v>
      </c>
      <c r="O203" s="6">
        <v>5225</v>
      </c>
      <c r="P203" s="6">
        <v>81.318477202217267</v>
      </c>
      <c r="Q203" s="6">
        <v>18904.55337224538</v>
      </c>
      <c r="R203" s="6">
        <v>0</v>
      </c>
      <c r="S203" s="6">
        <v>22.168368329001311</v>
      </c>
      <c r="T203" s="6">
        <f t="shared" si="68"/>
        <v>14.527033704631377</v>
      </c>
      <c r="U203" s="6" t="e">
        <f t="shared" si="84"/>
        <v>#N/A</v>
      </c>
      <c r="V203" s="6">
        <f t="shared" si="69"/>
        <v>14.414964739114133</v>
      </c>
      <c r="W203" s="6">
        <f t="shared" si="70"/>
        <v>14.63910267014862</v>
      </c>
      <c r="X203" s="6" t="e">
        <f t="shared" si="85"/>
        <v>#N/A</v>
      </c>
      <c r="Y203" s="6" t="e">
        <f t="shared" si="83"/>
        <v>#N/A</v>
      </c>
      <c r="Z203" s="6" t="e">
        <f t="shared" si="83"/>
        <v>#N/A</v>
      </c>
      <c r="AA203" s="6" t="e">
        <f t="shared" si="83"/>
        <v>#N/A</v>
      </c>
      <c r="AB203" s="6" t="e">
        <f t="shared" si="83"/>
        <v>#N/A</v>
      </c>
      <c r="AC203" s="6" t="e">
        <f t="shared" si="83"/>
        <v>#N/A</v>
      </c>
      <c r="AG203">
        <f t="shared" si="71"/>
        <v>6.285714285714282E-2</v>
      </c>
      <c r="AH203">
        <f t="shared" si="72"/>
        <v>0</v>
      </c>
      <c r="AI203">
        <f t="shared" si="73"/>
        <v>-0.26249999999999812</v>
      </c>
      <c r="AJ203">
        <f t="shared" si="74"/>
        <v>-0.22413793103448718</v>
      </c>
      <c r="AK203">
        <f t="shared" si="75"/>
        <v>0.26999999999999957</v>
      </c>
      <c r="AL203">
        <f t="shared" si="76"/>
        <v>-1.1124999999999985</v>
      </c>
      <c r="AM203">
        <f t="shared" si="77"/>
        <v>0</v>
      </c>
      <c r="AN203">
        <f t="shared" si="78"/>
        <v>-1.8472983284693278</v>
      </c>
      <c r="AO203">
        <f t="shared" si="79"/>
        <v>-2.7449700565764594</v>
      </c>
      <c r="AQ203">
        <f t="shared" si="80"/>
        <v>14.414964739114133</v>
      </c>
      <c r="AR203">
        <f t="shared" si="81"/>
        <v>14.63910267014862</v>
      </c>
      <c r="AT203" t="str">
        <f t="shared" si="82"/>
        <v>45497D</v>
      </c>
    </row>
    <row r="204" spans="1:46" hidden="1" x14ac:dyDescent="0.3">
      <c r="A204" s="17">
        <v>45498</v>
      </c>
      <c r="B204" s="18" t="s">
        <v>22</v>
      </c>
      <c r="C204" s="6">
        <v>7.9980000000000002</v>
      </c>
      <c r="D204" s="6">
        <v>38.111111111111107</v>
      </c>
      <c r="E204" s="6">
        <v>27.155555555555559</v>
      </c>
      <c r="F204" s="6">
        <v>55.2</v>
      </c>
      <c r="G204" s="6">
        <v>3.34</v>
      </c>
      <c r="H204" s="6">
        <v>3.1644444444444439</v>
      </c>
      <c r="I204" s="6">
        <v>156.44444444444451</v>
      </c>
      <c r="J204" s="6">
        <v>9.7129556639856016</v>
      </c>
      <c r="K204" s="6">
        <v>1.0351186864285799E-2</v>
      </c>
      <c r="L204" s="6">
        <v>0.1005406190824381</v>
      </c>
      <c r="M204" s="6">
        <v>26.23640712232282</v>
      </c>
      <c r="N204" s="6">
        <v>2.5865761159322709E-3</v>
      </c>
      <c r="O204" s="6">
        <v>5224.9999999999991</v>
      </c>
      <c r="P204" s="6">
        <v>81.364385190779714</v>
      </c>
      <c r="Q204" s="6">
        <v>42900.28</v>
      </c>
      <c r="R204" s="6">
        <v>0</v>
      </c>
      <c r="S204" s="6">
        <v>24.778307842498339</v>
      </c>
      <c r="T204" s="6">
        <f t="shared" si="68"/>
        <v>22.785253588093632</v>
      </c>
      <c r="U204" s="6" t="e">
        <f t="shared" si="84"/>
        <v>#N/A</v>
      </c>
      <c r="V204" s="6">
        <f t="shared" si="69"/>
        <v>22.673184622576386</v>
      </c>
      <c r="W204" s="6">
        <f t="shared" si="70"/>
        <v>22.897322553610874</v>
      </c>
      <c r="X204" s="6" t="e">
        <f t="shared" si="85"/>
        <v>#N/A</v>
      </c>
      <c r="Y204" s="6" t="e">
        <f t="shared" si="83"/>
        <v>#N/A</v>
      </c>
      <c r="Z204" s="6" t="e">
        <f t="shared" si="83"/>
        <v>#N/A</v>
      </c>
      <c r="AA204" s="6" t="e">
        <f t="shared" si="83"/>
        <v>#N/A</v>
      </c>
      <c r="AB204" s="6" t="e">
        <f t="shared" si="83"/>
        <v>#N/A</v>
      </c>
      <c r="AC204" s="6" t="e">
        <f t="shared" si="83"/>
        <v>#N/A</v>
      </c>
      <c r="AG204">
        <f t="shared" si="71"/>
        <v>3.0400000000000028E-2</v>
      </c>
      <c r="AH204">
        <f t="shared" si="72"/>
        <v>0</v>
      </c>
      <c r="AI204">
        <f t="shared" si="73"/>
        <v>-0.78796296296296475</v>
      </c>
      <c r="AJ204">
        <f t="shared" si="74"/>
        <v>-0.22413793103448718</v>
      </c>
      <c r="AK204">
        <f t="shared" si="75"/>
        <v>1.4100000000000004</v>
      </c>
      <c r="AL204">
        <f t="shared" si="76"/>
        <v>-1.1777777777777798</v>
      </c>
      <c r="AM204">
        <f t="shared" si="77"/>
        <v>0</v>
      </c>
      <c r="AN204">
        <f t="shared" si="78"/>
        <v>1.1521674999999996</v>
      </c>
      <c r="AO204">
        <f t="shared" si="79"/>
        <v>-0.96591132797120238</v>
      </c>
      <c r="AQ204">
        <f t="shared" si="80"/>
        <v>22.673184622576386</v>
      </c>
      <c r="AR204">
        <f t="shared" si="81"/>
        <v>22.897322553610874</v>
      </c>
      <c r="AT204" t="str">
        <f t="shared" si="82"/>
        <v>45498A</v>
      </c>
    </row>
    <row r="205" spans="1:46" hidden="1" x14ac:dyDescent="0.3">
      <c r="A205" s="17">
        <v>45498</v>
      </c>
      <c r="B205" s="18" t="s">
        <v>19</v>
      </c>
      <c r="C205" s="6">
        <v>7.9285714285714288</v>
      </c>
      <c r="D205" s="6">
        <v>37.727272727272727</v>
      </c>
      <c r="E205" s="6">
        <v>26.701818181818179</v>
      </c>
      <c r="F205" s="6">
        <v>55.3</v>
      </c>
      <c r="G205" s="6">
        <v>3.53</v>
      </c>
      <c r="H205" s="6">
        <v>3.1781818181818182</v>
      </c>
      <c r="I205" s="6">
        <v>150.27272727272731</v>
      </c>
      <c r="J205" s="6">
        <v>9.7875779495220545</v>
      </c>
      <c r="K205" s="6">
        <v>2.5774948835565821E-3</v>
      </c>
      <c r="L205" s="6">
        <v>2.5227432087304321E-2</v>
      </c>
      <c r="M205" s="6">
        <v>22.38851730364031</v>
      </c>
      <c r="N205" s="6">
        <v>2.5860088016456109E-3</v>
      </c>
      <c r="O205" s="6">
        <v>5225</v>
      </c>
      <c r="P205" s="6">
        <v>81.304764684225489</v>
      </c>
      <c r="Q205" s="6">
        <v>10553.924705882349</v>
      </c>
      <c r="R205" s="6">
        <v>0</v>
      </c>
      <c r="S205" s="6">
        <v>22.10197422349076</v>
      </c>
      <c r="T205" s="6">
        <f t="shared" si="68"/>
        <v>14.549304951108857</v>
      </c>
      <c r="U205" s="6" t="e">
        <f t="shared" si="84"/>
        <v>#N/A</v>
      </c>
      <c r="V205" s="6">
        <f t="shared" si="69"/>
        <v>14.351029089039894</v>
      </c>
      <c r="W205" s="6">
        <f t="shared" si="70"/>
        <v>14.747580813177819</v>
      </c>
      <c r="X205" s="6" t="e">
        <f t="shared" si="85"/>
        <v>#N/A</v>
      </c>
      <c r="Y205" s="6" t="e">
        <f t="shared" si="83"/>
        <v>#N/A</v>
      </c>
      <c r="Z205" s="6" t="e">
        <f t="shared" si="83"/>
        <v>#N/A</v>
      </c>
      <c r="AA205" s="6" t="e">
        <f t="shared" si="83"/>
        <v>#N/A</v>
      </c>
      <c r="AB205" s="6" t="e">
        <f t="shared" si="83"/>
        <v>#N/A</v>
      </c>
      <c r="AC205" s="6" t="e">
        <f t="shared" si="83"/>
        <v>#N/A</v>
      </c>
      <c r="AG205">
        <f t="shared" si="71"/>
        <v>4.428571428571431E-2</v>
      </c>
      <c r="AH205">
        <f t="shared" si="72"/>
        <v>0</v>
      </c>
      <c r="AI205">
        <f t="shared" si="73"/>
        <v>-0.40984848484848219</v>
      </c>
      <c r="AJ205">
        <f t="shared" si="74"/>
        <v>-0.39655172413792561</v>
      </c>
      <c r="AK205">
        <f t="shared" si="75"/>
        <v>0.84000000000000075</v>
      </c>
      <c r="AL205">
        <f t="shared" si="76"/>
        <v>-1.1090909090909085</v>
      </c>
      <c r="AM205">
        <f t="shared" si="77"/>
        <v>0</v>
      </c>
      <c r="AN205">
        <f t="shared" si="78"/>
        <v>-2.8911269117647067</v>
      </c>
      <c r="AO205">
        <f t="shared" si="79"/>
        <v>-1.1151558990441082</v>
      </c>
      <c r="AQ205">
        <f t="shared" si="80"/>
        <v>14.351029089039894</v>
      </c>
      <c r="AR205">
        <f t="shared" si="81"/>
        <v>14.747580813177819</v>
      </c>
      <c r="AT205" t="str">
        <f t="shared" si="82"/>
        <v>45498B</v>
      </c>
    </row>
    <row r="206" spans="1:46" hidden="1" x14ac:dyDescent="0.3">
      <c r="A206" s="17">
        <v>45498</v>
      </c>
      <c r="B206" s="18" t="s">
        <v>20</v>
      </c>
      <c r="C206" s="6">
        <v>7.8571428571428568</v>
      </c>
      <c r="D206" s="6">
        <v>37.545454545454547</v>
      </c>
      <c r="E206" s="6">
        <v>26.666363636363631</v>
      </c>
      <c r="F206" s="6">
        <v>55.3</v>
      </c>
      <c r="G206" s="6">
        <v>3.53</v>
      </c>
      <c r="H206" s="6">
        <v>3.1927272727272729</v>
      </c>
      <c r="I206" s="6">
        <v>150.72727272727269</v>
      </c>
      <c r="J206" s="6">
        <v>8.7681215322004427</v>
      </c>
      <c r="K206" s="6">
        <v>2.0238639237145188E-3</v>
      </c>
      <c r="L206" s="6">
        <v>1.7745484847764951E-2</v>
      </c>
      <c r="M206" s="6">
        <v>23.412486660856739</v>
      </c>
      <c r="N206" s="6">
        <v>2.5852994690743489E-3</v>
      </c>
      <c r="O206" s="6">
        <v>5225</v>
      </c>
      <c r="P206" s="6">
        <v>81.320630337834601</v>
      </c>
      <c r="Q206" s="6">
        <v>9710.56</v>
      </c>
      <c r="R206" s="6">
        <v>0</v>
      </c>
      <c r="S206" s="6">
        <v>23.015219566975649</v>
      </c>
      <c r="T206" s="6">
        <f t="shared" si="68"/>
        <v>17.623324996291657</v>
      </c>
      <c r="U206" s="6" t="e">
        <f t="shared" si="84"/>
        <v>#N/A</v>
      </c>
      <c r="V206" s="6">
        <f t="shared" si="69"/>
        <v>17.425049134222697</v>
      </c>
      <c r="W206" s="6">
        <f t="shared" si="70"/>
        <v>17.821600858360622</v>
      </c>
      <c r="X206" s="6" t="e">
        <f t="shared" si="85"/>
        <v>#N/A</v>
      </c>
      <c r="Y206" s="6" t="e">
        <f t="shared" si="83"/>
        <v>#N/A</v>
      </c>
      <c r="Z206" s="6" t="e">
        <f t="shared" si="83"/>
        <v>#N/A</v>
      </c>
      <c r="AA206" s="6" t="e">
        <f t="shared" si="83"/>
        <v>#N/A</v>
      </c>
      <c r="AB206" s="6" t="e">
        <f t="shared" si="83"/>
        <v>#N/A</v>
      </c>
      <c r="AC206" s="6" t="e">
        <f t="shared" si="83"/>
        <v>#N/A</v>
      </c>
      <c r="AG206">
        <f t="shared" si="71"/>
        <v>5.8571428571428719E-2</v>
      </c>
      <c r="AH206">
        <f t="shared" si="72"/>
        <v>0</v>
      </c>
      <c r="AI206">
        <f t="shared" si="73"/>
        <v>-0.38030303030302492</v>
      </c>
      <c r="AJ206">
        <f t="shared" si="74"/>
        <v>-0.39655172413792561</v>
      </c>
      <c r="AK206">
        <f t="shared" si="75"/>
        <v>0.84000000000000075</v>
      </c>
      <c r="AL206">
        <f t="shared" si="76"/>
        <v>-1.0363636363636353</v>
      </c>
      <c r="AM206">
        <f t="shared" si="77"/>
        <v>0</v>
      </c>
      <c r="AN206">
        <f t="shared" si="78"/>
        <v>-2.9965475000000006</v>
      </c>
      <c r="AO206">
        <f t="shared" si="79"/>
        <v>0.92375693559911554</v>
      </c>
      <c r="AQ206">
        <f t="shared" si="80"/>
        <v>17.425049134222697</v>
      </c>
      <c r="AR206">
        <f t="shared" si="81"/>
        <v>17.821600858360622</v>
      </c>
      <c r="AT206" t="str">
        <f t="shared" si="82"/>
        <v>45498C</v>
      </c>
    </row>
    <row r="207" spans="1:46" hidden="1" x14ac:dyDescent="0.3">
      <c r="A207" s="17">
        <v>45498</v>
      </c>
      <c r="B207" s="18" t="s">
        <v>21</v>
      </c>
      <c r="C207" s="6">
        <v>7.8728571428571428</v>
      </c>
      <c r="D207" s="6">
        <v>37.700000000000003</v>
      </c>
      <c r="E207" s="6">
        <v>26.8</v>
      </c>
      <c r="F207" s="6">
        <v>55.3</v>
      </c>
      <c r="G207" s="6">
        <v>3.53</v>
      </c>
      <c r="H207" s="6">
        <v>3.19</v>
      </c>
      <c r="I207" s="6">
        <v>150.9</v>
      </c>
      <c r="J207" s="6">
        <v>8.1412563336522386</v>
      </c>
      <c r="K207" s="6">
        <v>3.9859323429668348E-3</v>
      </c>
      <c r="L207" s="6">
        <v>3.2450496932688047E-2</v>
      </c>
      <c r="M207" s="6">
        <v>24.31604239251676</v>
      </c>
      <c r="N207" s="6">
        <v>2.58561689194923E-3</v>
      </c>
      <c r="O207" s="6">
        <v>5225</v>
      </c>
      <c r="P207" s="6">
        <v>81.334630311194161</v>
      </c>
      <c r="Q207" s="6">
        <v>23258.315294117649</v>
      </c>
      <c r="R207" s="6">
        <v>0</v>
      </c>
      <c r="S207" s="6">
        <v>23.876592725821851</v>
      </c>
      <c r="T207" s="6">
        <f t="shared" si="68"/>
        <v>21.34593767966993</v>
      </c>
      <c r="U207" s="6" t="e">
        <f t="shared" si="84"/>
        <v>#N/A</v>
      </c>
      <c r="V207" s="6">
        <f t="shared" si="69"/>
        <v>21.147661817600969</v>
      </c>
      <c r="W207" s="6">
        <f t="shared" si="70"/>
        <v>21.544213541738895</v>
      </c>
      <c r="X207" s="6" t="e">
        <f t="shared" si="85"/>
        <v>#N/A</v>
      </c>
      <c r="Y207" s="6" t="e">
        <f t="shared" ref="Y207:AC216" si="86">VLOOKUP($AT207,hhh,3,0)</f>
        <v>#N/A</v>
      </c>
      <c r="Z207" s="6" t="e">
        <f t="shared" si="86"/>
        <v>#N/A</v>
      </c>
      <c r="AA207" s="6" t="e">
        <f t="shared" si="86"/>
        <v>#N/A</v>
      </c>
      <c r="AB207" s="6" t="e">
        <f t="shared" si="86"/>
        <v>#N/A</v>
      </c>
      <c r="AC207" s="6" t="e">
        <f t="shared" si="86"/>
        <v>#N/A</v>
      </c>
      <c r="AG207">
        <f t="shared" si="71"/>
        <v>5.5428571428571521E-2</v>
      </c>
      <c r="AH207">
        <f t="shared" si="72"/>
        <v>0</v>
      </c>
      <c r="AI207">
        <f t="shared" si="73"/>
        <v>-0.49166666666666659</v>
      </c>
      <c r="AJ207">
        <f t="shared" si="74"/>
        <v>-0.39655172413792561</v>
      </c>
      <c r="AK207">
        <f t="shared" si="75"/>
        <v>0.84000000000000075</v>
      </c>
      <c r="AL207">
        <f t="shared" si="76"/>
        <v>-1.0499999999999998</v>
      </c>
      <c r="AM207">
        <f t="shared" si="77"/>
        <v>0</v>
      </c>
      <c r="AN207">
        <f t="shared" si="78"/>
        <v>-1.3030780882352941</v>
      </c>
      <c r="AO207">
        <f t="shared" si="79"/>
        <v>2.1774873326955237</v>
      </c>
      <c r="AQ207">
        <f t="shared" si="80"/>
        <v>21.147661817600969</v>
      </c>
      <c r="AR207">
        <f t="shared" si="81"/>
        <v>21.544213541738895</v>
      </c>
      <c r="AT207" t="str">
        <f t="shared" si="82"/>
        <v>45498D</v>
      </c>
    </row>
    <row r="208" spans="1:46" hidden="1" x14ac:dyDescent="0.3">
      <c r="A208" s="17">
        <v>45502</v>
      </c>
      <c r="B208" s="18" t="s">
        <v>22</v>
      </c>
      <c r="C208" s="6">
        <v>8</v>
      </c>
      <c r="D208" s="6">
        <v>40</v>
      </c>
      <c r="E208" s="6">
        <v>26.1</v>
      </c>
      <c r="F208" s="6">
        <v>55.3</v>
      </c>
      <c r="G208" s="6">
        <v>3.42</v>
      </c>
      <c r="H208" s="6">
        <v>3.29</v>
      </c>
      <c r="I208" s="6">
        <v>156</v>
      </c>
      <c r="J208" s="6">
        <v>5.094475059952039</v>
      </c>
      <c r="K208" s="6">
        <v>0</v>
      </c>
      <c r="L208" s="6">
        <v>0</v>
      </c>
      <c r="M208" s="6">
        <v>25.364659142083401</v>
      </c>
      <c r="N208" s="6">
        <v>2.586137118748875E-3</v>
      </c>
      <c r="O208" s="6">
        <v>5225</v>
      </c>
      <c r="P208" s="6">
        <v>81.350877911835298</v>
      </c>
      <c r="Q208" s="6">
        <v>0</v>
      </c>
      <c r="R208" s="6">
        <v>0</v>
      </c>
      <c r="S208" s="6">
        <v>23.68337766921665</v>
      </c>
      <c r="T208" s="6">
        <f t="shared" si="68"/>
        <v>26.96873232677703</v>
      </c>
      <c r="U208" s="6" t="e">
        <f t="shared" si="84"/>
        <v>#N/A</v>
      </c>
      <c r="V208" s="6">
        <f t="shared" si="69"/>
        <v>26.770456464708065</v>
      </c>
      <c r="W208" s="6">
        <f t="shared" si="70"/>
        <v>27.16700818884599</v>
      </c>
      <c r="X208" s="6" t="e">
        <f t="shared" si="85"/>
        <v>#N/A</v>
      </c>
      <c r="Y208" s="6" t="e">
        <f t="shared" si="86"/>
        <v>#N/A</v>
      </c>
      <c r="Z208" s="6" t="e">
        <f t="shared" si="86"/>
        <v>#N/A</v>
      </c>
      <c r="AA208" s="6" t="e">
        <f t="shared" si="86"/>
        <v>#N/A</v>
      </c>
      <c r="AB208" s="6" t="e">
        <f t="shared" si="86"/>
        <v>#N/A</v>
      </c>
      <c r="AC208" s="6" t="e">
        <f t="shared" si="86"/>
        <v>#N/A</v>
      </c>
      <c r="AG208">
        <f t="shared" si="71"/>
        <v>3.0000000000000072E-2</v>
      </c>
      <c r="AH208">
        <f t="shared" si="72"/>
        <v>0</v>
      </c>
      <c r="AI208">
        <f t="shared" si="73"/>
        <v>9.1666666666666202E-2</v>
      </c>
      <c r="AJ208">
        <f t="shared" si="74"/>
        <v>-0.39655172413792561</v>
      </c>
      <c r="AK208">
        <f t="shared" si="75"/>
        <v>1.1700000000000004</v>
      </c>
      <c r="AL208">
        <f t="shared" si="76"/>
        <v>-0.54999999999999949</v>
      </c>
      <c r="AM208">
        <f t="shared" si="77"/>
        <v>0</v>
      </c>
      <c r="AN208">
        <f t="shared" si="78"/>
        <v>-4.2103675000000003</v>
      </c>
      <c r="AO208">
        <f t="shared" si="79"/>
        <v>8.2710498800959229</v>
      </c>
      <c r="AQ208">
        <f t="shared" si="80"/>
        <v>26.770456464708065</v>
      </c>
      <c r="AR208">
        <f t="shared" si="81"/>
        <v>27.16700818884599</v>
      </c>
      <c r="AT208" t="str">
        <f t="shared" si="82"/>
        <v>45502A</v>
      </c>
    </row>
    <row r="209" spans="1:46" hidden="1" x14ac:dyDescent="0.3">
      <c r="A209" s="17">
        <v>45502</v>
      </c>
      <c r="B209" s="18" t="s">
        <v>20</v>
      </c>
      <c r="C209" s="6">
        <v>8.15</v>
      </c>
      <c r="D209" s="6">
        <v>40</v>
      </c>
      <c r="E209" s="6">
        <v>26.9</v>
      </c>
      <c r="F209" s="6">
        <v>53.3</v>
      </c>
      <c r="G209" s="6">
        <v>3.42</v>
      </c>
      <c r="H209" s="6">
        <v>3.5</v>
      </c>
      <c r="I209" s="6">
        <v>151</v>
      </c>
      <c r="J209" s="6">
        <v>10.971920744749109</v>
      </c>
      <c r="K209" s="6">
        <v>1.148745841179077E-3</v>
      </c>
      <c r="L209" s="6">
        <v>1.2603948325276979E-2</v>
      </c>
      <c r="M209" s="6">
        <v>13.253194971473389</v>
      </c>
      <c r="N209" s="6">
        <v>2.58835321852859E-3</v>
      </c>
      <c r="O209" s="6">
        <v>5225</v>
      </c>
      <c r="P209" s="6">
        <v>94.733348835086758</v>
      </c>
      <c r="Q209" s="6">
        <v>4714.2800000000007</v>
      </c>
      <c r="R209" s="6">
        <v>0</v>
      </c>
      <c r="S209" s="6">
        <v>15.71055842723413</v>
      </c>
      <c r="T209" s="6">
        <f t="shared" si="68"/>
        <v>5.7691330509406935</v>
      </c>
      <c r="U209" s="6" t="e">
        <f t="shared" si="84"/>
        <v>#N/A</v>
      </c>
      <c r="V209" s="6">
        <f t="shared" si="69"/>
        <v>7.2949951199062131</v>
      </c>
      <c r="W209" s="6">
        <f t="shared" si="70"/>
        <v>4.2432709819751731</v>
      </c>
      <c r="X209" s="6" t="e">
        <f t="shared" si="85"/>
        <v>#N/A</v>
      </c>
      <c r="Y209" s="6" t="e">
        <f t="shared" si="86"/>
        <v>#N/A</v>
      </c>
      <c r="Z209" s="6" t="e">
        <f t="shared" si="86"/>
        <v>#N/A</v>
      </c>
      <c r="AA209" s="6" t="e">
        <f t="shared" si="86"/>
        <v>#N/A</v>
      </c>
      <c r="AB209" s="6" t="e">
        <f t="shared" si="86"/>
        <v>#N/A</v>
      </c>
      <c r="AC209" s="6" t="e">
        <f t="shared" si="86"/>
        <v>#N/A</v>
      </c>
      <c r="AG209">
        <f t="shared" si="71"/>
        <v>0</v>
      </c>
      <c r="AH209">
        <f t="shared" si="72"/>
        <v>0</v>
      </c>
      <c r="AI209">
        <f t="shared" si="73"/>
        <v>-0.57499999999999818</v>
      </c>
      <c r="AJ209">
        <f t="shared" si="74"/>
        <v>3.05172413793104</v>
      </c>
      <c r="AK209">
        <f t="shared" si="75"/>
        <v>1.1700000000000004</v>
      </c>
      <c r="AL209">
        <f t="shared" si="76"/>
        <v>0.50000000000000044</v>
      </c>
      <c r="AM209">
        <f t="shared" si="77"/>
        <v>0</v>
      </c>
      <c r="AN209">
        <f t="shared" si="78"/>
        <v>-3.6210825000000004</v>
      </c>
      <c r="AO209">
        <f t="shared" si="79"/>
        <v>-3.4838414894982179</v>
      </c>
      <c r="AQ209">
        <f t="shared" si="80"/>
        <v>7.2949951199062131</v>
      </c>
      <c r="AR209">
        <f t="shared" si="81"/>
        <v>4.2432709819751731</v>
      </c>
      <c r="AT209" t="str">
        <f t="shared" si="82"/>
        <v>45502C</v>
      </c>
    </row>
    <row r="210" spans="1:46" hidden="1" x14ac:dyDescent="0.3">
      <c r="A210" s="17">
        <v>45502</v>
      </c>
      <c r="B210" s="18" t="s">
        <v>21</v>
      </c>
      <c r="C210" s="6">
        <v>8.15</v>
      </c>
      <c r="D210" s="6">
        <v>39</v>
      </c>
      <c r="E210" s="6">
        <v>27.45</v>
      </c>
      <c r="F210" s="6">
        <v>53.3</v>
      </c>
      <c r="G210" s="6">
        <v>3.42</v>
      </c>
      <c r="H210" s="6">
        <v>3.36</v>
      </c>
      <c r="I210" s="6">
        <v>153</v>
      </c>
      <c r="J210" s="6">
        <v>11.612943425087719</v>
      </c>
      <c r="K210" s="6">
        <v>1.305465596361565E-3</v>
      </c>
      <c r="L210" s="6">
        <v>1.516029811394525E-2</v>
      </c>
      <c r="M210" s="6">
        <v>13.220591937517421</v>
      </c>
      <c r="N210" s="6">
        <v>2.5803713607839901E-3</v>
      </c>
      <c r="O210" s="6">
        <v>5225</v>
      </c>
      <c r="P210" s="6">
        <v>81.646804102967636</v>
      </c>
      <c r="Q210" s="6">
        <v>4714.2800000000007</v>
      </c>
      <c r="R210" s="6">
        <v>0</v>
      </c>
      <c r="S210" s="6">
        <v>16.37992071799076</v>
      </c>
      <c r="T210" s="6">
        <f t="shared" si="68"/>
        <v>3.2961513229741706</v>
      </c>
      <c r="U210" s="6" t="e">
        <f t="shared" si="84"/>
        <v>#N/A</v>
      </c>
      <c r="V210" s="6">
        <f t="shared" si="69"/>
        <v>4.8220133919396906</v>
      </c>
      <c r="W210" s="6">
        <f t="shared" si="70"/>
        <v>1.7702892540086506</v>
      </c>
      <c r="X210" s="6" t="e">
        <f t="shared" si="85"/>
        <v>#N/A</v>
      </c>
      <c r="Y210" s="6" t="e">
        <f t="shared" si="86"/>
        <v>#N/A</v>
      </c>
      <c r="Z210" s="6" t="e">
        <f t="shared" si="86"/>
        <v>#N/A</v>
      </c>
      <c r="AA210" s="6" t="e">
        <f t="shared" si="86"/>
        <v>#N/A</v>
      </c>
      <c r="AB210" s="6" t="e">
        <f t="shared" si="86"/>
        <v>#N/A</v>
      </c>
      <c r="AC210" s="6" t="e">
        <f t="shared" si="86"/>
        <v>#N/A</v>
      </c>
      <c r="AG210">
        <f t="shared" si="71"/>
        <v>0</v>
      </c>
      <c r="AH210">
        <f t="shared" si="72"/>
        <v>0</v>
      </c>
      <c r="AI210">
        <f t="shared" si="73"/>
        <v>-1.0333333333333321</v>
      </c>
      <c r="AJ210">
        <f t="shared" si="74"/>
        <v>3.05172413793104</v>
      </c>
      <c r="AK210">
        <f t="shared" si="75"/>
        <v>1.1700000000000004</v>
      </c>
      <c r="AL210">
        <f t="shared" si="76"/>
        <v>-0.20000000000000018</v>
      </c>
      <c r="AM210">
        <f t="shared" si="77"/>
        <v>0</v>
      </c>
      <c r="AN210">
        <f t="shared" si="78"/>
        <v>-3.6210825000000004</v>
      </c>
      <c r="AO210">
        <f t="shared" si="79"/>
        <v>-4.7658868501754377</v>
      </c>
      <c r="AQ210">
        <f t="shared" si="80"/>
        <v>4.8220133919396906</v>
      </c>
      <c r="AR210">
        <f t="shared" si="81"/>
        <v>1.7702892540086506</v>
      </c>
      <c r="AT210" t="str">
        <f t="shared" si="82"/>
        <v>45502D</v>
      </c>
    </row>
    <row r="211" spans="1:46" hidden="1" x14ac:dyDescent="0.3">
      <c r="A211" s="17">
        <v>45503</v>
      </c>
      <c r="B211" s="18" t="s">
        <v>22</v>
      </c>
      <c r="C211" s="6">
        <v>8.5499999999999989</v>
      </c>
      <c r="D211" s="6">
        <v>38.4</v>
      </c>
      <c r="E211" s="6">
        <v>27.274000000000001</v>
      </c>
      <c r="F211" s="6">
        <v>53.3</v>
      </c>
      <c r="G211" s="6">
        <v>3.42</v>
      </c>
      <c r="H211" s="6">
        <v>3.4079999999999999</v>
      </c>
      <c r="I211" s="6">
        <v>154.80000000000001</v>
      </c>
      <c r="J211" s="6">
        <v>8.7337840180441439</v>
      </c>
      <c r="K211" s="6">
        <v>7.3570363076894156E-3</v>
      </c>
      <c r="L211" s="6">
        <v>6.4254766124268309E-2</v>
      </c>
      <c r="M211" s="6">
        <v>13.22059442674294</v>
      </c>
      <c r="N211" s="6">
        <v>2.5812409430773708E-3</v>
      </c>
      <c r="O211" s="6">
        <v>5225</v>
      </c>
      <c r="P211" s="6">
        <v>81.646830658758176</v>
      </c>
      <c r="Q211" s="6">
        <v>35894.640000000007</v>
      </c>
      <c r="R211" s="6">
        <v>0</v>
      </c>
      <c r="S211" s="6">
        <v>13.697282597404399</v>
      </c>
      <c r="T211" s="6">
        <f t="shared" si="68"/>
        <v>13.258684292953507</v>
      </c>
      <c r="U211" s="6" t="e">
        <f t="shared" si="84"/>
        <v>#N/A</v>
      </c>
      <c r="V211" s="6">
        <f t="shared" si="69"/>
        <v>14.784546361919027</v>
      </c>
      <c r="W211" s="6">
        <f t="shared" si="70"/>
        <v>11.732822223987988</v>
      </c>
      <c r="X211" s="6" t="e">
        <f t="shared" si="85"/>
        <v>#N/A</v>
      </c>
      <c r="Y211" s="6" t="e">
        <f t="shared" si="86"/>
        <v>#N/A</v>
      </c>
      <c r="Z211" s="6" t="e">
        <f t="shared" si="86"/>
        <v>#N/A</v>
      </c>
      <c r="AA211" s="6" t="e">
        <f t="shared" si="86"/>
        <v>#N/A</v>
      </c>
      <c r="AB211" s="6" t="e">
        <f t="shared" si="86"/>
        <v>#N/A</v>
      </c>
      <c r="AC211" s="6" t="e">
        <f t="shared" si="86"/>
        <v>#N/A</v>
      </c>
      <c r="AG211">
        <f t="shared" si="71"/>
        <v>-7.9999999999999724E-2</v>
      </c>
      <c r="AH211">
        <f t="shared" si="72"/>
        <v>0</v>
      </c>
      <c r="AI211">
        <f t="shared" si="73"/>
        <v>-0.88666666666666671</v>
      </c>
      <c r="AJ211">
        <f t="shared" si="74"/>
        <v>3.05172413793104</v>
      </c>
      <c r="AK211">
        <f t="shared" si="75"/>
        <v>1.1700000000000004</v>
      </c>
      <c r="AL211">
        <f t="shared" si="76"/>
        <v>4.0000000000000042E-2</v>
      </c>
      <c r="AM211">
        <f t="shared" si="77"/>
        <v>0</v>
      </c>
      <c r="AN211">
        <f t="shared" si="78"/>
        <v>0.27646250000000056</v>
      </c>
      <c r="AO211">
        <f t="shared" si="79"/>
        <v>0.99243196391171296</v>
      </c>
      <c r="AQ211">
        <f t="shared" si="80"/>
        <v>14.784546361919027</v>
      </c>
      <c r="AR211">
        <f t="shared" si="81"/>
        <v>11.732822223987988</v>
      </c>
      <c r="AT211" t="str">
        <f t="shared" si="82"/>
        <v>45503A</v>
      </c>
    </row>
    <row r="212" spans="1:46" hidden="1" x14ac:dyDescent="0.3">
      <c r="A212" s="17">
        <v>45503</v>
      </c>
      <c r="B212" s="18" t="s">
        <v>19</v>
      </c>
      <c r="C212" s="6">
        <v>8.3375000000000004</v>
      </c>
      <c r="D212" s="6">
        <v>38</v>
      </c>
      <c r="E212" s="6">
        <v>27.638571428571431</v>
      </c>
      <c r="F212" s="6">
        <v>54.85</v>
      </c>
      <c r="G212" s="6">
        <v>3.7</v>
      </c>
      <c r="H212" s="6">
        <v>3.3657142857142861</v>
      </c>
      <c r="I212" s="6">
        <v>147.57142857142861</v>
      </c>
      <c r="J212" s="6">
        <v>8.9589077746999042</v>
      </c>
      <c r="K212" s="6">
        <v>4.1384148862221182E-3</v>
      </c>
      <c r="L212" s="6">
        <v>3.7075677299109148E-2</v>
      </c>
      <c r="M212" s="6">
        <v>13.220594023128029</v>
      </c>
      <c r="N212" s="6">
        <v>2.5803569364527181E-3</v>
      </c>
      <c r="O212" s="6">
        <v>5225</v>
      </c>
      <c r="P212" s="6">
        <v>81.646796160031812</v>
      </c>
      <c r="Q212" s="6">
        <v>21577.8</v>
      </c>
      <c r="R212" s="6">
        <v>0</v>
      </c>
      <c r="S212" s="6">
        <v>14.17400311219814</v>
      </c>
      <c r="T212" s="6">
        <f t="shared" si="68"/>
        <v>8.3698863842372528</v>
      </c>
      <c r="U212" s="6" t="e">
        <f t="shared" si="84"/>
        <v>#N/A</v>
      </c>
      <c r="V212" s="6">
        <f t="shared" si="69"/>
        <v>8.5595415566510447</v>
      </c>
      <c r="W212" s="6">
        <f t="shared" si="70"/>
        <v>8.180231211823461</v>
      </c>
      <c r="X212" s="6" t="e">
        <f t="shared" si="85"/>
        <v>#N/A</v>
      </c>
      <c r="Y212" s="6" t="e">
        <f t="shared" si="86"/>
        <v>#N/A</v>
      </c>
      <c r="Z212" s="6" t="e">
        <f t="shared" si="86"/>
        <v>#N/A</v>
      </c>
      <c r="AA212" s="6" t="e">
        <f t="shared" si="86"/>
        <v>#N/A</v>
      </c>
      <c r="AB212" s="6" t="e">
        <f t="shared" si="86"/>
        <v>#N/A</v>
      </c>
      <c r="AC212" s="6" t="e">
        <f t="shared" si="86"/>
        <v>#N/A</v>
      </c>
      <c r="AG212">
        <f t="shared" si="71"/>
        <v>-3.7500000000000006E-2</v>
      </c>
      <c r="AH212">
        <f t="shared" si="72"/>
        <v>0</v>
      </c>
      <c r="AI212">
        <f t="shared" si="73"/>
        <v>-1.1904761904761922</v>
      </c>
      <c r="AJ212">
        <f t="shared" si="74"/>
        <v>0.37931034482758424</v>
      </c>
      <c r="AK212">
        <f t="shared" si="75"/>
        <v>0.32999999999999957</v>
      </c>
      <c r="AL212">
        <f t="shared" si="76"/>
        <v>-0.17142857142856904</v>
      </c>
      <c r="AM212">
        <f t="shared" si="77"/>
        <v>0</v>
      </c>
      <c r="AN212">
        <f t="shared" si="78"/>
        <v>-1.5131425000000003</v>
      </c>
      <c r="AO212">
        <f t="shared" si="79"/>
        <v>0.54218445060019249</v>
      </c>
      <c r="AQ212">
        <f t="shared" si="80"/>
        <v>8.5595415566510447</v>
      </c>
      <c r="AR212">
        <f t="shared" si="81"/>
        <v>8.180231211823461</v>
      </c>
      <c r="AT212" t="str">
        <f t="shared" si="82"/>
        <v>45503B</v>
      </c>
    </row>
    <row r="213" spans="1:46" hidden="1" x14ac:dyDescent="0.3">
      <c r="A213" s="17">
        <v>45503</v>
      </c>
      <c r="B213" s="18" t="s">
        <v>20</v>
      </c>
      <c r="C213" s="6">
        <v>8.3375000000000004</v>
      </c>
      <c r="D213" s="6">
        <v>38.166666666666657</v>
      </c>
      <c r="E213" s="6">
        <v>27.576666666666672</v>
      </c>
      <c r="F213" s="6">
        <v>54.85</v>
      </c>
      <c r="G213" s="6">
        <v>3.7</v>
      </c>
      <c r="H213" s="6">
        <v>3.3666666666666671</v>
      </c>
      <c r="I213" s="6">
        <v>147.83333333333329</v>
      </c>
      <c r="J213" s="6">
        <v>10.28722684906036</v>
      </c>
      <c r="K213" s="6">
        <v>1.6030535477000001E-3</v>
      </c>
      <c r="L213" s="6">
        <v>1.64909754963809E-2</v>
      </c>
      <c r="M213" s="6">
        <v>13.24184822349903</v>
      </c>
      <c r="N213" s="6">
        <v>2.601793375315819E-3</v>
      </c>
      <c r="O213" s="6">
        <v>5225</v>
      </c>
      <c r="P213" s="6">
        <v>90.178509091440517</v>
      </c>
      <c r="Q213" s="6">
        <v>6208.4400000000014</v>
      </c>
      <c r="R213" s="6">
        <v>0</v>
      </c>
      <c r="S213" s="6">
        <v>13.225342940043371</v>
      </c>
      <c r="T213" s="6">
        <f t="shared" si="68"/>
        <v>3.8696816422365465</v>
      </c>
      <c r="U213" s="6" t="e">
        <f t="shared" si="84"/>
        <v>#N/A</v>
      </c>
      <c r="V213" s="6">
        <f t="shared" si="69"/>
        <v>4.0593368146503384</v>
      </c>
      <c r="W213" s="6">
        <f t="shared" si="70"/>
        <v>3.6800264698227543</v>
      </c>
      <c r="X213" s="6" t="e">
        <f t="shared" si="85"/>
        <v>#N/A</v>
      </c>
      <c r="Y213" s="6" t="e">
        <f t="shared" si="86"/>
        <v>#N/A</v>
      </c>
      <c r="Z213" s="6" t="e">
        <f t="shared" si="86"/>
        <v>#N/A</v>
      </c>
      <c r="AA213" s="6" t="e">
        <f t="shared" si="86"/>
        <v>#N/A</v>
      </c>
      <c r="AB213" s="6" t="e">
        <f t="shared" si="86"/>
        <v>#N/A</v>
      </c>
      <c r="AC213" s="6" t="e">
        <f t="shared" si="86"/>
        <v>#N/A</v>
      </c>
      <c r="AG213">
        <f t="shared" si="71"/>
        <v>-3.7500000000000006E-2</v>
      </c>
      <c r="AH213">
        <f t="shared" si="72"/>
        <v>0</v>
      </c>
      <c r="AI213">
        <f t="shared" si="73"/>
        <v>-1.1388888888888924</v>
      </c>
      <c r="AJ213">
        <f t="shared" si="74"/>
        <v>0.37931034482758424</v>
      </c>
      <c r="AK213">
        <f t="shared" si="75"/>
        <v>0.32999999999999957</v>
      </c>
      <c r="AL213">
        <f t="shared" si="76"/>
        <v>-0.16666666666666385</v>
      </c>
      <c r="AM213">
        <f t="shared" si="77"/>
        <v>0</v>
      </c>
      <c r="AN213">
        <f t="shared" si="78"/>
        <v>-3.4343124999999999</v>
      </c>
      <c r="AO213">
        <f t="shared" si="79"/>
        <v>-2.1144536981207196</v>
      </c>
      <c r="AQ213">
        <f t="shared" si="80"/>
        <v>4.0593368146503384</v>
      </c>
      <c r="AR213">
        <f t="shared" si="81"/>
        <v>3.6800264698227543</v>
      </c>
      <c r="AT213" t="str">
        <f t="shared" si="82"/>
        <v>45503C</v>
      </c>
    </row>
    <row r="214" spans="1:46" hidden="1" x14ac:dyDescent="0.3">
      <c r="A214" s="17">
        <v>45503</v>
      </c>
      <c r="B214" s="18" t="s">
        <v>21</v>
      </c>
      <c r="C214" s="6">
        <v>8.3633333333333333</v>
      </c>
      <c r="D214" s="6">
        <v>37.666666666666657</v>
      </c>
      <c r="E214" s="6">
        <v>29.333333333333329</v>
      </c>
      <c r="F214" s="6">
        <v>54.85</v>
      </c>
      <c r="G214" s="6">
        <v>3.7</v>
      </c>
      <c r="H214" s="6">
        <v>3.28</v>
      </c>
      <c r="I214" s="6">
        <v>142</v>
      </c>
      <c r="J214" s="6">
        <v>9.7420697692164442</v>
      </c>
      <c r="K214" s="6">
        <v>4.8977304815134163E-3</v>
      </c>
      <c r="L214" s="6">
        <v>4.7714032061721763E-2</v>
      </c>
      <c r="M214" s="6">
        <v>13.220621686266851</v>
      </c>
      <c r="N214" s="6">
        <v>2.5807615268332962E-3</v>
      </c>
      <c r="O214" s="6">
        <v>5225</v>
      </c>
      <c r="P214" s="6">
        <v>81.646786867945451</v>
      </c>
      <c r="Q214" s="6">
        <v>19743.992727272729</v>
      </c>
      <c r="R214" s="6">
        <v>0</v>
      </c>
      <c r="S214" s="6">
        <v>15.035134099101869</v>
      </c>
      <c r="T214" s="6">
        <f t="shared" si="68"/>
        <v>4.7283244667124062</v>
      </c>
      <c r="U214" s="6" t="e">
        <f t="shared" si="84"/>
        <v>#N/A</v>
      </c>
      <c r="V214" s="6">
        <f t="shared" si="69"/>
        <v>4.9179796391261981</v>
      </c>
      <c r="W214" s="6">
        <f t="shared" si="70"/>
        <v>4.5386692942986135</v>
      </c>
      <c r="X214" s="6" t="e">
        <f t="shared" si="85"/>
        <v>#N/A</v>
      </c>
      <c r="Y214" s="6" t="e">
        <f t="shared" si="86"/>
        <v>#N/A</v>
      </c>
      <c r="Z214" s="6" t="e">
        <f t="shared" si="86"/>
        <v>#N/A</v>
      </c>
      <c r="AA214" s="6" t="e">
        <f t="shared" si="86"/>
        <v>#N/A</v>
      </c>
      <c r="AB214" s="6" t="e">
        <f t="shared" si="86"/>
        <v>#N/A</v>
      </c>
      <c r="AC214" s="6" t="e">
        <f t="shared" si="86"/>
        <v>#N/A</v>
      </c>
      <c r="AG214">
        <f t="shared" si="71"/>
        <v>-4.2666666666666589E-2</v>
      </c>
      <c r="AH214">
        <f t="shared" si="72"/>
        <v>0</v>
      </c>
      <c r="AI214">
        <f t="shared" si="73"/>
        <v>-2.6027777777777734</v>
      </c>
      <c r="AJ214">
        <f t="shared" si="74"/>
        <v>0.37931034482758424</v>
      </c>
      <c r="AK214">
        <f t="shared" si="75"/>
        <v>0.32999999999999957</v>
      </c>
      <c r="AL214">
        <f t="shared" si="76"/>
        <v>-0.60000000000000053</v>
      </c>
      <c r="AM214">
        <f t="shared" si="77"/>
        <v>0</v>
      </c>
      <c r="AN214">
        <f t="shared" si="78"/>
        <v>-1.7423684090909091</v>
      </c>
      <c r="AO214">
        <f t="shared" si="79"/>
        <v>-1.0241395384328875</v>
      </c>
      <c r="AQ214">
        <f t="shared" si="80"/>
        <v>4.9179796391261981</v>
      </c>
      <c r="AR214">
        <f t="shared" si="81"/>
        <v>4.5386692942986135</v>
      </c>
      <c r="AT214" t="str">
        <f t="shared" si="82"/>
        <v>45503D</v>
      </c>
    </row>
    <row r="215" spans="1:46" hidden="1" x14ac:dyDescent="0.3">
      <c r="A215" s="17">
        <v>45504</v>
      </c>
      <c r="B215" s="18" t="s">
        <v>22</v>
      </c>
      <c r="C215" s="6">
        <v>8.0879999999999992</v>
      </c>
      <c r="D215" s="6">
        <v>36.857142857142847</v>
      </c>
      <c r="E215" s="6">
        <v>27.13</v>
      </c>
      <c r="F215" s="6">
        <v>54.85</v>
      </c>
      <c r="G215" s="6">
        <v>3.7</v>
      </c>
      <c r="H215" s="6">
        <v>3.128571428571429</v>
      </c>
      <c r="I215" s="6">
        <v>146.85714285714289</v>
      </c>
      <c r="J215" s="6">
        <v>7.768098308581636</v>
      </c>
      <c r="K215" s="6">
        <v>8.2470872577737366E-3</v>
      </c>
      <c r="L215" s="6">
        <v>6.406418457783733E-2</v>
      </c>
      <c r="M215" s="6">
        <v>20.447884043428981</v>
      </c>
      <c r="N215" s="6">
        <v>2.5837074613332968E-3</v>
      </c>
      <c r="O215" s="6">
        <v>5225</v>
      </c>
      <c r="P215" s="6">
        <v>81.27469608039317</v>
      </c>
      <c r="Q215" s="6">
        <v>40739.440000000002</v>
      </c>
      <c r="R215" s="6">
        <v>0</v>
      </c>
      <c r="S215" s="6">
        <v>22.483866777581959</v>
      </c>
      <c r="T215" s="6">
        <f t="shared" si="68"/>
        <v>19.661995574869984</v>
      </c>
      <c r="U215" s="6" t="e">
        <f t="shared" si="84"/>
        <v>#N/A</v>
      </c>
      <c r="V215" s="6">
        <f t="shared" si="69"/>
        <v>19.851650747283774</v>
      </c>
      <c r="W215" s="6">
        <f t="shared" si="70"/>
        <v>19.47234040245619</v>
      </c>
      <c r="X215" s="6" t="e">
        <f t="shared" si="85"/>
        <v>#N/A</v>
      </c>
      <c r="Y215" s="6" t="e">
        <f t="shared" si="86"/>
        <v>#N/A</v>
      </c>
      <c r="Z215" s="6" t="e">
        <f t="shared" si="86"/>
        <v>#N/A</v>
      </c>
      <c r="AA215" s="6" t="e">
        <f t="shared" si="86"/>
        <v>#N/A</v>
      </c>
      <c r="AB215" s="6" t="e">
        <f t="shared" si="86"/>
        <v>#N/A</v>
      </c>
      <c r="AC215" s="6" t="e">
        <f t="shared" si="86"/>
        <v>#N/A</v>
      </c>
      <c r="AG215">
        <f t="shared" si="71"/>
        <v>1.2400000000000234E-2</v>
      </c>
      <c r="AH215">
        <f t="shared" si="72"/>
        <v>0</v>
      </c>
      <c r="AI215">
        <f t="shared" si="73"/>
        <v>-0.76666666666666516</v>
      </c>
      <c r="AJ215">
        <f t="shared" si="74"/>
        <v>0.37931034482758424</v>
      </c>
      <c r="AK215">
        <f t="shared" si="75"/>
        <v>0.32999999999999957</v>
      </c>
      <c r="AL215">
        <f t="shared" si="76"/>
        <v>-1.3571428571428545</v>
      </c>
      <c r="AM215">
        <f t="shared" si="77"/>
        <v>0</v>
      </c>
      <c r="AN215">
        <f t="shared" si="78"/>
        <v>0.88206249999999997</v>
      </c>
      <c r="AO215">
        <f t="shared" si="79"/>
        <v>2.9238033828367289</v>
      </c>
      <c r="AQ215">
        <f t="shared" si="80"/>
        <v>19.851650747283774</v>
      </c>
      <c r="AR215">
        <f t="shared" si="81"/>
        <v>19.47234040245619</v>
      </c>
      <c r="AT215" t="str">
        <f t="shared" si="82"/>
        <v>45504A</v>
      </c>
    </row>
    <row r="216" spans="1:46" hidden="1" x14ac:dyDescent="0.3">
      <c r="A216" s="17">
        <v>45504</v>
      </c>
      <c r="B216" s="18" t="s">
        <v>19</v>
      </c>
      <c r="C216" s="6">
        <v>7.7985714285714289</v>
      </c>
      <c r="D216" s="6">
        <v>37.363636363636367</v>
      </c>
      <c r="E216" s="6">
        <v>25.835454545454549</v>
      </c>
      <c r="F216" s="6">
        <v>54.64</v>
      </c>
      <c r="G216" s="6">
        <v>3.7</v>
      </c>
      <c r="H216" s="6">
        <v>3.1</v>
      </c>
      <c r="I216" s="6">
        <v>148.81818181818181</v>
      </c>
      <c r="J216" s="6">
        <v>7.4568755599238159</v>
      </c>
      <c r="K216" s="6">
        <v>4.0707245247330048E-3</v>
      </c>
      <c r="L216" s="6">
        <v>3.0354886219664031E-2</v>
      </c>
      <c r="M216" s="6">
        <v>23.628761597844541</v>
      </c>
      <c r="N216" s="6">
        <v>2.585262666370092E-3</v>
      </c>
      <c r="O216" s="6">
        <v>5225</v>
      </c>
      <c r="P216" s="6">
        <v>81.323981382813514</v>
      </c>
      <c r="Q216" s="6">
        <v>19541.871999999999</v>
      </c>
      <c r="R216" s="6">
        <v>0</v>
      </c>
      <c r="S216" s="6">
        <v>25.886802818351619</v>
      </c>
      <c r="T216" s="6">
        <f t="shared" si="68"/>
        <v>21.990473559576248</v>
      </c>
      <c r="U216" s="6" t="e">
        <f t="shared" si="84"/>
        <v>#N/A</v>
      </c>
      <c r="V216" s="6">
        <f t="shared" si="69"/>
        <v>22.361163214748661</v>
      </c>
      <c r="W216" s="6">
        <f t="shared" si="70"/>
        <v>21.619783904403835</v>
      </c>
      <c r="X216" s="6" t="e">
        <f t="shared" si="85"/>
        <v>#N/A</v>
      </c>
      <c r="Y216" s="6" t="e">
        <f t="shared" si="86"/>
        <v>#N/A</v>
      </c>
      <c r="Z216" s="6" t="e">
        <f t="shared" si="86"/>
        <v>#N/A</v>
      </c>
      <c r="AA216" s="6" t="e">
        <f t="shared" si="86"/>
        <v>#N/A</v>
      </c>
      <c r="AB216" s="6" t="e">
        <f t="shared" si="86"/>
        <v>#N/A</v>
      </c>
      <c r="AC216" s="6" t="e">
        <f t="shared" si="86"/>
        <v>#N/A</v>
      </c>
      <c r="AG216">
        <f t="shared" si="71"/>
        <v>7.0285714285714285E-2</v>
      </c>
      <c r="AH216">
        <f t="shared" si="72"/>
        <v>0</v>
      </c>
      <c r="AI216">
        <f t="shared" si="73"/>
        <v>0.31212121212120952</v>
      </c>
      <c r="AJ216">
        <f t="shared" si="74"/>
        <v>0.74137931034482718</v>
      </c>
      <c r="AK216">
        <f t="shared" si="75"/>
        <v>0.32999999999999957</v>
      </c>
      <c r="AL216">
        <f t="shared" si="76"/>
        <v>-1.4999999999999991</v>
      </c>
      <c r="AM216">
        <f t="shared" si="77"/>
        <v>0</v>
      </c>
      <c r="AN216">
        <f t="shared" si="78"/>
        <v>-1.7676335000000003</v>
      </c>
      <c r="AO216">
        <f t="shared" si="79"/>
        <v>3.5462488801523691</v>
      </c>
      <c r="AQ216">
        <f t="shared" si="80"/>
        <v>22.361163214748661</v>
      </c>
      <c r="AR216">
        <f t="shared" si="81"/>
        <v>21.619783904403835</v>
      </c>
      <c r="AT216" t="str">
        <f t="shared" si="82"/>
        <v>45504B</v>
      </c>
    </row>
    <row r="217" spans="1:46" hidden="1" x14ac:dyDescent="0.3">
      <c r="A217" s="17">
        <v>45504</v>
      </c>
      <c r="B217" s="18" t="s">
        <v>20</v>
      </c>
      <c r="C217" s="6">
        <v>7.6483333333333334</v>
      </c>
      <c r="D217" s="6">
        <v>37</v>
      </c>
      <c r="E217" s="6">
        <v>25.542727272727269</v>
      </c>
      <c r="F217" s="6">
        <v>54.64</v>
      </c>
      <c r="G217" s="6">
        <v>3.42</v>
      </c>
      <c r="H217" s="6">
        <v>3.0436363636363639</v>
      </c>
      <c r="I217" s="6">
        <v>148.4545454545455</v>
      </c>
      <c r="J217" s="6">
        <v>8.0284543518048306</v>
      </c>
      <c r="K217" s="6">
        <v>2.5670351161201999E-3</v>
      </c>
      <c r="L217" s="6">
        <v>2.0609324249251042E-2</v>
      </c>
      <c r="M217" s="6">
        <v>26.640340421575569</v>
      </c>
      <c r="N217" s="6">
        <v>2.5867141322092569E-3</v>
      </c>
      <c r="O217" s="6">
        <v>5225</v>
      </c>
      <c r="P217" s="6">
        <v>81.370643717641187</v>
      </c>
      <c r="Q217" s="6">
        <v>12093.84</v>
      </c>
      <c r="R217" s="6">
        <v>0</v>
      </c>
      <c r="S217" s="6">
        <v>27.047678920013659</v>
      </c>
      <c r="T217" s="6">
        <f t="shared" si="68"/>
        <v>23.760059630714085</v>
      </c>
      <c r="U217" s="6" t="e">
        <f t="shared" si="84"/>
        <v>#N/A</v>
      </c>
      <c r="V217" s="6">
        <f t="shared" si="69"/>
        <v>24.130749285886498</v>
      </c>
      <c r="W217" s="6">
        <f t="shared" si="70"/>
        <v>23.389369975541673</v>
      </c>
      <c r="X217" s="6" t="e">
        <f t="shared" si="85"/>
        <v>#N/A</v>
      </c>
      <c r="Y217" s="6" t="e">
        <f t="shared" ref="Y217:AC226" si="87">VLOOKUP($AT217,hhh,3,0)</f>
        <v>#N/A</v>
      </c>
      <c r="Z217" s="6" t="e">
        <f t="shared" si="87"/>
        <v>#N/A</v>
      </c>
      <c r="AA217" s="6" t="e">
        <f t="shared" si="87"/>
        <v>#N/A</v>
      </c>
      <c r="AB217" s="6" t="e">
        <f t="shared" si="87"/>
        <v>#N/A</v>
      </c>
      <c r="AC217" s="6" t="e">
        <f t="shared" si="87"/>
        <v>#N/A</v>
      </c>
      <c r="AG217">
        <f t="shared" si="71"/>
        <v>0.10033333333333339</v>
      </c>
      <c r="AH217">
        <f t="shared" si="72"/>
        <v>0</v>
      </c>
      <c r="AI217">
        <f t="shared" si="73"/>
        <v>0.55606060606060959</v>
      </c>
      <c r="AJ217">
        <f t="shared" si="74"/>
        <v>0.74137931034482718</v>
      </c>
      <c r="AK217">
        <f t="shared" si="75"/>
        <v>1.1700000000000004</v>
      </c>
      <c r="AL217">
        <f t="shared" si="76"/>
        <v>-1.78181818181818</v>
      </c>
      <c r="AM217">
        <f t="shared" si="77"/>
        <v>0</v>
      </c>
      <c r="AN217">
        <f t="shared" si="78"/>
        <v>-2.6986375000000002</v>
      </c>
      <c r="AO217">
        <f t="shared" si="79"/>
        <v>2.4030912963903397</v>
      </c>
      <c r="AQ217">
        <f t="shared" si="80"/>
        <v>24.130749285886498</v>
      </c>
      <c r="AR217">
        <f t="shared" si="81"/>
        <v>23.389369975541673</v>
      </c>
      <c r="AT217" t="str">
        <f t="shared" si="82"/>
        <v>45504C</v>
      </c>
    </row>
    <row r="218" spans="1:46" hidden="1" x14ac:dyDescent="0.3">
      <c r="A218" s="17">
        <v>45504</v>
      </c>
      <c r="B218" s="18" t="s">
        <v>21</v>
      </c>
      <c r="C218" s="6">
        <v>7.6180000000000003</v>
      </c>
      <c r="D218" s="6">
        <v>37</v>
      </c>
      <c r="E218" s="6">
        <v>25.69</v>
      </c>
      <c r="F218" s="6">
        <v>54.64</v>
      </c>
      <c r="G218" s="6">
        <v>3.42</v>
      </c>
      <c r="H218" s="6">
        <v>2.996</v>
      </c>
      <c r="I218" s="6">
        <v>147.80000000000001</v>
      </c>
      <c r="J218" s="6">
        <v>8.5272714912216969</v>
      </c>
      <c r="K218" s="6">
        <v>2.249970184067676E-3</v>
      </c>
      <c r="L218" s="6">
        <v>1.918610660669913E-2</v>
      </c>
      <c r="M218" s="6">
        <v>27.04766612213108</v>
      </c>
      <c r="N218" s="6">
        <v>2.5869177282416599E-3</v>
      </c>
      <c r="O218" s="6">
        <v>5225</v>
      </c>
      <c r="P218" s="6">
        <v>81.376954964046007</v>
      </c>
      <c r="Q218" s="6">
        <v>10445.21818181818</v>
      </c>
      <c r="R218" s="6">
        <v>0</v>
      </c>
      <c r="S218" s="6">
        <v>27.04768226029762</v>
      </c>
      <c r="T218" s="6">
        <f t="shared" si="68"/>
        <v>22.608830900920708</v>
      </c>
      <c r="U218" s="6" t="e">
        <f t="shared" si="84"/>
        <v>#N/A</v>
      </c>
      <c r="V218" s="6">
        <f t="shared" si="69"/>
        <v>22.979520556093121</v>
      </c>
      <c r="W218" s="6">
        <f t="shared" si="70"/>
        <v>22.238141245748295</v>
      </c>
      <c r="X218" s="6" t="e">
        <f t="shared" si="85"/>
        <v>#N/A</v>
      </c>
      <c r="Y218" s="6" t="e">
        <f t="shared" si="87"/>
        <v>#N/A</v>
      </c>
      <c r="Z218" s="6" t="e">
        <f t="shared" si="87"/>
        <v>#N/A</v>
      </c>
      <c r="AA218" s="6" t="e">
        <f t="shared" si="87"/>
        <v>#N/A</v>
      </c>
      <c r="AB218" s="6" t="e">
        <f t="shared" si="87"/>
        <v>#N/A</v>
      </c>
      <c r="AC218" s="6" t="e">
        <f t="shared" si="87"/>
        <v>#N/A</v>
      </c>
      <c r="AG218">
        <f t="shared" si="71"/>
        <v>0.10640000000000001</v>
      </c>
      <c r="AH218">
        <f t="shared" si="72"/>
        <v>0</v>
      </c>
      <c r="AI218">
        <f t="shared" si="73"/>
        <v>0.43333333333333302</v>
      </c>
      <c r="AJ218">
        <f t="shared" si="74"/>
        <v>0.74137931034482718</v>
      </c>
      <c r="AK218">
        <f t="shared" si="75"/>
        <v>1.1700000000000004</v>
      </c>
      <c r="AL218">
        <f t="shared" si="76"/>
        <v>-2.0199999999999996</v>
      </c>
      <c r="AM218">
        <f t="shared" si="77"/>
        <v>0</v>
      </c>
      <c r="AN218">
        <f t="shared" si="78"/>
        <v>-2.9047152272727281</v>
      </c>
      <c r="AO218">
        <f t="shared" si="79"/>
        <v>1.405457017556607</v>
      </c>
      <c r="AQ218">
        <f t="shared" si="80"/>
        <v>22.979520556093121</v>
      </c>
      <c r="AR218">
        <f t="shared" si="81"/>
        <v>22.238141245748295</v>
      </c>
      <c r="AT218" t="str">
        <f t="shared" si="82"/>
        <v>45504D</v>
      </c>
    </row>
    <row r="219" spans="1:46" hidden="1" x14ac:dyDescent="0.3">
      <c r="A219" s="17">
        <v>45505</v>
      </c>
      <c r="B219" s="18" t="s">
        <v>22</v>
      </c>
      <c r="C219" s="6">
        <v>7.77</v>
      </c>
      <c r="D219" s="6">
        <v>37.875</v>
      </c>
      <c r="E219" s="6">
        <v>26.46</v>
      </c>
      <c r="F219" s="6">
        <v>54.64</v>
      </c>
      <c r="G219" s="6">
        <v>3.29</v>
      </c>
      <c r="H219" s="6">
        <v>3.05</v>
      </c>
      <c r="I219" s="6">
        <v>147.375</v>
      </c>
      <c r="J219" s="6">
        <v>8.1901962629649248</v>
      </c>
      <c r="K219" s="6">
        <v>4.9121042067159816E-3</v>
      </c>
      <c r="L219" s="6">
        <v>4.0231097517139512E-2</v>
      </c>
      <c r="M219" s="6">
        <v>26.55786212835978</v>
      </c>
      <c r="N219" s="6">
        <v>2.5866723735886651E-3</v>
      </c>
      <c r="O219" s="6">
        <v>5225</v>
      </c>
      <c r="P219" s="6">
        <v>81.369365768751763</v>
      </c>
      <c r="Q219" s="6">
        <v>18467.16</v>
      </c>
      <c r="R219" s="6">
        <v>0</v>
      </c>
      <c r="S219" s="6">
        <v>27.04768094834942</v>
      </c>
      <c r="T219" s="6">
        <f t="shared" si="68"/>
        <v>23.783853424269012</v>
      </c>
      <c r="U219" s="6" t="e">
        <f t="shared" si="84"/>
        <v>#N/A</v>
      </c>
      <c r="V219" s="6">
        <f t="shared" si="69"/>
        <v>24.154543079441424</v>
      </c>
      <c r="W219" s="6">
        <f t="shared" si="70"/>
        <v>23.413163769096599</v>
      </c>
      <c r="X219" s="6" t="e">
        <f t="shared" si="85"/>
        <v>#N/A</v>
      </c>
      <c r="Y219" s="6" t="e">
        <f t="shared" si="87"/>
        <v>#N/A</v>
      </c>
      <c r="Z219" s="6" t="e">
        <f t="shared" si="87"/>
        <v>#N/A</v>
      </c>
      <c r="AA219" s="6" t="e">
        <f t="shared" si="87"/>
        <v>#N/A</v>
      </c>
      <c r="AB219" s="6" t="e">
        <f t="shared" si="87"/>
        <v>#N/A</v>
      </c>
      <c r="AC219" s="6" t="e">
        <f t="shared" si="87"/>
        <v>#N/A</v>
      </c>
      <c r="AG219">
        <f t="shared" si="71"/>
        <v>7.6000000000000165E-2</v>
      </c>
      <c r="AH219">
        <f t="shared" si="72"/>
        <v>0</v>
      </c>
      <c r="AI219">
        <f t="shared" si="73"/>
        <v>-0.20833333333333334</v>
      </c>
      <c r="AJ219">
        <f t="shared" si="74"/>
        <v>0.74137931034482718</v>
      </c>
      <c r="AK219">
        <f t="shared" si="75"/>
        <v>1.5599999999999998</v>
      </c>
      <c r="AL219">
        <f t="shared" si="76"/>
        <v>-1.7500000000000004</v>
      </c>
      <c r="AM219">
        <f t="shared" si="77"/>
        <v>0</v>
      </c>
      <c r="AN219">
        <f t="shared" si="78"/>
        <v>-1.9019725000000003</v>
      </c>
      <c r="AO219">
        <f t="shared" si="79"/>
        <v>2.0796074740701513</v>
      </c>
      <c r="AQ219">
        <f t="shared" si="80"/>
        <v>24.154543079441424</v>
      </c>
      <c r="AR219">
        <f t="shared" si="81"/>
        <v>23.413163769096599</v>
      </c>
      <c r="AT219" t="str">
        <f t="shared" si="82"/>
        <v>45505A</v>
      </c>
    </row>
    <row r="220" spans="1:46" hidden="1" x14ac:dyDescent="0.3">
      <c r="A220" s="17">
        <v>45505</v>
      </c>
      <c r="B220" s="18" t="s">
        <v>19</v>
      </c>
      <c r="C220" s="6">
        <v>7.9950000000000001</v>
      </c>
      <c r="D220" s="6">
        <v>38.625</v>
      </c>
      <c r="E220" s="6">
        <v>26.59375</v>
      </c>
      <c r="F220" s="6">
        <v>55.06</v>
      </c>
      <c r="G220" s="6">
        <v>3.49</v>
      </c>
      <c r="H220" s="6">
        <v>3.2650000000000001</v>
      </c>
      <c r="I220" s="6">
        <v>145.375</v>
      </c>
      <c r="J220" s="6">
        <v>8.0374677170304736</v>
      </c>
      <c r="K220" s="6">
        <v>6.8637721574643651E-3</v>
      </c>
      <c r="L220" s="6">
        <v>5.5167347132672427E-2</v>
      </c>
      <c r="M220" s="6">
        <v>20.92429883492952</v>
      </c>
      <c r="N220" s="6">
        <v>2.5839514283628991E-3</v>
      </c>
      <c r="O220" s="6">
        <v>5225</v>
      </c>
      <c r="P220" s="6">
        <v>81.282077555308476</v>
      </c>
      <c r="Q220" s="6">
        <v>25548.639999999999</v>
      </c>
      <c r="R220" s="6">
        <v>0</v>
      </c>
      <c r="S220" s="6">
        <v>22.624774284535139</v>
      </c>
      <c r="T220" s="6">
        <f t="shared" si="68"/>
        <v>19.297404923857076</v>
      </c>
      <c r="U220" s="6" t="e">
        <f t="shared" si="84"/>
        <v>#N/A</v>
      </c>
      <c r="V220" s="6">
        <f t="shared" si="69"/>
        <v>19.306025613512247</v>
      </c>
      <c r="W220" s="6">
        <f t="shared" si="70"/>
        <v>19.288784234201906</v>
      </c>
      <c r="X220" s="6" t="e">
        <f t="shared" si="85"/>
        <v>#N/A</v>
      </c>
      <c r="Y220" s="6" t="e">
        <f t="shared" si="87"/>
        <v>#N/A</v>
      </c>
      <c r="Z220" s="6" t="e">
        <f t="shared" si="87"/>
        <v>#N/A</v>
      </c>
      <c r="AA220" s="6" t="e">
        <f t="shared" si="87"/>
        <v>#N/A</v>
      </c>
      <c r="AB220" s="6" t="e">
        <f t="shared" si="87"/>
        <v>#N/A</v>
      </c>
      <c r="AC220" s="6" t="e">
        <f t="shared" si="87"/>
        <v>#N/A</v>
      </c>
      <c r="AG220">
        <f t="shared" si="71"/>
        <v>3.1000000000000052E-2</v>
      </c>
      <c r="AH220">
        <f t="shared" si="72"/>
        <v>0</v>
      </c>
      <c r="AI220">
        <f t="shared" si="73"/>
        <v>-0.31979166666666597</v>
      </c>
      <c r="AJ220">
        <f t="shared" si="74"/>
        <v>1.72413793103414E-2</v>
      </c>
      <c r="AK220">
        <f t="shared" si="75"/>
        <v>0.95999999999999941</v>
      </c>
      <c r="AL220">
        <f t="shared" si="76"/>
        <v>-0.67499999999999893</v>
      </c>
      <c r="AM220">
        <f t="shared" si="77"/>
        <v>0</v>
      </c>
      <c r="AN220">
        <f t="shared" si="78"/>
        <v>-1.0167875000000004</v>
      </c>
      <c r="AO220">
        <f t="shared" si="79"/>
        <v>2.3850645659390537</v>
      </c>
      <c r="AQ220">
        <f t="shared" si="80"/>
        <v>19.306025613512247</v>
      </c>
      <c r="AR220">
        <f t="shared" si="81"/>
        <v>19.288784234201906</v>
      </c>
      <c r="AT220" t="str">
        <f t="shared" si="82"/>
        <v>45505B</v>
      </c>
    </row>
    <row r="221" spans="1:46" hidden="1" x14ac:dyDescent="0.3">
      <c r="A221" s="17">
        <v>45505</v>
      </c>
      <c r="B221" s="18" t="s">
        <v>20</v>
      </c>
      <c r="C221" s="6">
        <v>7.8940000000000001</v>
      </c>
      <c r="D221" s="6">
        <v>38</v>
      </c>
      <c r="E221" s="6">
        <v>26.63</v>
      </c>
      <c r="F221" s="6">
        <v>55.06</v>
      </c>
      <c r="G221" s="6">
        <v>3.49</v>
      </c>
      <c r="H221" s="6">
        <v>3.2160000000000002</v>
      </c>
      <c r="I221" s="6">
        <v>147.1</v>
      </c>
      <c r="J221" s="6">
        <v>7.7649113648460704</v>
      </c>
      <c r="K221" s="6">
        <v>3.374608203746399E-3</v>
      </c>
      <c r="L221" s="6">
        <v>2.6203533593173199E-2</v>
      </c>
      <c r="M221" s="6">
        <v>22.331920221227229</v>
      </c>
      <c r="N221" s="6">
        <v>2.5846152601156909E-3</v>
      </c>
      <c r="O221" s="6">
        <v>5225</v>
      </c>
      <c r="P221" s="6">
        <v>81.303887653362921</v>
      </c>
      <c r="Q221" s="6">
        <v>15261.2</v>
      </c>
      <c r="R221" s="6">
        <v>0</v>
      </c>
      <c r="S221" s="6">
        <v>23.613409863911631</v>
      </c>
      <c r="T221" s="6">
        <f t="shared" si="68"/>
        <v>19.709200681190261</v>
      </c>
      <c r="U221" s="6" t="e">
        <f t="shared" si="84"/>
        <v>#N/A</v>
      </c>
      <c r="V221" s="6">
        <f t="shared" si="69"/>
        <v>19.717821370845432</v>
      </c>
      <c r="W221" s="6">
        <f t="shared" si="70"/>
        <v>19.70057999153509</v>
      </c>
      <c r="X221" s="6" t="e">
        <f t="shared" si="85"/>
        <v>#N/A</v>
      </c>
      <c r="Y221" s="6" t="e">
        <f t="shared" si="87"/>
        <v>#N/A</v>
      </c>
      <c r="Z221" s="6" t="e">
        <f t="shared" si="87"/>
        <v>#N/A</v>
      </c>
      <c r="AA221" s="6" t="e">
        <f t="shared" si="87"/>
        <v>#N/A</v>
      </c>
      <c r="AB221" s="6" t="e">
        <f t="shared" si="87"/>
        <v>#N/A</v>
      </c>
      <c r="AC221" s="6" t="e">
        <f t="shared" si="87"/>
        <v>#N/A</v>
      </c>
      <c r="AG221">
        <f t="shared" si="71"/>
        <v>5.1200000000000051E-2</v>
      </c>
      <c r="AH221">
        <f t="shared" si="72"/>
        <v>0</v>
      </c>
      <c r="AI221">
        <f t="shared" si="73"/>
        <v>-0.34999999999999848</v>
      </c>
      <c r="AJ221">
        <f t="shared" si="74"/>
        <v>1.72413793103414E-2</v>
      </c>
      <c r="AK221">
        <f t="shared" si="75"/>
        <v>0.95999999999999941</v>
      </c>
      <c r="AL221">
        <f t="shared" si="76"/>
        <v>-0.9199999999999986</v>
      </c>
      <c r="AM221">
        <f t="shared" si="77"/>
        <v>0</v>
      </c>
      <c r="AN221">
        <f t="shared" si="78"/>
        <v>-2.3027175000000004</v>
      </c>
      <c r="AO221">
        <f t="shared" si="79"/>
        <v>2.9301772703078601</v>
      </c>
      <c r="AQ221">
        <f t="shared" si="80"/>
        <v>19.717821370845432</v>
      </c>
      <c r="AR221">
        <f t="shared" si="81"/>
        <v>19.70057999153509</v>
      </c>
      <c r="AT221" t="str">
        <f t="shared" si="82"/>
        <v>45505C</v>
      </c>
    </row>
    <row r="222" spans="1:46" hidden="1" x14ac:dyDescent="0.3">
      <c r="A222" s="17">
        <v>45505</v>
      </c>
      <c r="B222" s="18" t="s">
        <v>21</v>
      </c>
      <c r="C222" s="6">
        <v>7.835</v>
      </c>
      <c r="D222" s="6">
        <v>37.799999999999997</v>
      </c>
      <c r="E222" s="6">
        <v>26.67</v>
      </c>
      <c r="F222" s="6">
        <v>55.06</v>
      </c>
      <c r="G222" s="6">
        <v>3.49</v>
      </c>
      <c r="H222" s="6">
        <v>3.2040000000000002</v>
      </c>
      <c r="I222" s="6">
        <v>146.80000000000001</v>
      </c>
      <c r="J222" s="6">
        <v>7.8094225993588378</v>
      </c>
      <c r="K222" s="6">
        <v>3.8551774910034289E-3</v>
      </c>
      <c r="L222" s="6">
        <v>3.010671022278168E-2</v>
      </c>
      <c r="M222" s="6">
        <v>23.10840508828878</v>
      </c>
      <c r="N222" s="6">
        <v>2.5849935828337551E-3</v>
      </c>
      <c r="O222" s="6">
        <v>5225</v>
      </c>
      <c r="P222" s="6">
        <v>81.315918766624534</v>
      </c>
      <c r="Q222" s="6">
        <v>18168.896653061231</v>
      </c>
      <c r="R222" s="6">
        <v>0</v>
      </c>
      <c r="S222" s="6">
        <v>24.463320101072561</v>
      </c>
      <c r="T222" s="6">
        <f t="shared" si="68"/>
        <v>20.678591827525597</v>
      </c>
      <c r="U222" s="6" t="e">
        <f t="shared" si="84"/>
        <v>#N/A</v>
      </c>
      <c r="V222" s="6">
        <f t="shared" si="69"/>
        <v>20.687212517180768</v>
      </c>
      <c r="W222" s="6">
        <f t="shared" si="70"/>
        <v>20.669971137870427</v>
      </c>
      <c r="X222" s="6" t="e">
        <f t="shared" si="85"/>
        <v>#N/A</v>
      </c>
      <c r="Y222" s="6" t="e">
        <f t="shared" si="87"/>
        <v>#N/A</v>
      </c>
      <c r="Z222" s="6" t="e">
        <f t="shared" si="87"/>
        <v>#N/A</v>
      </c>
      <c r="AA222" s="6" t="e">
        <f t="shared" si="87"/>
        <v>#N/A</v>
      </c>
      <c r="AB222" s="6" t="e">
        <f t="shared" si="87"/>
        <v>#N/A</v>
      </c>
      <c r="AC222" s="6" t="e">
        <f t="shared" si="87"/>
        <v>#N/A</v>
      </c>
      <c r="AG222">
        <f t="shared" si="71"/>
        <v>6.3000000000000084E-2</v>
      </c>
      <c r="AH222">
        <f t="shared" si="72"/>
        <v>0</v>
      </c>
      <c r="AI222">
        <f t="shared" si="73"/>
        <v>-0.38333333333333408</v>
      </c>
      <c r="AJ222">
        <f t="shared" si="74"/>
        <v>1.72413793103414E-2</v>
      </c>
      <c r="AK222">
        <f t="shared" si="75"/>
        <v>0.95999999999999941</v>
      </c>
      <c r="AL222">
        <f t="shared" si="76"/>
        <v>-0.97999999999999876</v>
      </c>
      <c r="AM222">
        <f t="shared" si="77"/>
        <v>0</v>
      </c>
      <c r="AN222">
        <f t="shared" si="78"/>
        <v>-1.9392554183673465</v>
      </c>
      <c r="AO222">
        <f t="shared" si="79"/>
        <v>2.8411548012823253</v>
      </c>
      <c r="AQ222">
        <f t="shared" si="80"/>
        <v>20.687212517180768</v>
      </c>
      <c r="AR222">
        <f t="shared" si="81"/>
        <v>20.669971137870427</v>
      </c>
      <c r="AT222" t="str">
        <f t="shared" si="82"/>
        <v>45505D</v>
      </c>
    </row>
    <row r="223" spans="1:46" hidden="1" x14ac:dyDescent="0.3">
      <c r="A223" s="17">
        <v>45506</v>
      </c>
      <c r="B223" s="18" t="s">
        <v>22</v>
      </c>
      <c r="C223" s="6">
        <v>8.01</v>
      </c>
      <c r="D223" s="6">
        <v>38.200000000000003</v>
      </c>
      <c r="E223" s="6">
        <v>26.492000000000001</v>
      </c>
      <c r="F223" s="6">
        <v>55.06</v>
      </c>
      <c r="G223" s="6">
        <v>3.58</v>
      </c>
      <c r="H223" s="6">
        <v>3.2120000000000002</v>
      </c>
      <c r="I223" s="6">
        <v>147.80000000000001</v>
      </c>
      <c r="J223" s="6">
        <v>8.7923483297605696</v>
      </c>
      <c r="K223" s="6">
        <v>6.3627870061189794E-3</v>
      </c>
      <c r="L223" s="6">
        <v>5.5943839705872453E-2</v>
      </c>
      <c r="M223" s="6">
        <v>21.088204824763569</v>
      </c>
      <c r="N223" s="6">
        <v>2.5840453949150552E-3</v>
      </c>
      <c r="O223" s="6">
        <v>5225</v>
      </c>
      <c r="P223" s="6">
        <v>81.284617223630178</v>
      </c>
      <c r="Q223" s="6">
        <v>20870.8</v>
      </c>
      <c r="R223" s="6">
        <v>0</v>
      </c>
      <c r="S223" s="6">
        <v>22.198799378501459</v>
      </c>
      <c r="T223" s="6">
        <f t="shared" si="68"/>
        <v>16.913611354897601</v>
      </c>
      <c r="U223" s="6" t="e">
        <f t="shared" si="84"/>
        <v>#N/A</v>
      </c>
      <c r="V223" s="6">
        <f t="shared" si="69"/>
        <v>16.922232044552771</v>
      </c>
      <c r="W223" s="6">
        <f t="shared" si="70"/>
        <v>16.90499066524243</v>
      </c>
      <c r="X223" s="6" t="e">
        <f t="shared" si="85"/>
        <v>#N/A</v>
      </c>
      <c r="Y223" s="6" t="e">
        <f t="shared" si="87"/>
        <v>#N/A</v>
      </c>
      <c r="Z223" s="6" t="e">
        <f t="shared" si="87"/>
        <v>#N/A</v>
      </c>
      <c r="AA223" s="6" t="e">
        <f t="shared" si="87"/>
        <v>#N/A</v>
      </c>
      <c r="AB223" s="6" t="e">
        <f t="shared" si="87"/>
        <v>#N/A</v>
      </c>
      <c r="AC223" s="6" t="e">
        <f t="shared" si="87"/>
        <v>#N/A</v>
      </c>
      <c r="AG223">
        <f t="shared" si="71"/>
        <v>2.8000000000000115E-2</v>
      </c>
      <c r="AH223">
        <f t="shared" si="72"/>
        <v>0</v>
      </c>
      <c r="AI223">
        <f t="shared" si="73"/>
        <v>-0.23500000000000004</v>
      </c>
      <c r="AJ223">
        <f t="shared" si="74"/>
        <v>1.72413793103414E-2</v>
      </c>
      <c r="AK223">
        <f t="shared" si="75"/>
        <v>0.68999999999999984</v>
      </c>
      <c r="AL223">
        <f t="shared" si="76"/>
        <v>-0.93999999999999861</v>
      </c>
      <c r="AM223">
        <f t="shared" si="77"/>
        <v>0</v>
      </c>
      <c r="AN223">
        <f t="shared" si="78"/>
        <v>-1.6015175000000004</v>
      </c>
      <c r="AO223">
        <f t="shared" si="79"/>
        <v>0.87530334047886171</v>
      </c>
      <c r="AQ223">
        <f t="shared" si="80"/>
        <v>16.922232044552771</v>
      </c>
      <c r="AR223">
        <f t="shared" si="81"/>
        <v>16.90499066524243</v>
      </c>
      <c r="AT223" t="str">
        <f t="shared" si="82"/>
        <v>45506A</v>
      </c>
    </row>
    <row r="224" spans="1:46" hidden="1" x14ac:dyDescent="0.3">
      <c r="A224" s="17">
        <v>45506</v>
      </c>
      <c r="B224" s="18" t="s">
        <v>19</v>
      </c>
      <c r="C224" s="6">
        <v>8.0033333333333321</v>
      </c>
      <c r="D224" s="6">
        <v>38.5</v>
      </c>
      <c r="E224" s="6">
        <v>26.625</v>
      </c>
      <c r="F224" s="6">
        <v>55.06</v>
      </c>
      <c r="G224" s="6">
        <v>3.58</v>
      </c>
      <c r="H224" s="6">
        <v>3.37</v>
      </c>
      <c r="I224" s="6">
        <v>145.66666666666671</v>
      </c>
      <c r="J224" s="6">
        <v>9.7919743023267607</v>
      </c>
      <c r="K224" s="6">
        <v>4.4032358860130634E-3</v>
      </c>
      <c r="L224" s="6">
        <v>4.3116372642922923E-2</v>
      </c>
      <c r="M224" s="6">
        <v>16.707351346939848</v>
      </c>
      <c r="N224" s="6">
        <v>2.5820653032305151E-3</v>
      </c>
      <c r="O224" s="6">
        <v>5225</v>
      </c>
      <c r="P224" s="6">
        <v>81.216742722674411</v>
      </c>
      <c r="Q224" s="6">
        <v>17224.96</v>
      </c>
      <c r="R224" s="6">
        <v>0</v>
      </c>
      <c r="S224" s="6">
        <v>18.33424421870706</v>
      </c>
      <c r="T224" s="6">
        <f t="shared" si="68"/>
        <v>10.758275931941501</v>
      </c>
      <c r="U224" s="6" t="e">
        <f t="shared" si="84"/>
        <v>#N/A</v>
      </c>
      <c r="V224" s="6">
        <f t="shared" si="69"/>
        <v>10.766896621596672</v>
      </c>
      <c r="W224" s="6">
        <f t="shared" si="70"/>
        <v>10.74965524228633</v>
      </c>
      <c r="X224" s="6" t="e">
        <f t="shared" si="85"/>
        <v>#N/A</v>
      </c>
      <c r="Y224" s="6" t="e">
        <f t="shared" si="87"/>
        <v>#N/A</v>
      </c>
      <c r="Z224" s="6" t="e">
        <f t="shared" si="87"/>
        <v>#N/A</v>
      </c>
      <c r="AA224" s="6" t="e">
        <f t="shared" si="87"/>
        <v>#N/A</v>
      </c>
      <c r="AB224" s="6" t="e">
        <f t="shared" si="87"/>
        <v>#N/A</v>
      </c>
      <c r="AC224" s="6" t="e">
        <f t="shared" si="87"/>
        <v>#N/A</v>
      </c>
      <c r="AG224">
        <f t="shared" si="71"/>
        <v>2.9333333333333655E-2</v>
      </c>
      <c r="AH224">
        <f t="shared" si="72"/>
        <v>0</v>
      </c>
      <c r="AI224">
        <f t="shared" si="73"/>
        <v>-0.34583333333333266</v>
      </c>
      <c r="AJ224">
        <f t="shared" si="74"/>
        <v>1.72413793103414E-2</v>
      </c>
      <c r="AK224">
        <f t="shared" si="75"/>
        <v>0.68999999999999984</v>
      </c>
      <c r="AL224">
        <f t="shared" si="76"/>
        <v>-0.14999999999999902</v>
      </c>
      <c r="AM224">
        <f t="shared" si="77"/>
        <v>0</v>
      </c>
      <c r="AN224">
        <f t="shared" si="78"/>
        <v>-2.0572475000000003</v>
      </c>
      <c r="AO224">
        <f t="shared" si="79"/>
        <v>-1.1239486046535205</v>
      </c>
      <c r="AQ224">
        <f t="shared" si="80"/>
        <v>10.766896621596672</v>
      </c>
      <c r="AR224">
        <f t="shared" si="81"/>
        <v>10.74965524228633</v>
      </c>
      <c r="AT224" t="str">
        <f t="shared" si="82"/>
        <v>45506B</v>
      </c>
    </row>
    <row r="225" spans="1:46" hidden="1" x14ac:dyDescent="0.3">
      <c r="A225" s="17">
        <v>45506</v>
      </c>
      <c r="B225" s="18" t="s">
        <v>20</v>
      </c>
      <c r="C225" s="6">
        <v>8.0033333333333321</v>
      </c>
      <c r="D225" s="6">
        <v>38.142857142857153</v>
      </c>
      <c r="E225" s="6">
        <v>27.4</v>
      </c>
      <c r="F225" s="6">
        <v>55.06</v>
      </c>
      <c r="G225" s="6">
        <v>3.58</v>
      </c>
      <c r="H225" s="6">
        <v>3.3755555555555561</v>
      </c>
      <c r="I225" s="6">
        <v>146</v>
      </c>
      <c r="J225" s="6">
        <v>10.17736656245037</v>
      </c>
      <c r="K225" s="6">
        <v>4.0117595689878301E-3</v>
      </c>
      <c r="L225" s="6">
        <v>4.0829147694007063E-2</v>
      </c>
      <c r="M225" s="6">
        <v>16.098171771831609</v>
      </c>
      <c r="N225" s="6">
        <v>2.5819313445783129E-3</v>
      </c>
      <c r="O225" s="6">
        <v>5225</v>
      </c>
      <c r="P225" s="6">
        <v>81.207305173490596</v>
      </c>
      <c r="Q225" s="6">
        <v>17224.96</v>
      </c>
      <c r="R225" s="6">
        <v>0</v>
      </c>
      <c r="S225" s="6">
        <v>17.643732076208138</v>
      </c>
      <c r="T225" s="6">
        <f t="shared" si="68"/>
        <v>8.7602562810304896</v>
      </c>
      <c r="U225" s="6" t="e">
        <f t="shared" si="84"/>
        <v>#N/A</v>
      </c>
      <c r="V225" s="6">
        <f t="shared" si="69"/>
        <v>8.7688769706856604</v>
      </c>
      <c r="W225" s="6">
        <f t="shared" si="70"/>
        <v>8.7516355913753188</v>
      </c>
      <c r="X225" s="6" t="e">
        <f t="shared" si="85"/>
        <v>#N/A</v>
      </c>
      <c r="Y225" s="6" t="e">
        <f t="shared" si="87"/>
        <v>#N/A</v>
      </c>
      <c r="Z225" s="6" t="e">
        <f t="shared" si="87"/>
        <v>#N/A</v>
      </c>
      <c r="AA225" s="6" t="e">
        <f t="shared" si="87"/>
        <v>#N/A</v>
      </c>
      <c r="AB225" s="6" t="e">
        <f t="shared" si="87"/>
        <v>#N/A</v>
      </c>
      <c r="AC225" s="6" t="e">
        <f t="shared" si="87"/>
        <v>#N/A</v>
      </c>
      <c r="AG225">
        <f t="shared" si="71"/>
        <v>2.9333333333333655E-2</v>
      </c>
      <c r="AH225">
        <f t="shared" si="72"/>
        <v>0</v>
      </c>
      <c r="AI225">
        <f t="shared" si="73"/>
        <v>-0.99166666666666481</v>
      </c>
      <c r="AJ225">
        <f t="shared" si="74"/>
        <v>1.72413793103414E-2</v>
      </c>
      <c r="AK225">
        <f t="shared" si="75"/>
        <v>0.68999999999999984</v>
      </c>
      <c r="AL225">
        <f t="shared" si="76"/>
        <v>-0.12222222222221914</v>
      </c>
      <c r="AM225">
        <f t="shared" si="77"/>
        <v>0</v>
      </c>
      <c r="AN225">
        <f t="shared" si="78"/>
        <v>-2.0572475000000003</v>
      </c>
      <c r="AO225">
        <f t="shared" si="79"/>
        <v>-1.8947331249007391</v>
      </c>
      <c r="AQ225">
        <f t="shared" si="80"/>
        <v>8.7688769706856604</v>
      </c>
      <c r="AR225">
        <f t="shared" si="81"/>
        <v>8.7516355913753188</v>
      </c>
      <c r="AT225" t="str">
        <f t="shared" si="82"/>
        <v>45506C</v>
      </c>
    </row>
    <row r="226" spans="1:46" hidden="1" x14ac:dyDescent="0.3">
      <c r="A226" s="17">
        <v>45506</v>
      </c>
      <c r="B226" s="18" t="s">
        <v>21</v>
      </c>
      <c r="C226" s="6">
        <v>8.0525000000000002</v>
      </c>
      <c r="D226" s="6">
        <v>38</v>
      </c>
      <c r="E226" s="6">
        <v>27.787500000000001</v>
      </c>
      <c r="F226" s="6">
        <v>55.06</v>
      </c>
      <c r="G226" s="6">
        <v>3.58</v>
      </c>
      <c r="H226" s="6">
        <v>3.37</v>
      </c>
      <c r="I226" s="6">
        <v>146.6</v>
      </c>
      <c r="J226" s="6">
        <v>9.6576658202621051</v>
      </c>
      <c r="K226" s="6">
        <v>0</v>
      </c>
      <c r="L226" s="6">
        <v>0</v>
      </c>
      <c r="M226" s="6">
        <v>14.98337508599659</v>
      </c>
      <c r="N226" s="6">
        <v>2.5828627244249809E-3</v>
      </c>
      <c r="O226" s="6">
        <v>5225</v>
      </c>
      <c r="P226" s="6">
        <v>81.190038693292564</v>
      </c>
      <c r="Q226" s="6">
        <v>0</v>
      </c>
      <c r="R226" s="6">
        <v>0</v>
      </c>
      <c r="S226" s="6">
        <v>16.382628580668481</v>
      </c>
      <c r="T226" s="6">
        <f t="shared" si="68"/>
        <v>6.1712133017942179</v>
      </c>
      <c r="U226" s="6" t="e">
        <f t="shared" si="84"/>
        <v>#N/A</v>
      </c>
      <c r="V226" s="6">
        <f t="shared" si="69"/>
        <v>6.1798339914493887</v>
      </c>
      <c r="W226" s="6">
        <f t="shared" si="70"/>
        <v>6.1625926121390471</v>
      </c>
      <c r="X226" s="6" t="e">
        <f t="shared" si="85"/>
        <v>#N/A</v>
      </c>
      <c r="Y226" s="6" t="e">
        <f t="shared" si="87"/>
        <v>#N/A</v>
      </c>
      <c r="Z226" s="6" t="e">
        <f t="shared" si="87"/>
        <v>#N/A</v>
      </c>
      <c r="AA226" s="6" t="e">
        <f t="shared" si="87"/>
        <v>#N/A</v>
      </c>
      <c r="AB226" s="6" t="e">
        <f t="shared" si="87"/>
        <v>#N/A</v>
      </c>
      <c r="AC226" s="6" t="e">
        <f t="shared" si="87"/>
        <v>#N/A</v>
      </c>
      <c r="AG226">
        <f t="shared" si="71"/>
        <v>1.9500000000000031E-2</v>
      </c>
      <c r="AH226">
        <f t="shared" si="72"/>
        <v>0</v>
      </c>
      <c r="AI226">
        <f t="shared" si="73"/>
        <v>-1.3145833333333339</v>
      </c>
      <c r="AJ226">
        <f t="shared" si="74"/>
        <v>1.72413793103414E-2</v>
      </c>
      <c r="AK226">
        <f t="shared" si="75"/>
        <v>0.68999999999999984</v>
      </c>
      <c r="AL226">
        <f t="shared" si="76"/>
        <v>-0.14999999999999902</v>
      </c>
      <c r="AM226">
        <f t="shared" si="77"/>
        <v>0</v>
      </c>
      <c r="AN226">
        <f t="shared" si="78"/>
        <v>-4.2103675000000003</v>
      </c>
      <c r="AO226">
        <f t="shared" si="79"/>
        <v>-0.85533164052420929</v>
      </c>
      <c r="AQ226">
        <f t="shared" si="80"/>
        <v>6.1798339914493887</v>
      </c>
      <c r="AR226">
        <f t="shared" si="81"/>
        <v>6.1625926121390471</v>
      </c>
      <c r="AT226" t="str">
        <f t="shared" si="82"/>
        <v>45506D</v>
      </c>
    </row>
    <row r="227" spans="1:46" hidden="1" x14ac:dyDescent="0.3">
      <c r="A227" s="17">
        <v>45509</v>
      </c>
      <c r="B227" s="18" t="s">
        <v>19</v>
      </c>
      <c r="C227" s="6">
        <v>8.2999999999999989</v>
      </c>
      <c r="D227" s="6">
        <v>38.5</v>
      </c>
      <c r="E227" s="6">
        <v>27.333333333333329</v>
      </c>
      <c r="F227" s="6">
        <v>54.67</v>
      </c>
      <c r="G227" s="6">
        <v>3.56</v>
      </c>
      <c r="H227" s="6">
        <v>3.4933333333333341</v>
      </c>
      <c r="I227" s="6">
        <v>152.5</v>
      </c>
      <c r="J227" s="6">
        <v>8.7139866683870828</v>
      </c>
      <c r="K227" s="6">
        <v>4.6936602116316751E-6</v>
      </c>
      <c r="L227" s="6">
        <v>4.0900492510097312E-5</v>
      </c>
      <c r="M227" s="6">
        <v>13.220591989813711</v>
      </c>
      <c r="N227" s="6">
        <v>2.580751312687615E-3</v>
      </c>
      <c r="O227" s="6">
        <v>5225</v>
      </c>
      <c r="P227" s="6">
        <v>81.646812089110909</v>
      </c>
      <c r="Q227" s="6">
        <v>16.8</v>
      </c>
      <c r="R227" s="6">
        <v>0</v>
      </c>
      <c r="S227" s="6">
        <v>13.221892452470019</v>
      </c>
      <c r="T227" s="6">
        <f t="shared" si="68"/>
        <v>7.6397342948020057</v>
      </c>
      <c r="U227" s="6" t="e">
        <f t="shared" si="84"/>
        <v>#N/A</v>
      </c>
      <c r="V227" s="6">
        <f t="shared" si="69"/>
        <v>7.9845618810089007</v>
      </c>
      <c r="W227" s="6">
        <f t="shared" si="70"/>
        <v>7.2949067085951098</v>
      </c>
      <c r="X227" s="6" t="e">
        <f t="shared" si="85"/>
        <v>#N/A</v>
      </c>
      <c r="Y227" s="6" t="e">
        <f t="shared" ref="Y227:AC236" si="88">VLOOKUP($AT227,hhh,3,0)</f>
        <v>#N/A</v>
      </c>
      <c r="Z227" s="6" t="e">
        <f t="shared" si="88"/>
        <v>#N/A</v>
      </c>
      <c r="AA227" s="6" t="e">
        <f t="shared" si="88"/>
        <v>#N/A</v>
      </c>
      <c r="AB227" s="6" t="e">
        <f t="shared" si="88"/>
        <v>#N/A</v>
      </c>
      <c r="AC227" s="6" t="e">
        <f t="shared" si="88"/>
        <v>#N/A</v>
      </c>
      <c r="AG227">
        <f t="shared" si="71"/>
        <v>-2.9999999999999718E-2</v>
      </c>
      <c r="AH227">
        <f t="shared" si="72"/>
        <v>0</v>
      </c>
      <c r="AI227">
        <f t="shared" si="73"/>
        <v>-0.93611111111110645</v>
      </c>
      <c r="AJ227">
        <f t="shared" si="74"/>
        <v>0.68965517241379071</v>
      </c>
      <c r="AK227">
        <f t="shared" si="75"/>
        <v>0.74999999999999989</v>
      </c>
      <c r="AL227">
        <f t="shared" si="76"/>
        <v>0.46666666666667078</v>
      </c>
      <c r="AM227">
        <f t="shared" si="77"/>
        <v>0</v>
      </c>
      <c r="AN227">
        <f t="shared" si="78"/>
        <v>-4.2082674999999998</v>
      </c>
      <c r="AO227">
        <f t="shared" si="79"/>
        <v>1.0320266632258353</v>
      </c>
      <c r="AQ227">
        <f t="shared" si="80"/>
        <v>7.9845618810089007</v>
      </c>
      <c r="AR227">
        <f t="shared" si="81"/>
        <v>7.2949067085951098</v>
      </c>
      <c r="AT227" t="str">
        <f t="shared" si="82"/>
        <v>45509B</v>
      </c>
    </row>
    <row r="228" spans="1:46" hidden="1" x14ac:dyDescent="0.3">
      <c r="A228" s="17">
        <v>45509</v>
      </c>
      <c r="B228" s="18" t="s">
        <v>20</v>
      </c>
      <c r="C228" s="6">
        <v>8.34</v>
      </c>
      <c r="D228" s="6">
        <v>38.555555555555557</v>
      </c>
      <c r="E228" s="6">
        <v>27.4</v>
      </c>
      <c r="F228" s="6">
        <v>54.67</v>
      </c>
      <c r="G228" s="6">
        <v>3.9</v>
      </c>
      <c r="H228" s="6">
        <v>3.4911111111111111</v>
      </c>
      <c r="I228" s="6">
        <v>150.7777777777778</v>
      </c>
      <c r="J228" s="6">
        <v>10.232722777382561</v>
      </c>
      <c r="K228" s="6">
        <v>3.9193115413119886E-6</v>
      </c>
      <c r="L228" s="6">
        <v>4.010522848044154E-5</v>
      </c>
      <c r="M228" s="6">
        <v>13.31797821549185</v>
      </c>
      <c r="N228" s="6">
        <v>0.45899277895066198</v>
      </c>
      <c r="O228" s="6">
        <v>5225</v>
      </c>
      <c r="P228" s="6">
        <v>120.2805489645319</v>
      </c>
      <c r="Q228" s="6">
        <v>16.8</v>
      </c>
      <c r="R228" s="6">
        <v>0</v>
      </c>
      <c r="S228" s="6">
        <v>13.32249430967997</v>
      </c>
      <c r="T228" s="6">
        <f t="shared" si="68"/>
        <v>3.6049816358225164</v>
      </c>
      <c r="U228" s="6" t="e">
        <f t="shared" si="84"/>
        <v>#N/A</v>
      </c>
      <c r="V228" s="6">
        <f t="shared" si="69"/>
        <v>3.9498092220294119</v>
      </c>
      <c r="W228" s="6">
        <f t="shared" si="70"/>
        <v>3.2601540496156209</v>
      </c>
      <c r="X228" s="6" t="e">
        <f t="shared" si="85"/>
        <v>#N/A</v>
      </c>
      <c r="Y228" s="6" t="e">
        <f t="shared" si="88"/>
        <v>#N/A</v>
      </c>
      <c r="Z228" s="6" t="e">
        <f t="shared" si="88"/>
        <v>#N/A</v>
      </c>
      <c r="AA228" s="6" t="e">
        <f t="shared" si="88"/>
        <v>#N/A</v>
      </c>
      <c r="AB228" s="6" t="e">
        <f t="shared" si="88"/>
        <v>#N/A</v>
      </c>
      <c r="AC228" s="6" t="e">
        <f t="shared" si="88"/>
        <v>#N/A</v>
      </c>
      <c r="AG228">
        <f t="shared" si="71"/>
        <v>-3.7999999999999902E-2</v>
      </c>
      <c r="AH228">
        <f t="shared" si="72"/>
        <v>0</v>
      </c>
      <c r="AI228">
        <f t="shared" si="73"/>
        <v>-0.99166666666666481</v>
      </c>
      <c r="AJ228">
        <f t="shared" si="74"/>
        <v>0.68965517241379071</v>
      </c>
      <c r="AK228">
        <f t="shared" si="75"/>
        <v>-0.26999999999999957</v>
      </c>
      <c r="AL228">
        <f t="shared" si="76"/>
        <v>0.45555555555555571</v>
      </c>
      <c r="AM228">
        <f t="shared" si="77"/>
        <v>0</v>
      </c>
      <c r="AN228">
        <f t="shared" si="78"/>
        <v>-4.2082674999999998</v>
      </c>
      <c r="AO228">
        <f t="shared" si="79"/>
        <v>-2.0054455547651209</v>
      </c>
      <c r="AQ228">
        <f t="shared" si="80"/>
        <v>3.9498092220294119</v>
      </c>
      <c r="AR228">
        <f t="shared" si="81"/>
        <v>3.2601540496156209</v>
      </c>
      <c r="AT228" t="str">
        <f t="shared" si="82"/>
        <v>45509C</v>
      </c>
    </row>
    <row r="229" spans="1:46" hidden="1" x14ac:dyDescent="0.3">
      <c r="A229" s="17">
        <v>45509</v>
      </c>
      <c r="B229" s="18" t="s">
        <v>21</v>
      </c>
      <c r="C229" s="6">
        <v>8.44</v>
      </c>
      <c r="D229" s="6">
        <v>39</v>
      </c>
      <c r="E229" s="6">
        <v>27.62222222222222</v>
      </c>
      <c r="F229" s="6">
        <v>54.67</v>
      </c>
      <c r="G229" s="6">
        <v>3.9</v>
      </c>
      <c r="H229" s="6">
        <v>3.5155555555555562</v>
      </c>
      <c r="I229" s="6">
        <v>150.33333333333329</v>
      </c>
      <c r="J229" s="6">
        <v>9.844935592349179</v>
      </c>
      <c r="K229" s="6">
        <v>2.5474362857104051E-3</v>
      </c>
      <c r="L229" s="6">
        <v>2.5079346158432159E-2</v>
      </c>
      <c r="M229" s="6">
        <v>13.316815422630601</v>
      </c>
      <c r="N229" s="6">
        <v>2.6023200409509861E-3</v>
      </c>
      <c r="O229" s="6">
        <v>5225</v>
      </c>
      <c r="P229" s="6">
        <v>120.2700105794306</v>
      </c>
      <c r="Q229" s="6">
        <v>12251.27804878049</v>
      </c>
      <c r="R229" s="6">
        <v>0</v>
      </c>
      <c r="S229" s="6">
        <v>13.316814984666321</v>
      </c>
      <c r="T229" s="6">
        <f t="shared" si="68"/>
        <v>5.8257400061626328</v>
      </c>
      <c r="U229" s="6" t="e">
        <f t="shared" si="84"/>
        <v>#N/A</v>
      </c>
      <c r="V229" s="6">
        <f t="shared" si="69"/>
        <v>6.1705675923695278</v>
      </c>
      <c r="W229" s="6">
        <f t="shared" si="70"/>
        <v>5.4809124199557369</v>
      </c>
      <c r="X229" s="6" t="e">
        <f t="shared" si="85"/>
        <v>#N/A</v>
      </c>
      <c r="Y229" s="6" t="e">
        <f t="shared" si="88"/>
        <v>#N/A</v>
      </c>
      <c r="Z229" s="6" t="e">
        <f t="shared" si="88"/>
        <v>#N/A</v>
      </c>
      <c r="AA229" s="6" t="e">
        <f t="shared" si="88"/>
        <v>#N/A</v>
      </c>
      <c r="AB229" s="6" t="e">
        <f t="shared" si="88"/>
        <v>#N/A</v>
      </c>
      <c r="AC229" s="6" t="e">
        <f t="shared" si="88"/>
        <v>#N/A</v>
      </c>
      <c r="AG229">
        <f t="shared" si="71"/>
        <v>-5.7999999999999829E-2</v>
      </c>
      <c r="AH229">
        <f t="shared" si="72"/>
        <v>0</v>
      </c>
      <c r="AI229">
        <f t="shared" si="73"/>
        <v>-1.1768518518518494</v>
      </c>
      <c r="AJ229">
        <f t="shared" si="74"/>
        <v>0.68965517241379071</v>
      </c>
      <c r="AK229">
        <f t="shared" si="75"/>
        <v>-0.26999999999999957</v>
      </c>
      <c r="AL229">
        <f t="shared" si="76"/>
        <v>0.57777777777778161</v>
      </c>
      <c r="AM229">
        <f t="shared" si="77"/>
        <v>0</v>
      </c>
      <c r="AN229">
        <f t="shared" si="78"/>
        <v>-2.6789577439024388</v>
      </c>
      <c r="AO229">
        <f t="shared" si="79"/>
        <v>-1.2298711846983572</v>
      </c>
      <c r="AQ229">
        <f t="shared" si="80"/>
        <v>6.1705675923695278</v>
      </c>
      <c r="AR229">
        <f t="shared" si="81"/>
        <v>5.4809124199557369</v>
      </c>
      <c r="AT229" t="str">
        <f t="shared" si="82"/>
        <v>45509D</v>
      </c>
    </row>
    <row r="230" spans="1:46" hidden="1" x14ac:dyDescent="0.3">
      <c r="A230" s="17">
        <v>45510</v>
      </c>
      <c r="B230" s="18" t="s">
        <v>22</v>
      </c>
      <c r="C230" s="6">
        <v>8.6816666666666666</v>
      </c>
      <c r="D230" s="6">
        <v>39.6</v>
      </c>
      <c r="E230" s="6">
        <v>26.721</v>
      </c>
      <c r="F230" s="6">
        <v>54.67</v>
      </c>
      <c r="G230" s="6">
        <v>3.95</v>
      </c>
      <c r="H230" s="6">
        <v>3.7360000000000002</v>
      </c>
      <c r="I230" s="6">
        <v>155.19999999999999</v>
      </c>
      <c r="J230" s="6">
        <v>8.0834991911833978</v>
      </c>
      <c r="K230" s="6">
        <v>8.1080835264575307E-3</v>
      </c>
      <c r="L230" s="6">
        <v>6.5541686628166868E-2</v>
      </c>
      <c r="M230" s="6">
        <v>13.316815090221439</v>
      </c>
      <c r="N230" s="6">
        <v>2.599732562003612E-3</v>
      </c>
      <c r="O230" s="6">
        <v>5225</v>
      </c>
      <c r="P230" s="6">
        <v>120.2700431779633</v>
      </c>
      <c r="Q230" s="6">
        <v>32697.240000000009</v>
      </c>
      <c r="R230" s="6">
        <v>0</v>
      </c>
      <c r="S230" s="6">
        <v>13.316815182908289</v>
      </c>
      <c r="T230" s="6">
        <f t="shared" si="68"/>
        <v>13.559265127394875</v>
      </c>
      <c r="U230" s="6" t="e">
        <f t="shared" si="84"/>
        <v>#N/A</v>
      </c>
      <c r="V230" s="6">
        <f t="shared" si="69"/>
        <v>13.90409271360177</v>
      </c>
      <c r="W230" s="6">
        <f t="shared" si="70"/>
        <v>13.21443754118798</v>
      </c>
      <c r="X230" s="6" t="e">
        <f t="shared" si="85"/>
        <v>#N/A</v>
      </c>
      <c r="Y230" s="6" t="e">
        <f t="shared" si="88"/>
        <v>#N/A</v>
      </c>
      <c r="Z230" s="6" t="e">
        <f t="shared" si="88"/>
        <v>#N/A</v>
      </c>
      <c r="AA230" s="6" t="e">
        <f t="shared" si="88"/>
        <v>#N/A</v>
      </c>
      <c r="AB230" s="6" t="e">
        <f t="shared" si="88"/>
        <v>#N/A</v>
      </c>
      <c r="AC230" s="6" t="e">
        <f t="shared" si="88"/>
        <v>#N/A</v>
      </c>
      <c r="AG230">
        <f t="shared" si="71"/>
        <v>-0.10633333333333327</v>
      </c>
      <c r="AH230">
        <f t="shared" si="72"/>
        <v>0</v>
      </c>
      <c r="AI230">
        <f t="shared" si="73"/>
        <v>-0.42583333333333273</v>
      </c>
      <c r="AJ230">
        <f t="shared" si="74"/>
        <v>0.68965517241379071</v>
      </c>
      <c r="AK230">
        <f t="shared" si="75"/>
        <v>-0.42000000000000037</v>
      </c>
      <c r="AL230">
        <f t="shared" si="76"/>
        <v>1.6800000000000015</v>
      </c>
      <c r="AM230">
        <f t="shared" si="77"/>
        <v>0</v>
      </c>
      <c r="AN230">
        <f t="shared" si="78"/>
        <v>-0.12321249999999918</v>
      </c>
      <c r="AO230">
        <f t="shared" si="79"/>
        <v>2.2930016176332053</v>
      </c>
      <c r="AQ230">
        <f t="shared" si="80"/>
        <v>13.90409271360177</v>
      </c>
      <c r="AR230">
        <f t="shared" si="81"/>
        <v>13.21443754118798</v>
      </c>
      <c r="AT230" t="str">
        <f t="shared" si="82"/>
        <v>45510A</v>
      </c>
    </row>
    <row r="231" spans="1:46" hidden="1" x14ac:dyDescent="0.3">
      <c r="A231" s="17">
        <v>45510</v>
      </c>
      <c r="B231" s="18" t="s">
        <v>19</v>
      </c>
      <c r="C231" s="6">
        <v>8.64</v>
      </c>
      <c r="D231" s="6">
        <v>37.444444444444443</v>
      </c>
      <c r="E231" s="6">
        <v>27.66</v>
      </c>
      <c r="F231" s="6">
        <v>54.27</v>
      </c>
      <c r="G231" s="6">
        <v>3.95</v>
      </c>
      <c r="H231" s="6">
        <v>3.6711111111111112</v>
      </c>
      <c r="I231" s="6">
        <v>143.44444444444451</v>
      </c>
      <c r="J231" s="6">
        <v>9.0604820044195069</v>
      </c>
      <c r="K231" s="6">
        <v>3.1460741900752121E-3</v>
      </c>
      <c r="L231" s="6">
        <v>2.8504948583745131E-2</v>
      </c>
      <c r="M231" s="6">
        <v>13.31681513353041</v>
      </c>
      <c r="N231" s="6">
        <v>2.6131167424100349E-3</v>
      </c>
      <c r="O231" s="6">
        <v>5225</v>
      </c>
      <c r="P231" s="6">
        <v>120.2700438979968</v>
      </c>
      <c r="Q231" s="6">
        <v>10615.52166530612</v>
      </c>
      <c r="R231" s="6">
        <v>0</v>
      </c>
      <c r="S231" s="6">
        <v>13.32114778056309</v>
      </c>
      <c r="T231" s="6">
        <f t="shared" si="68"/>
        <v>8.0913012274906748</v>
      </c>
      <c r="U231" s="6" t="e">
        <f t="shared" si="84"/>
        <v>#N/A</v>
      </c>
      <c r="V231" s="6">
        <f t="shared" si="69"/>
        <v>8.7809563999044666</v>
      </c>
      <c r="W231" s="6">
        <f t="shared" si="70"/>
        <v>7.4016460550768848</v>
      </c>
      <c r="X231" s="6" t="e">
        <f t="shared" si="85"/>
        <v>#N/A</v>
      </c>
      <c r="Y231" s="6" t="e">
        <f t="shared" si="88"/>
        <v>#N/A</v>
      </c>
      <c r="Z231" s="6" t="e">
        <f t="shared" si="88"/>
        <v>#N/A</v>
      </c>
      <c r="AA231" s="6" t="e">
        <f t="shared" si="88"/>
        <v>#N/A</v>
      </c>
      <c r="AB231" s="6" t="e">
        <f t="shared" si="88"/>
        <v>#N/A</v>
      </c>
      <c r="AC231" s="6" t="e">
        <f t="shared" si="88"/>
        <v>#N/A</v>
      </c>
      <c r="AG231">
        <f t="shared" si="71"/>
        <v>-9.8000000000000045E-2</v>
      </c>
      <c r="AH231">
        <f t="shared" si="72"/>
        <v>0</v>
      </c>
      <c r="AI231">
        <f t="shared" si="73"/>
        <v>-1.2083333333333328</v>
      </c>
      <c r="AJ231">
        <f t="shared" si="74"/>
        <v>1.3793103448275814</v>
      </c>
      <c r="AK231">
        <f t="shared" si="75"/>
        <v>-0.42000000000000037</v>
      </c>
      <c r="AL231">
        <f t="shared" si="76"/>
        <v>1.3555555555555565</v>
      </c>
      <c r="AM231">
        <f t="shared" si="77"/>
        <v>0</v>
      </c>
      <c r="AN231">
        <f t="shared" si="78"/>
        <v>-2.883427291836735</v>
      </c>
      <c r="AO231">
        <f t="shared" si="79"/>
        <v>0.33903599116098704</v>
      </c>
      <c r="AQ231">
        <f t="shared" si="80"/>
        <v>8.7809563999044666</v>
      </c>
      <c r="AR231">
        <f t="shared" si="81"/>
        <v>7.4016460550768848</v>
      </c>
      <c r="AT231" t="str">
        <f t="shared" si="82"/>
        <v>45510B</v>
      </c>
    </row>
    <row r="232" spans="1:46" hidden="1" x14ac:dyDescent="0.3">
      <c r="A232" s="17">
        <v>45510</v>
      </c>
      <c r="B232" s="18" t="s">
        <v>20</v>
      </c>
      <c r="C232" s="6">
        <v>8.5760000000000005</v>
      </c>
      <c r="D232" s="6">
        <v>37.444444444444443</v>
      </c>
      <c r="E232" s="6">
        <v>28.12555555555555</v>
      </c>
      <c r="F232" s="6">
        <v>54.27</v>
      </c>
      <c r="G232" s="6">
        <v>4.45</v>
      </c>
      <c r="H232" s="6">
        <v>3.666666666666667</v>
      </c>
      <c r="I232" s="6">
        <v>142.11111111111109</v>
      </c>
      <c r="J232" s="6">
        <v>9.816633363341154</v>
      </c>
      <c r="K232" s="6">
        <v>2.1521795095939041E-3</v>
      </c>
      <c r="L232" s="6">
        <v>2.1127157177778719E-2</v>
      </c>
      <c r="M232" s="6">
        <v>13.316817275123761</v>
      </c>
      <c r="N232" s="6">
        <v>2.6081285927034392E-3</v>
      </c>
      <c r="O232" s="6">
        <v>5225</v>
      </c>
      <c r="P232" s="6">
        <v>120.2700416417668</v>
      </c>
      <c r="Q232" s="6">
        <v>9396.4592000000011</v>
      </c>
      <c r="R232" s="6">
        <v>0</v>
      </c>
      <c r="S232" s="6">
        <v>13.316815067416069</v>
      </c>
      <c r="T232" s="6">
        <f t="shared" si="68"/>
        <v>4.5292326578922877</v>
      </c>
      <c r="U232" s="6" t="e">
        <f t="shared" si="84"/>
        <v>#N/A</v>
      </c>
      <c r="V232" s="6">
        <f t="shared" si="69"/>
        <v>5.2188878303060786</v>
      </c>
      <c r="W232" s="6">
        <f t="shared" si="70"/>
        <v>3.8395774854784972</v>
      </c>
      <c r="X232" s="6" t="e">
        <f t="shared" si="85"/>
        <v>#N/A</v>
      </c>
      <c r="Y232" s="6" t="e">
        <f t="shared" si="88"/>
        <v>#N/A</v>
      </c>
      <c r="Z232" s="6" t="e">
        <f t="shared" si="88"/>
        <v>#N/A</v>
      </c>
      <c r="AA232" s="6" t="e">
        <f t="shared" si="88"/>
        <v>#N/A</v>
      </c>
      <c r="AB232" s="6" t="e">
        <f t="shared" si="88"/>
        <v>#N/A</v>
      </c>
      <c r="AC232" s="6" t="e">
        <f t="shared" si="88"/>
        <v>#N/A</v>
      </c>
      <c r="AG232">
        <f t="shared" si="71"/>
        <v>-8.520000000000004E-2</v>
      </c>
      <c r="AH232">
        <f t="shared" si="72"/>
        <v>0</v>
      </c>
      <c r="AI232">
        <f t="shared" si="73"/>
        <v>-1.5962962962962912</v>
      </c>
      <c r="AJ232">
        <f t="shared" si="74"/>
        <v>1.3793103448275814</v>
      </c>
      <c r="AK232">
        <f t="shared" si="75"/>
        <v>-1.9200000000000002</v>
      </c>
      <c r="AL232">
        <f t="shared" si="76"/>
        <v>1.3333333333333353</v>
      </c>
      <c r="AM232">
        <f t="shared" si="77"/>
        <v>0</v>
      </c>
      <c r="AN232">
        <f t="shared" si="78"/>
        <v>-3.0358101</v>
      </c>
      <c r="AO232">
        <f t="shared" si="79"/>
        <v>-1.1732667266823071</v>
      </c>
      <c r="AQ232">
        <f t="shared" si="80"/>
        <v>5.2188878303060786</v>
      </c>
      <c r="AR232">
        <f t="shared" si="81"/>
        <v>3.8395774854784972</v>
      </c>
      <c r="AT232" t="str">
        <f t="shared" si="82"/>
        <v>45510C</v>
      </c>
    </row>
    <row r="233" spans="1:46" hidden="1" x14ac:dyDescent="0.3">
      <c r="A233" s="17">
        <v>45510</v>
      </c>
      <c r="B233" s="18" t="s">
        <v>21</v>
      </c>
      <c r="C233" s="6">
        <v>8.6728571428571435</v>
      </c>
      <c r="D233" s="6">
        <v>37.81818181818182</v>
      </c>
      <c r="E233" s="6">
        <v>28.263636363636358</v>
      </c>
      <c r="F233" s="6">
        <v>54.27</v>
      </c>
      <c r="G233" s="6">
        <v>4.45</v>
      </c>
      <c r="H233" s="6">
        <v>3.7236363636363641</v>
      </c>
      <c r="I233" s="6">
        <v>144.09090909090909</v>
      </c>
      <c r="J233" s="6">
        <v>9.8427833453503304</v>
      </c>
      <c r="K233" s="6">
        <v>4.5286659332187318E-3</v>
      </c>
      <c r="L233" s="6">
        <v>4.4574677624140753E-2</v>
      </c>
      <c r="M233" s="6">
        <v>13.31681672597321</v>
      </c>
      <c r="N233" s="6">
        <v>2.6055082866375261E-3</v>
      </c>
      <c r="O233" s="6">
        <v>5225</v>
      </c>
      <c r="P233" s="6">
        <v>120.2700419014362</v>
      </c>
      <c r="Q233" s="6">
        <v>22545.07</v>
      </c>
      <c r="R233" s="6">
        <v>0</v>
      </c>
      <c r="S233" s="6">
        <v>13.316815049881869</v>
      </c>
      <c r="T233" s="6">
        <f t="shared" si="68"/>
        <v>6.2709182109331012</v>
      </c>
      <c r="U233" s="6" t="e">
        <f t="shared" si="84"/>
        <v>#N/A</v>
      </c>
      <c r="V233" s="6">
        <f t="shared" si="69"/>
        <v>6.9605733833468921</v>
      </c>
      <c r="W233" s="6">
        <f t="shared" si="70"/>
        <v>5.5812630385193103</v>
      </c>
      <c r="X233" s="6" t="e">
        <f t="shared" si="85"/>
        <v>#N/A</v>
      </c>
      <c r="Y233" s="6" t="e">
        <f t="shared" si="88"/>
        <v>#N/A</v>
      </c>
      <c r="Z233" s="6" t="e">
        <f t="shared" si="88"/>
        <v>#N/A</v>
      </c>
      <c r="AA233" s="6" t="e">
        <f t="shared" si="88"/>
        <v>#N/A</v>
      </c>
      <c r="AB233" s="6" t="e">
        <f t="shared" si="88"/>
        <v>#N/A</v>
      </c>
      <c r="AC233" s="6" t="e">
        <f t="shared" si="88"/>
        <v>#N/A</v>
      </c>
      <c r="AG233">
        <f t="shared" si="71"/>
        <v>-0.10457142857142863</v>
      </c>
      <c r="AH233">
        <f t="shared" si="72"/>
        <v>0</v>
      </c>
      <c r="AI233">
        <f t="shared" si="73"/>
        <v>-1.7113636363636313</v>
      </c>
      <c r="AJ233">
        <f t="shared" si="74"/>
        <v>1.3793103448275814</v>
      </c>
      <c r="AK233">
        <f t="shared" si="75"/>
        <v>-1.9200000000000002</v>
      </c>
      <c r="AL233">
        <f t="shared" si="76"/>
        <v>1.6181818181818211</v>
      </c>
      <c r="AM233">
        <f t="shared" si="77"/>
        <v>0</v>
      </c>
      <c r="AN233">
        <f t="shared" si="78"/>
        <v>-1.3922337500000004</v>
      </c>
      <c r="AO233">
        <f t="shared" si="79"/>
        <v>-1.2255666907006599</v>
      </c>
      <c r="AQ233">
        <f t="shared" si="80"/>
        <v>6.9605733833468921</v>
      </c>
      <c r="AR233">
        <f t="shared" si="81"/>
        <v>5.5812630385193103</v>
      </c>
      <c r="AT233" t="str">
        <f t="shared" si="82"/>
        <v>45510D</v>
      </c>
    </row>
    <row r="234" spans="1:46" hidden="1" x14ac:dyDescent="0.3">
      <c r="A234" s="17">
        <v>45511</v>
      </c>
      <c r="B234" s="18" t="s">
        <v>22</v>
      </c>
      <c r="C234" s="6">
        <v>8.8471428571428579</v>
      </c>
      <c r="D234" s="6">
        <v>39.700000000000003</v>
      </c>
      <c r="E234" s="6">
        <v>26.988</v>
      </c>
      <c r="F234" s="6">
        <v>54.27</v>
      </c>
      <c r="G234" s="6">
        <v>4.05</v>
      </c>
      <c r="H234" s="6">
        <v>3.7719999999999998</v>
      </c>
      <c r="I234" s="6">
        <v>152.9</v>
      </c>
      <c r="J234" s="6">
        <v>8.1629916820588591</v>
      </c>
      <c r="K234" s="6">
        <v>8.6043408650462363E-3</v>
      </c>
      <c r="L234" s="6">
        <v>7.0237162910971554E-2</v>
      </c>
      <c r="M234" s="6">
        <v>13.31681506172411</v>
      </c>
      <c r="N234" s="6">
        <v>2.599430877759123E-3</v>
      </c>
      <c r="O234" s="6">
        <v>5224.9999999999991</v>
      </c>
      <c r="P234" s="6">
        <v>120.2700437597548</v>
      </c>
      <c r="Q234" s="6">
        <v>45631.68</v>
      </c>
      <c r="R234" s="6">
        <v>0</v>
      </c>
      <c r="S234" s="6">
        <v>13.3168151484977</v>
      </c>
      <c r="T234" s="6">
        <f t="shared" si="68"/>
        <v>14.986317465258281</v>
      </c>
      <c r="U234" s="6" t="e">
        <f t="shared" si="84"/>
        <v>#N/A</v>
      </c>
      <c r="V234" s="6">
        <f t="shared" si="69"/>
        <v>15.675972637672071</v>
      </c>
      <c r="W234" s="6">
        <f t="shared" si="70"/>
        <v>14.29666229284449</v>
      </c>
      <c r="X234" s="6" t="e">
        <f t="shared" si="85"/>
        <v>#N/A</v>
      </c>
      <c r="Y234" s="6" t="e">
        <f t="shared" si="88"/>
        <v>#N/A</v>
      </c>
      <c r="Z234" s="6" t="e">
        <f t="shared" si="88"/>
        <v>#N/A</v>
      </c>
      <c r="AA234" s="6" t="e">
        <f t="shared" si="88"/>
        <v>#N/A</v>
      </c>
      <c r="AB234" s="6" t="e">
        <f t="shared" si="88"/>
        <v>#N/A</v>
      </c>
      <c r="AC234" s="6" t="e">
        <f t="shared" si="88"/>
        <v>#N/A</v>
      </c>
      <c r="AG234">
        <f t="shared" si="71"/>
        <v>-0.13942857142857151</v>
      </c>
      <c r="AH234">
        <f t="shared" si="72"/>
        <v>0</v>
      </c>
      <c r="AI234">
        <f t="shared" si="73"/>
        <v>-0.64833333333333232</v>
      </c>
      <c r="AJ234">
        <f t="shared" si="74"/>
        <v>1.3793103448275814</v>
      </c>
      <c r="AK234">
        <f t="shared" si="75"/>
        <v>-0.7199999999999992</v>
      </c>
      <c r="AL234">
        <f t="shared" si="76"/>
        <v>1.8599999999999994</v>
      </c>
      <c r="AM234">
        <f t="shared" si="77"/>
        <v>0</v>
      </c>
      <c r="AN234">
        <f t="shared" si="78"/>
        <v>1.4935924999999997</v>
      </c>
      <c r="AO234">
        <f t="shared" si="79"/>
        <v>2.1340166358822827</v>
      </c>
      <c r="AQ234">
        <f t="shared" si="80"/>
        <v>15.675972637672071</v>
      </c>
      <c r="AR234">
        <f t="shared" si="81"/>
        <v>14.29666229284449</v>
      </c>
      <c r="AT234" t="str">
        <f t="shared" si="82"/>
        <v>45511A</v>
      </c>
    </row>
    <row r="235" spans="1:46" hidden="1" x14ac:dyDescent="0.3">
      <c r="A235" s="17">
        <v>45511</v>
      </c>
      <c r="B235" s="18" t="s">
        <v>19</v>
      </c>
      <c r="C235" s="6">
        <v>8.6571428571428566</v>
      </c>
      <c r="D235" s="6">
        <v>37.777777777777779</v>
      </c>
      <c r="E235" s="6">
        <v>26.928888888888888</v>
      </c>
      <c r="F235" s="6">
        <v>56.86</v>
      </c>
      <c r="G235" s="6">
        <v>3.91</v>
      </c>
      <c r="H235" s="6">
        <v>3.6422222222222218</v>
      </c>
      <c r="I235" s="6">
        <v>145.88888888888891</v>
      </c>
      <c r="J235" s="6">
        <v>9.1613325021129057</v>
      </c>
      <c r="K235" s="6">
        <v>3.5401497345601851E-3</v>
      </c>
      <c r="L235" s="6">
        <v>3.2432488825572599E-2</v>
      </c>
      <c r="M235" s="6">
        <v>13.33970568488062</v>
      </c>
      <c r="N235" s="6">
        <v>8.9834112855758583</v>
      </c>
      <c r="O235" s="6">
        <v>5225</v>
      </c>
      <c r="P235" s="6">
        <v>120.4767646560843</v>
      </c>
      <c r="Q235" s="6">
        <v>17820.87619009901</v>
      </c>
      <c r="R235" s="6">
        <v>0</v>
      </c>
      <c r="S235" s="6">
        <v>13.32659541462291</v>
      </c>
      <c r="T235" s="6">
        <f t="shared" si="68"/>
        <v>7.1617877217497892</v>
      </c>
      <c r="U235" s="6" t="e">
        <f t="shared" si="84"/>
        <v>#N/A</v>
      </c>
      <c r="V235" s="6">
        <f t="shared" si="69"/>
        <v>5.618684273473928</v>
      </c>
      <c r="W235" s="6">
        <f t="shared" si="70"/>
        <v>8.7048911700256504</v>
      </c>
      <c r="X235" s="6" t="e">
        <f t="shared" si="85"/>
        <v>#N/A</v>
      </c>
      <c r="Y235" s="6" t="e">
        <f t="shared" si="88"/>
        <v>#N/A</v>
      </c>
      <c r="Z235" s="6" t="e">
        <f t="shared" si="88"/>
        <v>#N/A</v>
      </c>
      <c r="AA235" s="6" t="e">
        <f t="shared" si="88"/>
        <v>#N/A</v>
      </c>
      <c r="AB235" s="6" t="e">
        <f t="shared" si="88"/>
        <v>#N/A</v>
      </c>
      <c r="AC235" s="6" t="e">
        <f t="shared" si="88"/>
        <v>#N/A</v>
      </c>
      <c r="AG235">
        <f t="shared" si="71"/>
        <v>-0.10142857142857126</v>
      </c>
      <c r="AH235">
        <f t="shared" si="72"/>
        <v>0</v>
      </c>
      <c r="AI235">
        <f t="shared" si="73"/>
        <v>-0.59907407407407298</v>
      </c>
      <c r="AJ235">
        <f t="shared" si="74"/>
        <v>-3.0862068965517229</v>
      </c>
      <c r="AK235">
        <f t="shared" si="75"/>
        <v>-0.30000000000000027</v>
      </c>
      <c r="AL235">
        <f t="shared" si="76"/>
        <v>1.2111111111111095</v>
      </c>
      <c r="AM235">
        <f t="shared" si="77"/>
        <v>0</v>
      </c>
      <c r="AN235">
        <f t="shared" si="78"/>
        <v>-1.982757976237624</v>
      </c>
      <c r="AO235">
        <f t="shared" si="79"/>
        <v>0.13733499577418939</v>
      </c>
      <c r="AQ235">
        <f t="shared" si="80"/>
        <v>5.618684273473928</v>
      </c>
      <c r="AR235">
        <f t="shared" si="81"/>
        <v>8.7048911700256504</v>
      </c>
      <c r="AT235" t="str">
        <f t="shared" si="82"/>
        <v>45511B</v>
      </c>
    </row>
    <row r="236" spans="1:46" hidden="1" x14ac:dyDescent="0.3">
      <c r="A236" s="17">
        <v>45511</v>
      </c>
      <c r="B236" s="18" t="s">
        <v>20</v>
      </c>
      <c r="C236" s="6">
        <v>8.5428571428571427</v>
      </c>
      <c r="D236" s="6">
        <v>38</v>
      </c>
      <c r="E236" s="6">
        <v>27.014545454545459</v>
      </c>
      <c r="F236" s="6">
        <v>56.86</v>
      </c>
      <c r="G236" s="6">
        <v>3.91</v>
      </c>
      <c r="H236" s="6">
        <v>3.6454545454545459</v>
      </c>
      <c r="I236" s="6">
        <v>145</v>
      </c>
      <c r="J236" s="6">
        <v>11.031980261857671</v>
      </c>
      <c r="K236" s="6">
        <v>2.7937043318033211E-3</v>
      </c>
      <c r="L236" s="6">
        <v>3.0820091045920511E-2</v>
      </c>
      <c r="M236" s="6">
        <v>13.339705546076781</v>
      </c>
      <c r="N236" s="6">
        <v>8.9834113856773339</v>
      </c>
      <c r="O236" s="6">
        <v>5225</v>
      </c>
      <c r="P236" s="6">
        <v>120.4767650568768</v>
      </c>
      <c r="Q236" s="6">
        <v>13812.5352</v>
      </c>
      <c r="R236" s="6">
        <v>0</v>
      </c>
      <c r="S236" s="6">
        <v>13.332907094037999</v>
      </c>
      <c r="T236" s="6">
        <f t="shared" si="68"/>
        <v>2.8870877273323305</v>
      </c>
      <c r="U236" s="6" t="e">
        <f t="shared" si="84"/>
        <v>#N/A</v>
      </c>
      <c r="V236" s="6">
        <f t="shared" si="69"/>
        <v>1.3439842790564693</v>
      </c>
      <c r="W236" s="6">
        <f t="shared" si="70"/>
        <v>4.4301911756081918</v>
      </c>
      <c r="X236" s="6" t="e">
        <f t="shared" si="85"/>
        <v>#N/A</v>
      </c>
      <c r="Y236" s="6" t="e">
        <f t="shared" si="88"/>
        <v>#N/A</v>
      </c>
      <c r="Z236" s="6" t="e">
        <f t="shared" si="88"/>
        <v>#N/A</v>
      </c>
      <c r="AA236" s="6" t="e">
        <f t="shared" si="88"/>
        <v>#N/A</v>
      </c>
      <c r="AB236" s="6" t="e">
        <f t="shared" si="88"/>
        <v>#N/A</v>
      </c>
      <c r="AC236" s="6" t="e">
        <f t="shared" si="88"/>
        <v>#N/A</v>
      </c>
      <c r="AG236">
        <f t="shared" si="71"/>
        <v>-7.8571428571428473E-2</v>
      </c>
      <c r="AH236">
        <f t="shared" si="72"/>
        <v>0</v>
      </c>
      <c r="AI236">
        <f t="shared" si="73"/>
        <v>-0.67045454545454852</v>
      </c>
      <c r="AJ236">
        <f t="shared" si="74"/>
        <v>-3.0862068965517229</v>
      </c>
      <c r="AK236">
        <f t="shared" si="75"/>
        <v>-0.30000000000000027</v>
      </c>
      <c r="AL236">
        <f t="shared" si="76"/>
        <v>1.2272727272727304</v>
      </c>
      <c r="AM236">
        <f t="shared" si="77"/>
        <v>0</v>
      </c>
      <c r="AN236">
        <f t="shared" si="78"/>
        <v>-2.4838006000000004</v>
      </c>
      <c r="AO236">
        <f t="shared" si="79"/>
        <v>-3.6039605237153403</v>
      </c>
      <c r="AQ236">
        <f t="shared" si="80"/>
        <v>1.3439842790564693</v>
      </c>
      <c r="AR236">
        <f t="shared" si="81"/>
        <v>4.4301911756081918</v>
      </c>
      <c r="AT236" t="str">
        <f t="shared" si="82"/>
        <v>45511C</v>
      </c>
    </row>
    <row r="237" spans="1:46" hidden="1" x14ac:dyDescent="0.3">
      <c r="A237" s="17">
        <v>45511</v>
      </c>
      <c r="B237" s="18" t="s">
        <v>21</v>
      </c>
      <c r="C237" s="6">
        <v>8.6266666666666669</v>
      </c>
      <c r="D237" s="6">
        <v>37.916666666666657</v>
      </c>
      <c r="E237" s="6">
        <v>27.725000000000001</v>
      </c>
      <c r="F237" s="6">
        <v>56.86</v>
      </c>
      <c r="G237" s="6">
        <v>3.91</v>
      </c>
      <c r="H237" s="6">
        <v>3.6366666666666672</v>
      </c>
      <c r="I237" s="6">
        <v>144.41666666666671</v>
      </c>
      <c r="J237" s="6">
        <v>10.90841777982595</v>
      </c>
      <c r="K237" s="6">
        <v>3.6504306965783242E-3</v>
      </c>
      <c r="L237" s="6">
        <v>3.9820423114577397E-2</v>
      </c>
      <c r="M237" s="6">
        <v>13.33970473838364</v>
      </c>
      <c r="N237" s="6">
        <v>8.9834113086954162</v>
      </c>
      <c r="O237" s="6">
        <v>5225</v>
      </c>
      <c r="P237" s="6">
        <v>120.4767654805153</v>
      </c>
      <c r="Q237" s="6">
        <v>18118.38497699115</v>
      </c>
      <c r="R237" s="6">
        <v>0</v>
      </c>
      <c r="S237" s="6">
        <v>13.327756311379529</v>
      </c>
      <c r="T237" s="6">
        <f t="shared" si="68"/>
        <v>3.0196963525797766</v>
      </c>
      <c r="U237" s="6" t="e">
        <f t="shared" si="84"/>
        <v>#N/A</v>
      </c>
      <c r="V237" s="6">
        <f t="shared" si="69"/>
        <v>1.4765929043039154</v>
      </c>
      <c r="W237" s="6">
        <f t="shared" si="70"/>
        <v>4.5627998008556379</v>
      </c>
      <c r="X237" s="6" t="e">
        <f t="shared" si="85"/>
        <v>#N/A</v>
      </c>
      <c r="Y237" s="6" t="e">
        <f t="shared" ref="Y237:AC246" si="89">VLOOKUP($AT237,hhh,3,0)</f>
        <v>#N/A</v>
      </c>
      <c r="Z237" s="6" t="e">
        <f t="shared" si="89"/>
        <v>#N/A</v>
      </c>
      <c r="AA237" s="6" t="e">
        <f t="shared" si="89"/>
        <v>#N/A</v>
      </c>
      <c r="AB237" s="6" t="e">
        <f t="shared" si="89"/>
        <v>#N/A</v>
      </c>
      <c r="AC237" s="6" t="e">
        <f t="shared" si="89"/>
        <v>#N/A</v>
      </c>
      <c r="AG237">
        <f t="shared" si="71"/>
        <v>-9.5333333333333325E-2</v>
      </c>
      <c r="AH237">
        <f t="shared" si="72"/>
        <v>0</v>
      </c>
      <c r="AI237">
        <f t="shared" si="73"/>
        <v>-1.2625000000000006</v>
      </c>
      <c r="AJ237">
        <f t="shared" si="74"/>
        <v>-3.0862068965517229</v>
      </c>
      <c r="AK237">
        <f t="shared" si="75"/>
        <v>-0.30000000000000027</v>
      </c>
      <c r="AL237">
        <f t="shared" si="76"/>
        <v>1.1833333333333362</v>
      </c>
      <c r="AM237">
        <f t="shared" si="77"/>
        <v>0</v>
      </c>
      <c r="AN237">
        <f t="shared" si="78"/>
        <v>-1.9455693778761065</v>
      </c>
      <c r="AO237">
        <f t="shared" si="79"/>
        <v>-3.3568355596518984</v>
      </c>
      <c r="AQ237">
        <f t="shared" si="80"/>
        <v>1.4765929043039154</v>
      </c>
      <c r="AR237">
        <f t="shared" si="81"/>
        <v>4.5627998008556379</v>
      </c>
      <c r="AT237" t="str">
        <f t="shared" si="82"/>
        <v>45511D</v>
      </c>
    </row>
    <row r="238" spans="1:46" hidden="1" x14ac:dyDescent="0.3">
      <c r="A238" s="17">
        <v>45512</v>
      </c>
      <c r="B238" s="18" t="s">
        <v>22</v>
      </c>
      <c r="C238" s="6">
        <v>8.9316666666666666</v>
      </c>
      <c r="D238" s="6">
        <v>38.444444444444443</v>
      </c>
      <c r="E238" s="6">
        <v>28.60777777777778</v>
      </c>
      <c r="F238" s="6">
        <v>56.86</v>
      </c>
      <c r="G238" s="6">
        <v>4.1500000000000004</v>
      </c>
      <c r="H238" s="6">
        <v>3.6711111111111112</v>
      </c>
      <c r="I238" s="6">
        <v>147.44444444444451</v>
      </c>
      <c r="J238" s="6">
        <v>9.3936569260435778</v>
      </c>
      <c r="K238" s="6">
        <v>1.2396918442018739E-2</v>
      </c>
      <c r="L238" s="6">
        <v>0.1164523987844667</v>
      </c>
      <c r="M238" s="6">
        <v>13.317769846408041</v>
      </c>
      <c r="N238" s="6">
        <v>0.37723848650602998</v>
      </c>
      <c r="O238" s="6">
        <v>5225</v>
      </c>
      <c r="P238" s="6">
        <v>120.27866736301191</v>
      </c>
      <c r="Q238" s="6">
        <v>54109.84</v>
      </c>
      <c r="R238" s="6">
        <v>0</v>
      </c>
      <c r="S238" s="6">
        <v>13.31681507691891</v>
      </c>
      <c r="T238" s="6">
        <f t="shared" si="68"/>
        <v>9.1817891201190953</v>
      </c>
      <c r="U238" s="6" t="e">
        <f t="shared" si="84"/>
        <v>#N/A</v>
      </c>
      <c r="V238" s="6">
        <f t="shared" si="69"/>
        <v>7.6386856718432341</v>
      </c>
      <c r="W238" s="6">
        <f t="shared" si="70"/>
        <v>10.724892568394957</v>
      </c>
      <c r="X238" s="6" t="e">
        <f t="shared" si="85"/>
        <v>#N/A</v>
      </c>
      <c r="Y238" s="6" t="e">
        <f t="shared" si="89"/>
        <v>#N/A</v>
      </c>
      <c r="Z238" s="6" t="e">
        <f t="shared" si="89"/>
        <v>#N/A</v>
      </c>
      <c r="AA238" s="6" t="e">
        <f t="shared" si="89"/>
        <v>#N/A</v>
      </c>
      <c r="AB238" s="6" t="e">
        <f t="shared" si="89"/>
        <v>#N/A</v>
      </c>
      <c r="AC238" s="6" t="e">
        <f t="shared" si="89"/>
        <v>#N/A</v>
      </c>
      <c r="AG238">
        <f t="shared" si="71"/>
        <v>-0.15633333333333327</v>
      </c>
      <c r="AH238">
        <f t="shared" si="72"/>
        <v>0</v>
      </c>
      <c r="AI238">
        <f t="shared" si="73"/>
        <v>-1.9981481481481498</v>
      </c>
      <c r="AJ238">
        <f t="shared" si="74"/>
        <v>-3.0862068965517229</v>
      </c>
      <c r="AK238">
        <f t="shared" si="75"/>
        <v>-1.0200000000000009</v>
      </c>
      <c r="AL238">
        <f t="shared" si="76"/>
        <v>1.3555555555555565</v>
      </c>
      <c r="AM238">
        <f t="shared" si="77"/>
        <v>0</v>
      </c>
      <c r="AN238">
        <f t="shared" si="78"/>
        <v>2.5533624999999991</v>
      </c>
      <c r="AO238">
        <f t="shared" si="79"/>
        <v>-0.3273138520871548</v>
      </c>
      <c r="AQ238">
        <f t="shared" si="80"/>
        <v>7.6386856718432341</v>
      </c>
      <c r="AR238">
        <f t="shared" si="81"/>
        <v>10.724892568394957</v>
      </c>
      <c r="AT238" t="str">
        <f t="shared" si="82"/>
        <v>45512A</v>
      </c>
    </row>
    <row r="239" spans="1:46" hidden="1" x14ac:dyDescent="0.3">
      <c r="A239" s="17">
        <v>45512</v>
      </c>
      <c r="B239" s="18" t="s">
        <v>19</v>
      </c>
      <c r="C239" s="6">
        <v>8.49</v>
      </c>
      <c r="D239" s="6">
        <v>37.9</v>
      </c>
      <c r="E239" s="6">
        <v>27.63</v>
      </c>
      <c r="F239" s="6">
        <v>56.515000000000001</v>
      </c>
      <c r="G239" s="6">
        <v>4.1500000000000004</v>
      </c>
      <c r="H239" s="6">
        <v>3.464</v>
      </c>
      <c r="I239" s="6">
        <v>144.19999999999999</v>
      </c>
      <c r="J239" s="6">
        <v>9.540455355732858</v>
      </c>
      <c r="K239" s="6">
        <v>7.6389872344778996E-3</v>
      </c>
      <c r="L239" s="6">
        <v>7.2879416673549607E-2</v>
      </c>
      <c r="M239" s="6">
        <v>14.53432644374597</v>
      </c>
      <c r="N239" s="6">
        <v>2.6248928264293861E-3</v>
      </c>
      <c r="O239" s="6">
        <v>5225</v>
      </c>
      <c r="P239" s="6">
        <v>120.2979176042502</v>
      </c>
      <c r="Q239" s="6">
        <v>34357.22</v>
      </c>
      <c r="R239" s="6">
        <v>0</v>
      </c>
      <c r="S239" s="6">
        <v>13.31681873200016</v>
      </c>
      <c r="T239" s="6">
        <f t="shared" si="68"/>
        <v>7.800677743774509</v>
      </c>
      <c r="U239" s="6" t="e">
        <f t="shared" si="84"/>
        <v>#N/A</v>
      </c>
      <c r="V239" s="6">
        <f t="shared" si="69"/>
        <v>6.5549880886020944</v>
      </c>
      <c r="W239" s="6">
        <f t="shared" si="70"/>
        <v>9.0463673989469235</v>
      </c>
      <c r="X239" s="6" t="e">
        <f t="shared" si="85"/>
        <v>#N/A</v>
      </c>
      <c r="Y239" s="6" t="e">
        <f t="shared" si="89"/>
        <v>#N/A</v>
      </c>
      <c r="Z239" s="6" t="e">
        <f t="shared" si="89"/>
        <v>#N/A</v>
      </c>
      <c r="AA239" s="6" t="e">
        <f t="shared" si="89"/>
        <v>#N/A</v>
      </c>
      <c r="AB239" s="6" t="e">
        <f t="shared" si="89"/>
        <v>#N/A</v>
      </c>
      <c r="AC239" s="6" t="e">
        <f t="shared" si="89"/>
        <v>#N/A</v>
      </c>
      <c r="AG239">
        <f t="shared" si="71"/>
        <v>-6.7999999999999977E-2</v>
      </c>
      <c r="AH239">
        <f t="shared" si="72"/>
        <v>0</v>
      </c>
      <c r="AI239">
        <f t="shared" si="73"/>
        <v>-1.1833333333333318</v>
      </c>
      <c r="AJ239">
        <f t="shared" si="74"/>
        <v>-2.4913793103448283</v>
      </c>
      <c r="AK239">
        <f t="shared" si="75"/>
        <v>-1.0200000000000009</v>
      </c>
      <c r="AL239">
        <f t="shared" si="76"/>
        <v>0.32000000000000034</v>
      </c>
      <c r="AM239">
        <f t="shared" si="77"/>
        <v>0</v>
      </c>
      <c r="AN239">
        <f t="shared" si="78"/>
        <v>8.428499999999986E-2</v>
      </c>
      <c r="AO239">
        <f t="shared" si="79"/>
        <v>-0.62091071146571508</v>
      </c>
      <c r="AQ239">
        <f t="shared" si="80"/>
        <v>6.5549880886020944</v>
      </c>
      <c r="AR239">
        <f t="shared" si="81"/>
        <v>9.0463673989469235</v>
      </c>
      <c r="AT239" t="str">
        <f t="shared" si="82"/>
        <v>45512B</v>
      </c>
    </row>
    <row r="240" spans="1:46" hidden="1" x14ac:dyDescent="0.3">
      <c r="A240" s="17">
        <v>45512</v>
      </c>
      <c r="B240" s="18" t="s">
        <v>20</v>
      </c>
      <c r="C240" s="6">
        <v>8.418571428571429</v>
      </c>
      <c r="D240" s="6">
        <v>37.166666666666657</v>
      </c>
      <c r="E240" s="6">
        <v>27.360833333333328</v>
      </c>
      <c r="F240" s="6">
        <v>56.17</v>
      </c>
      <c r="G240" s="6">
        <v>4.01</v>
      </c>
      <c r="H240" s="6">
        <v>3.4083333333333332</v>
      </c>
      <c r="I240" s="6">
        <v>144.66666666666671</v>
      </c>
      <c r="J240" s="6">
        <v>9.0432086164998555</v>
      </c>
      <c r="K240" s="6">
        <v>6.0775129970348733E-3</v>
      </c>
      <c r="L240" s="6">
        <v>5.4960217901675629E-2</v>
      </c>
      <c r="M240" s="6">
        <v>14.22611531617286</v>
      </c>
      <c r="N240" s="6">
        <v>2.592045158714495E-3</v>
      </c>
      <c r="O240" s="6">
        <v>5225</v>
      </c>
      <c r="P240" s="6">
        <v>103.4688794009331</v>
      </c>
      <c r="Q240" s="6">
        <v>30690.720000000001</v>
      </c>
      <c r="R240" s="6">
        <v>0</v>
      </c>
      <c r="S240" s="6">
        <v>13.28178386051575</v>
      </c>
      <c r="T240" s="6">
        <f t="shared" si="68"/>
        <v>8.7063193242787911</v>
      </c>
      <c r="U240" s="6" t="e">
        <f t="shared" si="84"/>
        <v>#N/A</v>
      </c>
      <c r="V240" s="6">
        <f t="shared" si="69"/>
        <v>7.7580434622098249</v>
      </c>
      <c r="W240" s="6">
        <f t="shared" si="70"/>
        <v>9.654595186347759</v>
      </c>
      <c r="X240" s="6" t="e">
        <f t="shared" si="85"/>
        <v>#N/A</v>
      </c>
      <c r="Y240" s="6" t="e">
        <f t="shared" si="89"/>
        <v>#N/A</v>
      </c>
      <c r="Z240" s="6" t="e">
        <f t="shared" si="89"/>
        <v>#N/A</v>
      </c>
      <c r="AA240" s="6" t="e">
        <f t="shared" si="89"/>
        <v>#N/A</v>
      </c>
      <c r="AB240" s="6" t="e">
        <f t="shared" si="89"/>
        <v>#N/A</v>
      </c>
      <c r="AC240" s="6" t="e">
        <f t="shared" si="89"/>
        <v>#N/A</v>
      </c>
      <c r="AG240">
        <f t="shared" si="71"/>
        <v>-5.3714285714285742E-2</v>
      </c>
      <c r="AH240">
        <f t="shared" si="72"/>
        <v>0</v>
      </c>
      <c r="AI240">
        <f t="shared" si="73"/>
        <v>-0.95902777777777304</v>
      </c>
      <c r="AJ240">
        <f t="shared" si="74"/>
        <v>-1.8965517241379335</v>
      </c>
      <c r="AK240">
        <f t="shared" si="75"/>
        <v>-0.59999999999999909</v>
      </c>
      <c r="AL240">
        <f t="shared" si="76"/>
        <v>4.1666666666666519E-2</v>
      </c>
      <c r="AM240">
        <f t="shared" si="77"/>
        <v>0</v>
      </c>
      <c r="AN240">
        <f t="shared" si="78"/>
        <v>-0.37402750000000012</v>
      </c>
      <c r="AO240">
        <f t="shared" si="79"/>
        <v>0.37358276700028981</v>
      </c>
      <c r="AQ240">
        <f t="shared" si="80"/>
        <v>7.7580434622098249</v>
      </c>
      <c r="AR240">
        <f t="shared" si="81"/>
        <v>9.654595186347759</v>
      </c>
      <c r="AT240" t="str">
        <f t="shared" si="82"/>
        <v>45512C</v>
      </c>
    </row>
    <row r="241" spans="1:46" hidden="1" x14ac:dyDescent="0.3">
      <c r="A241" s="17">
        <v>45512</v>
      </c>
      <c r="B241" s="18" t="s">
        <v>21</v>
      </c>
      <c r="C241" s="6">
        <v>8.3625000000000007</v>
      </c>
      <c r="D241" s="6">
        <v>37.083333333333343</v>
      </c>
      <c r="E241" s="6">
        <v>27.55</v>
      </c>
      <c r="F241" s="6">
        <v>56.17</v>
      </c>
      <c r="G241" s="6">
        <v>4.01</v>
      </c>
      <c r="H241" s="6">
        <v>3.3533333333333331</v>
      </c>
      <c r="I241" s="6">
        <v>145.75</v>
      </c>
      <c r="J241" s="6">
        <v>8.6738124319815881</v>
      </c>
      <c r="K241" s="6">
        <v>7.7755268798220091E-3</v>
      </c>
      <c r="L241" s="6">
        <v>6.744346171540716E-2</v>
      </c>
      <c r="M241" s="6">
        <v>15.851506452047779</v>
      </c>
      <c r="N241" s="6">
        <v>2.585825078654457E-3</v>
      </c>
      <c r="O241" s="6">
        <v>5225</v>
      </c>
      <c r="P241" s="6">
        <v>90.310171298820791</v>
      </c>
      <c r="Q241" s="6">
        <v>39302.753464052294</v>
      </c>
      <c r="R241" s="6">
        <v>0</v>
      </c>
      <c r="S241" s="6">
        <v>13.87988777236208</v>
      </c>
      <c r="T241" s="6">
        <f t="shared" si="68"/>
        <v>11.725582409022174</v>
      </c>
      <c r="U241" s="6" t="e">
        <f t="shared" si="84"/>
        <v>#N/A</v>
      </c>
      <c r="V241" s="6">
        <f t="shared" si="69"/>
        <v>10.777306546953207</v>
      </c>
      <c r="W241" s="6">
        <f t="shared" si="70"/>
        <v>12.673858271091142</v>
      </c>
      <c r="X241" s="6" t="e">
        <f t="shared" si="85"/>
        <v>#N/A</v>
      </c>
      <c r="Y241" s="6" t="e">
        <f t="shared" si="89"/>
        <v>#N/A</v>
      </c>
      <c r="Z241" s="6" t="e">
        <f t="shared" si="89"/>
        <v>#N/A</v>
      </c>
      <c r="AA241" s="6" t="e">
        <f t="shared" si="89"/>
        <v>#N/A</v>
      </c>
      <c r="AB241" s="6" t="e">
        <f t="shared" si="89"/>
        <v>#N/A</v>
      </c>
      <c r="AC241" s="6" t="e">
        <f t="shared" si="89"/>
        <v>#N/A</v>
      </c>
      <c r="AG241">
        <f t="shared" si="71"/>
        <v>-4.2500000000000072E-2</v>
      </c>
      <c r="AH241">
        <f t="shared" si="72"/>
        <v>0</v>
      </c>
      <c r="AI241">
        <f t="shared" si="73"/>
        <v>-1.1166666666666667</v>
      </c>
      <c r="AJ241">
        <f t="shared" si="74"/>
        <v>-1.8965517241379335</v>
      </c>
      <c r="AK241">
        <f t="shared" si="75"/>
        <v>-0.59999999999999909</v>
      </c>
      <c r="AL241">
        <f t="shared" si="76"/>
        <v>-0.23333333333333431</v>
      </c>
      <c r="AM241">
        <f t="shared" si="77"/>
        <v>0</v>
      </c>
      <c r="AN241">
        <f t="shared" si="78"/>
        <v>0.70247668300653643</v>
      </c>
      <c r="AO241">
        <f t="shared" si="79"/>
        <v>1.1123751360368246</v>
      </c>
      <c r="AQ241">
        <f t="shared" si="80"/>
        <v>10.777306546953207</v>
      </c>
      <c r="AR241">
        <f t="shared" si="81"/>
        <v>12.673858271091142</v>
      </c>
      <c r="AT241" t="str">
        <f t="shared" si="82"/>
        <v>45512D</v>
      </c>
    </row>
    <row r="242" spans="1:46" hidden="1" x14ac:dyDescent="0.3">
      <c r="A242" s="17">
        <v>45516</v>
      </c>
      <c r="B242" s="18" t="s">
        <v>19</v>
      </c>
      <c r="C242" s="6">
        <v>8.1760000000000002</v>
      </c>
      <c r="D242" s="6">
        <v>37.857142857142847</v>
      </c>
      <c r="E242" s="6">
        <v>26.728571428571431</v>
      </c>
      <c r="F242" s="6">
        <v>55.72</v>
      </c>
      <c r="G242" s="6">
        <v>3.72</v>
      </c>
      <c r="H242" s="6">
        <v>3.3885714285714279</v>
      </c>
      <c r="I242" s="6">
        <v>142.71428571428569</v>
      </c>
      <c r="J242" s="6">
        <v>8.1310494951147643</v>
      </c>
      <c r="K242" s="6">
        <v>9.7895596645381378E-4</v>
      </c>
      <c r="L242" s="6">
        <v>7.9599394167738681E-3</v>
      </c>
      <c r="M242" s="6">
        <v>14.95631051546688</v>
      </c>
      <c r="N242" s="6">
        <v>3.3772396087234668E-3</v>
      </c>
      <c r="O242" s="6">
        <v>5225</v>
      </c>
      <c r="P242" s="6">
        <v>81.189621211642077</v>
      </c>
      <c r="Q242" s="6">
        <v>3314.2750000000001</v>
      </c>
      <c r="R242" s="6">
        <v>0</v>
      </c>
      <c r="S242" s="6">
        <v>15.115267568660929</v>
      </c>
      <c r="T242" s="6">
        <f t="shared" si="68"/>
        <v>9.5732978583654287</v>
      </c>
      <c r="U242" s="6" t="e">
        <f t="shared" si="84"/>
        <v>#N/A</v>
      </c>
      <c r="V242" s="6">
        <f t="shared" si="69"/>
        <v>9.0129530307792223</v>
      </c>
      <c r="W242" s="6">
        <f t="shared" si="70"/>
        <v>10.133642685951633</v>
      </c>
      <c r="X242" s="6" t="e">
        <f t="shared" si="85"/>
        <v>#N/A</v>
      </c>
      <c r="Y242" s="6" t="e">
        <f t="shared" si="89"/>
        <v>#N/A</v>
      </c>
      <c r="Z242" s="6" t="e">
        <f t="shared" si="89"/>
        <v>#N/A</v>
      </c>
      <c r="AA242" s="6" t="e">
        <f t="shared" si="89"/>
        <v>#N/A</v>
      </c>
      <c r="AB242" s="6" t="e">
        <f t="shared" si="89"/>
        <v>#N/A</v>
      </c>
      <c r="AC242" s="6" t="e">
        <f t="shared" si="89"/>
        <v>#N/A</v>
      </c>
      <c r="AG242">
        <f t="shared" si="71"/>
        <v>-5.1999999999999607E-3</v>
      </c>
      <c r="AH242">
        <f t="shared" si="72"/>
        <v>0</v>
      </c>
      <c r="AI242">
        <f t="shared" si="73"/>
        <v>-0.43214285714285872</v>
      </c>
      <c r="AJ242">
        <f t="shared" si="74"/>
        <v>-1.1206896551724115</v>
      </c>
      <c r="AK242">
        <f t="shared" si="75"/>
        <v>0.26999999999999957</v>
      </c>
      <c r="AL242">
        <f t="shared" si="76"/>
        <v>-5.7142857142860048E-2</v>
      </c>
      <c r="AM242">
        <f t="shared" si="77"/>
        <v>0</v>
      </c>
      <c r="AN242">
        <f t="shared" si="78"/>
        <v>-3.796083125</v>
      </c>
      <c r="AO242">
        <f t="shared" si="79"/>
        <v>2.1979010097704723</v>
      </c>
      <c r="AQ242">
        <f t="shared" si="80"/>
        <v>9.0129530307792223</v>
      </c>
      <c r="AR242">
        <f t="shared" si="81"/>
        <v>10.133642685951633</v>
      </c>
      <c r="AT242" t="str">
        <f t="shared" si="82"/>
        <v>45516B</v>
      </c>
    </row>
    <row r="243" spans="1:46" hidden="1" x14ac:dyDescent="0.3">
      <c r="A243" s="17">
        <v>45516</v>
      </c>
      <c r="B243" s="18" t="s">
        <v>20</v>
      </c>
      <c r="C243" s="6">
        <v>8.1466666666666665</v>
      </c>
      <c r="D243" s="6">
        <v>37.909090909090907</v>
      </c>
      <c r="E243" s="6">
        <v>26.718181818181819</v>
      </c>
      <c r="F243" s="6">
        <v>55.72</v>
      </c>
      <c r="G243" s="6">
        <v>3.72</v>
      </c>
      <c r="H243" s="6">
        <v>3.3690909090909091</v>
      </c>
      <c r="I243" s="6">
        <v>145</v>
      </c>
      <c r="J243" s="6">
        <v>8.80837909203035</v>
      </c>
      <c r="K243" s="6">
        <v>1.1739648315373971E-3</v>
      </c>
      <c r="L243" s="6">
        <v>1.034072727689294E-2</v>
      </c>
      <c r="M243" s="6">
        <v>15.91839834977902</v>
      </c>
      <c r="N243" s="6">
        <v>0.53317676052465146</v>
      </c>
      <c r="O243" s="6">
        <v>5225</v>
      </c>
      <c r="P243" s="6">
        <v>81.212762728443465</v>
      </c>
      <c r="Q243" s="6">
        <v>5416.0800000000008</v>
      </c>
      <c r="R243" s="6">
        <v>0</v>
      </c>
      <c r="S243" s="6">
        <v>15.46902665804272</v>
      </c>
      <c r="T243" s="6">
        <f t="shared" si="68"/>
        <v>9.360574201768479</v>
      </c>
      <c r="U243" s="6" t="e">
        <f t="shared" si="84"/>
        <v>#N/A</v>
      </c>
      <c r="V243" s="6">
        <f t="shared" si="69"/>
        <v>8.8002293741822726</v>
      </c>
      <c r="W243" s="6">
        <f t="shared" si="70"/>
        <v>9.9209190293546836</v>
      </c>
      <c r="X243" s="6" t="e">
        <f t="shared" si="85"/>
        <v>#N/A</v>
      </c>
      <c r="Y243" s="6" t="e">
        <f t="shared" si="89"/>
        <v>#N/A</v>
      </c>
      <c r="Z243" s="6" t="e">
        <f t="shared" si="89"/>
        <v>#N/A</v>
      </c>
      <c r="AA243" s="6" t="e">
        <f t="shared" si="89"/>
        <v>#N/A</v>
      </c>
      <c r="AB243" s="6" t="e">
        <f t="shared" si="89"/>
        <v>#N/A</v>
      </c>
      <c r="AC243" s="6" t="e">
        <f t="shared" si="89"/>
        <v>#N/A</v>
      </c>
      <c r="AG243">
        <f t="shared" si="71"/>
        <v>6.6666666666677094E-4</v>
      </c>
      <c r="AH243">
        <f t="shared" si="72"/>
        <v>0</v>
      </c>
      <c r="AI243">
        <f t="shared" si="73"/>
        <v>-0.42348484848484824</v>
      </c>
      <c r="AJ243">
        <f t="shared" si="74"/>
        <v>-1.1206896551724115</v>
      </c>
      <c r="AK243">
        <f t="shared" si="75"/>
        <v>0.26999999999999957</v>
      </c>
      <c r="AL243">
        <f t="shared" si="76"/>
        <v>-0.15454545454545388</v>
      </c>
      <c r="AM243">
        <f t="shared" si="77"/>
        <v>0</v>
      </c>
      <c r="AN243">
        <f t="shared" si="78"/>
        <v>-3.5333575000000002</v>
      </c>
      <c r="AO243">
        <f t="shared" si="79"/>
        <v>0.84324181593930092</v>
      </c>
      <c r="AQ243">
        <f t="shared" si="80"/>
        <v>8.8002293741822726</v>
      </c>
      <c r="AR243">
        <f t="shared" si="81"/>
        <v>9.9209190293546836</v>
      </c>
      <c r="AT243" t="str">
        <f t="shared" si="82"/>
        <v>45516C</v>
      </c>
    </row>
    <row r="244" spans="1:46" hidden="1" x14ac:dyDescent="0.3">
      <c r="A244" s="17">
        <v>45516</v>
      </c>
      <c r="B244" s="18" t="s">
        <v>21</v>
      </c>
      <c r="C244" s="6">
        <v>8.2828571428571429</v>
      </c>
      <c r="D244" s="6">
        <v>38.25</v>
      </c>
      <c r="E244" s="6">
        <v>27.033333333333331</v>
      </c>
      <c r="F244" s="6">
        <v>55.72</v>
      </c>
      <c r="G244" s="6">
        <v>3.72</v>
      </c>
      <c r="H244" s="6">
        <v>3.371666666666667</v>
      </c>
      <c r="I244" s="6">
        <v>147.83333333333329</v>
      </c>
      <c r="J244" s="6">
        <v>9.1859283159411564</v>
      </c>
      <c r="K244" s="6">
        <v>3.0661642897834222E-3</v>
      </c>
      <c r="L244" s="6">
        <v>2.816556537084914E-2</v>
      </c>
      <c r="M244" s="6">
        <v>15.438973897695551</v>
      </c>
      <c r="N244" s="6">
        <v>7.0422896103742555E-2</v>
      </c>
      <c r="O244" s="6">
        <v>5225</v>
      </c>
      <c r="P244" s="6">
        <v>81.198137260364405</v>
      </c>
      <c r="Q244" s="6">
        <v>14900.83918032787</v>
      </c>
      <c r="R244" s="6">
        <v>0</v>
      </c>
      <c r="S244" s="6">
        <v>14.349297294420211</v>
      </c>
      <c r="T244" s="6">
        <f t="shared" si="68"/>
        <v>9.0346606294188128</v>
      </c>
      <c r="U244" s="6" t="e">
        <f t="shared" si="84"/>
        <v>#N/A</v>
      </c>
      <c r="V244" s="6">
        <f t="shared" si="69"/>
        <v>8.4743158018326081</v>
      </c>
      <c r="W244" s="6">
        <f t="shared" si="70"/>
        <v>9.5950054570050192</v>
      </c>
      <c r="X244" s="6" t="e">
        <f t="shared" si="85"/>
        <v>#N/A</v>
      </c>
      <c r="Y244" s="6" t="e">
        <f t="shared" si="89"/>
        <v>#N/A</v>
      </c>
      <c r="Z244" s="6" t="e">
        <f t="shared" si="89"/>
        <v>#N/A</v>
      </c>
      <c r="AA244" s="6" t="e">
        <f t="shared" si="89"/>
        <v>#N/A</v>
      </c>
      <c r="AB244" s="6" t="e">
        <f t="shared" si="89"/>
        <v>#N/A</v>
      </c>
      <c r="AC244" s="6" t="e">
        <f t="shared" si="89"/>
        <v>#N/A</v>
      </c>
      <c r="AG244">
        <f t="shared" si="71"/>
        <v>-2.6571428571428513E-2</v>
      </c>
      <c r="AH244">
        <f t="shared" si="72"/>
        <v>0</v>
      </c>
      <c r="AI244">
        <f t="shared" si="73"/>
        <v>-0.6861111111111089</v>
      </c>
      <c r="AJ244">
        <f t="shared" si="74"/>
        <v>-1.1206896551724115</v>
      </c>
      <c r="AK244">
        <f t="shared" si="75"/>
        <v>0.26999999999999957</v>
      </c>
      <c r="AL244">
        <f t="shared" si="76"/>
        <v>-0.14166666666666439</v>
      </c>
      <c r="AM244">
        <f t="shared" si="77"/>
        <v>0</v>
      </c>
      <c r="AN244">
        <f t="shared" si="78"/>
        <v>-2.3477626024590164</v>
      </c>
      <c r="AO244">
        <f t="shared" si="79"/>
        <v>8.814336811768797E-2</v>
      </c>
      <c r="AQ244">
        <f t="shared" si="80"/>
        <v>8.4743158018326081</v>
      </c>
      <c r="AR244">
        <f t="shared" si="81"/>
        <v>9.5950054570050192</v>
      </c>
      <c r="AT244" t="str">
        <f t="shared" si="82"/>
        <v>45516D</v>
      </c>
    </row>
    <row r="245" spans="1:46" hidden="1" x14ac:dyDescent="0.3">
      <c r="A245" s="17">
        <v>45517</v>
      </c>
      <c r="B245" s="18" t="s">
        <v>22</v>
      </c>
      <c r="C245" s="6">
        <v>8.2999999999999989</v>
      </c>
      <c r="D245" s="6">
        <v>38.888888888888893</v>
      </c>
      <c r="E245" s="6">
        <v>26.35222222222222</v>
      </c>
      <c r="F245" s="6">
        <v>55.72</v>
      </c>
      <c r="G245" s="6">
        <v>3.72</v>
      </c>
      <c r="H245" s="6">
        <v>3.3755555555555561</v>
      </c>
      <c r="I245" s="6">
        <v>152.55555555555549</v>
      </c>
      <c r="J245" s="6">
        <v>8.9036923747205723</v>
      </c>
      <c r="K245" s="6">
        <v>1.1380344265852301E-2</v>
      </c>
      <c r="L245" s="6">
        <v>0.1013270844615642</v>
      </c>
      <c r="M245" s="6">
        <v>19.003237936016308</v>
      </c>
      <c r="N245" s="6">
        <v>2.5830480466791121E-3</v>
      </c>
      <c r="O245" s="6">
        <v>5225</v>
      </c>
      <c r="P245" s="6">
        <v>81.252313404320873</v>
      </c>
      <c r="Q245" s="6">
        <v>49770.040000000008</v>
      </c>
      <c r="R245" s="6">
        <v>0</v>
      </c>
      <c r="S245" s="6">
        <v>16.77232250128387</v>
      </c>
      <c r="T245" s="6">
        <f t="shared" si="68"/>
        <v>18.105655118248226</v>
      </c>
      <c r="U245" s="6" t="e">
        <f t="shared" si="84"/>
        <v>#N/A</v>
      </c>
      <c r="V245" s="6">
        <f t="shared" si="69"/>
        <v>17.54531029066202</v>
      </c>
      <c r="W245" s="6">
        <f t="shared" si="70"/>
        <v>18.665999945834432</v>
      </c>
      <c r="X245" s="6" t="e">
        <f t="shared" si="85"/>
        <v>#N/A</v>
      </c>
      <c r="Y245" s="6" t="e">
        <f t="shared" si="89"/>
        <v>#N/A</v>
      </c>
      <c r="Z245" s="6" t="e">
        <f t="shared" si="89"/>
        <v>#N/A</v>
      </c>
      <c r="AA245" s="6" t="e">
        <f t="shared" si="89"/>
        <v>#N/A</v>
      </c>
      <c r="AB245" s="6" t="e">
        <f t="shared" si="89"/>
        <v>#N/A</v>
      </c>
      <c r="AC245" s="6" t="e">
        <f t="shared" si="89"/>
        <v>#N/A</v>
      </c>
      <c r="AG245">
        <f t="shared" si="71"/>
        <v>-2.9999999999999718E-2</v>
      </c>
      <c r="AH245">
        <f t="shared" si="72"/>
        <v>0</v>
      </c>
      <c r="AI245">
        <f t="shared" si="73"/>
        <v>-0.11851851851851633</v>
      </c>
      <c r="AJ245">
        <f t="shared" si="74"/>
        <v>-1.1206896551724115</v>
      </c>
      <c r="AK245">
        <f t="shared" si="75"/>
        <v>0.26999999999999957</v>
      </c>
      <c r="AL245">
        <f t="shared" si="76"/>
        <v>-0.12222222222221914</v>
      </c>
      <c r="AM245">
        <f t="shared" si="77"/>
        <v>0</v>
      </c>
      <c r="AN245">
        <f t="shared" si="78"/>
        <v>2.0108875000000008</v>
      </c>
      <c r="AO245">
        <f t="shared" si="79"/>
        <v>0.65261525055885627</v>
      </c>
      <c r="AQ245">
        <f t="shared" si="80"/>
        <v>17.54531029066202</v>
      </c>
      <c r="AR245">
        <f t="shared" si="81"/>
        <v>18.665999945834432</v>
      </c>
      <c r="AT245" t="str">
        <f t="shared" si="82"/>
        <v>45517A</v>
      </c>
    </row>
    <row r="246" spans="1:46" hidden="1" x14ac:dyDescent="0.3">
      <c r="A246" s="17">
        <v>45517</v>
      </c>
      <c r="B246" s="18" t="s">
        <v>19</v>
      </c>
      <c r="C246" s="6">
        <v>8.15</v>
      </c>
      <c r="D246" s="6">
        <v>38.333333333333343</v>
      </c>
      <c r="E246" s="6">
        <v>25.53</v>
      </c>
      <c r="F246" s="6">
        <v>55.965000000000003</v>
      </c>
      <c r="G246" s="6">
        <v>3.72</v>
      </c>
      <c r="H246" s="6">
        <v>3.3511111111111109</v>
      </c>
      <c r="I246" s="6">
        <v>144.7777777777778</v>
      </c>
      <c r="J246" s="6">
        <v>9.6279607551854234</v>
      </c>
      <c r="K246" s="6">
        <v>5.2075165187085871E-3</v>
      </c>
      <c r="L246" s="6">
        <v>5.0137764674106099E-2</v>
      </c>
      <c r="M246" s="6">
        <v>18.012356736514889</v>
      </c>
      <c r="N246" s="6">
        <v>2.8623111836405348</v>
      </c>
      <c r="O246" s="6">
        <v>5225</v>
      </c>
      <c r="P246" s="6">
        <v>81.281279355320194</v>
      </c>
      <c r="Q246" s="6">
        <v>22905.367692307689</v>
      </c>
      <c r="R246" s="6">
        <v>0</v>
      </c>
      <c r="S246" s="6">
        <v>16.568645314594619</v>
      </c>
      <c r="T246" s="6">
        <f t="shared" si="68"/>
        <v>12.689909185766792</v>
      </c>
      <c r="U246" s="6" t="e">
        <f t="shared" si="84"/>
        <v>#N/A</v>
      </c>
      <c r="V246" s="6">
        <f t="shared" si="69"/>
        <v>11.918357461628858</v>
      </c>
      <c r="W246" s="6">
        <f t="shared" si="70"/>
        <v>13.461460909904726</v>
      </c>
      <c r="X246" s="6" t="e">
        <f t="shared" si="85"/>
        <v>#N/A</v>
      </c>
      <c r="Y246" s="6" t="e">
        <f t="shared" si="89"/>
        <v>#N/A</v>
      </c>
      <c r="Z246" s="6" t="e">
        <f t="shared" si="89"/>
        <v>#N/A</v>
      </c>
      <c r="AA246" s="6" t="e">
        <f t="shared" si="89"/>
        <v>#N/A</v>
      </c>
      <c r="AB246" s="6" t="e">
        <f t="shared" si="89"/>
        <v>#N/A</v>
      </c>
      <c r="AC246" s="6" t="e">
        <f t="shared" si="89"/>
        <v>#N/A</v>
      </c>
      <c r="AG246">
        <f t="shared" si="71"/>
        <v>0</v>
      </c>
      <c r="AH246">
        <f t="shared" si="72"/>
        <v>0</v>
      </c>
      <c r="AI246">
        <f t="shared" si="73"/>
        <v>0.56666666666666643</v>
      </c>
      <c r="AJ246">
        <f t="shared" si="74"/>
        <v>-1.5431034482758674</v>
      </c>
      <c r="AK246">
        <f t="shared" si="75"/>
        <v>0.26999999999999957</v>
      </c>
      <c r="AL246">
        <f t="shared" si="76"/>
        <v>-0.24444444444444491</v>
      </c>
      <c r="AM246">
        <f t="shared" si="77"/>
        <v>0</v>
      </c>
      <c r="AN246">
        <f t="shared" si="78"/>
        <v>-1.3471965384615392</v>
      </c>
      <c r="AO246">
        <f t="shared" si="79"/>
        <v>-0.79592151037084591</v>
      </c>
      <c r="AQ246">
        <f t="shared" si="80"/>
        <v>11.918357461628858</v>
      </c>
      <c r="AR246">
        <f t="shared" si="81"/>
        <v>13.461460909904726</v>
      </c>
      <c r="AT246" t="str">
        <f t="shared" si="82"/>
        <v>45517B</v>
      </c>
    </row>
    <row r="247" spans="1:46" hidden="1" x14ac:dyDescent="0.3">
      <c r="A247" s="17">
        <v>45517</v>
      </c>
      <c r="B247" s="18" t="s">
        <v>20</v>
      </c>
      <c r="C247" s="6">
        <v>8.1416666666666657</v>
      </c>
      <c r="D247" s="6">
        <v>38</v>
      </c>
      <c r="E247" s="6">
        <v>26.211111111111109</v>
      </c>
      <c r="F247" s="6">
        <v>56.21</v>
      </c>
      <c r="G247" s="6">
        <v>3.79</v>
      </c>
      <c r="H247" s="6">
        <v>3.3111111111111109</v>
      </c>
      <c r="I247" s="6">
        <v>143.55555555555549</v>
      </c>
      <c r="J247" s="6">
        <v>10.070986153457669</v>
      </c>
      <c r="K247" s="6">
        <v>4.1200414664997274E-3</v>
      </c>
      <c r="L247" s="6">
        <v>4.1492880560790188E-2</v>
      </c>
      <c r="M247" s="6">
        <v>18.63609114133768</v>
      </c>
      <c r="N247" s="6">
        <v>3.0054851608034641</v>
      </c>
      <c r="O247" s="6">
        <v>5225</v>
      </c>
      <c r="P247" s="6">
        <v>85.868770612076602</v>
      </c>
      <c r="Q247" s="6">
        <v>19882.599999999999</v>
      </c>
      <c r="R247" s="6">
        <v>0</v>
      </c>
      <c r="S247" s="6">
        <v>16.33866798254984</v>
      </c>
      <c r="T247" s="6">
        <f t="shared" si="68"/>
        <v>10.862614010028985</v>
      </c>
      <c r="U247" s="6" t="e">
        <f t="shared" si="84"/>
        <v>#N/A</v>
      </c>
      <c r="V247" s="6">
        <f t="shared" si="69"/>
        <v>9.8798553893393297</v>
      </c>
      <c r="W247" s="6">
        <f t="shared" si="70"/>
        <v>11.845372630718641</v>
      </c>
      <c r="X247" s="6" t="e">
        <f t="shared" si="85"/>
        <v>#N/A</v>
      </c>
      <c r="Y247" s="6" t="e">
        <f t="shared" ref="Y247:AC252" si="90">VLOOKUP($AT247,hhh,3,0)</f>
        <v>#N/A</v>
      </c>
      <c r="Z247" s="6" t="e">
        <f t="shared" si="90"/>
        <v>#N/A</v>
      </c>
      <c r="AA247" s="6" t="e">
        <f t="shared" si="90"/>
        <v>#N/A</v>
      </c>
      <c r="AB247" s="6" t="e">
        <f t="shared" si="90"/>
        <v>#N/A</v>
      </c>
      <c r="AC247" s="6" t="e">
        <f t="shared" si="90"/>
        <v>#N/A</v>
      </c>
      <c r="AG247">
        <f t="shared" si="71"/>
        <v>1.6666666666669272E-3</v>
      </c>
      <c r="AH247">
        <f t="shared" si="72"/>
        <v>0</v>
      </c>
      <c r="AI247">
        <f t="shared" si="73"/>
        <v>-9.2592592592311007E-4</v>
      </c>
      <c r="AJ247">
        <f t="shared" si="74"/>
        <v>-1.9655172413793112</v>
      </c>
      <c r="AK247">
        <f t="shared" si="75"/>
        <v>6.0000000000000053E-2</v>
      </c>
      <c r="AL247">
        <f t="shared" si="76"/>
        <v>-0.44444444444444514</v>
      </c>
      <c r="AM247">
        <f t="shared" si="77"/>
        <v>0</v>
      </c>
      <c r="AN247">
        <f t="shared" si="78"/>
        <v>-1.7250425000000005</v>
      </c>
      <c r="AO247">
        <f t="shared" si="79"/>
        <v>-1.6819723069153376</v>
      </c>
      <c r="AQ247">
        <f t="shared" si="80"/>
        <v>9.8798553893393297</v>
      </c>
      <c r="AR247">
        <f t="shared" si="81"/>
        <v>11.845372630718641</v>
      </c>
      <c r="AT247" t="str">
        <f t="shared" si="82"/>
        <v>45517C</v>
      </c>
    </row>
    <row r="248" spans="1:46" hidden="1" x14ac:dyDescent="0.3">
      <c r="A248" s="17">
        <v>45517</v>
      </c>
      <c r="B248" s="18" t="s">
        <v>21</v>
      </c>
      <c r="C248" s="6">
        <v>8.2000000000000011</v>
      </c>
      <c r="D248" s="6">
        <v>38.222222222222221</v>
      </c>
      <c r="E248" s="6">
        <v>26.911111111111111</v>
      </c>
      <c r="F248" s="6">
        <v>56.21</v>
      </c>
      <c r="G248" s="6">
        <v>3.585</v>
      </c>
      <c r="H248" s="6">
        <v>3.2822222222222219</v>
      </c>
      <c r="I248" s="6">
        <v>145.11111111111109</v>
      </c>
      <c r="J248" s="6">
        <v>9.6699136390089748</v>
      </c>
      <c r="K248" s="6">
        <v>6.9530865973338506E-3</v>
      </c>
      <c r="L248" s="6">
        <v>6.7235746920769113E-2</v>
      </c>
      <c r="M248" s="6">
        <v>20.439555693201122</v>
      </c>
      <c r="N248" s="6">
        <v>0.84998390610092422</v>
      </c>
      <c r="O248" s="6">
        <v>5225</v>
      </c>
      <c r="P248" s="6">
        <v>81.287696822369085</v>
      </c>
      <c r="Q248" s="6">
        <v>35018.034710743806</v>
      </c>
      <c r="R248" s="6">
        <v>0</v>
      </c>
      <c r="S248" s="6">
        <v>18.30665907099451</v>
      </c>
      <c r="T248" s="6">
        <f t="shared" si="68"/>
        <v>15.235708485188344</v>
      </c>
      <c r="U248" s="6" t="e">
        <f t="shared" si="84"/>
        <v>#N/A</v>
      </c>
      <c r="V248" s="6">
        <f t="shared" si="69"/>
        <v>14.252949864498689</v>
      </c>
      <c r="W248" s="6">
        <f t="shared" si="70"/>
        <v>16.218467105877998</v>
      </c>
      <c r="X248" s="6" t="e">
        <f t="shared" si="85"/>
        <v>#N/A</v>
      </c>
      <c r="Y248" s="6" t="e">
        <f t="shared" si="90"/>
        <v>#N/A</v>
      </c>
      <c r="Z248" s="6" t="e">
        <f t="shared" si="90"/>
        <v>#N/A</v>
      </c>
      <c r="AA248" s="6" t="e">
        <f t="shared" si="90"/>
        <v>#N/A</v>
      </c>
      <c r="AB248" s="6" t="e">
        <f t="shared" si="90"/>
        <v>#N/A</v>
      </c>
      <c r="AC248" s="6" t="e">
        <f t="shared" si="90"/>
        <v>#N/A</v>
      </c>
      <c r="AG248">
        <f t="shared" si="71"/>
        <v>-1.0000000000000142E-2</v>
      </c>
      <c r="AH248">
        <f t="shared" si="72"/>
        <v>0</v>
      </c>
      <c r="AI248">
        <f t="shared" si="73"/>
        <v>-0.58425925925925881</v>
      </c>
      <c r="AJ248">
        <f t="shared" si="74"/>
        <v>-1.9655172413793112</v>
      </c>
      <c r="AK248">
        <f t="shared" si="75"/>
        <v>0.67500000000000016</v>
      </c>
      <c r="AL248">
        <f t="shared" si="76"/>
        <v>-0.58888888888888991</v>
      </c>
      <c r="AM248">
        <f t="shared" si="77"/>
        <v>0</v>
      </c>
      <c r="AN248">
        <f t="shared" si="78"/>
        <v>0.16688683884297553</v>
      </c>
      <c r="AO248">
        <f t="shared" si="79"/>
        <v>-0.8798272780179488</v>
      </c>
      <c r="AQ248">
        <f t="shared" si="80"/>
        <v>14.252949864498689</v>
      </c>
      <c r="AR248">
        <f t="shared" si="81"/>
        <v>16.218467105877998</v>
      </c>
      <c r="AT248" t="str">
        <f t="shared" si="82"/>
        <v>45517D</v>
      </c>
    </row>
    <row r="249" spans="1:46" hidden="1" x14ac:dyDescent="0.3">
      <c r="A249" s="17">
        <v>45518</v>
      </c>
      <c r="B249" s="18" t="s">
        <v>22</v>
      </c>
      <c r="C249" s="6">
        <v>8.16</v>
      </c>
      <c r="D249" s="6">
        <v>38.666666666666657</v>
      </c>
      <c r="E249" s="6">
        <v>26.62222222222222</v>
      </c>
      <c r="F249" s="6">
        <v>56.21</v>
      </c>
      <c r="G249" s="6">
        <v>3.38</v>
      </c>
      <c r="H249" s="6">
        <v>3.2111111111111108</v>
      </c>
      <c r="I249" s="6">
        <v>149.2222222222222</v>
      </c>
      <c r="J249" s="6">
        <v>8.1695751697219858</v>
      </c>
      <c r="K249" s="6">
        <v>7.375683126322175E-3</v>
      </c>
      <c r="L249" s="6">
        <v>6.0256197728539067E-2</v>
      </c>
      <c r="M249" s="6">
        <v>25.467778247242659</v>
      </c>
      <c r="N249" s="6">
        <v>0.54969629691678379</v>
      </c>
      <c r="O249" s="6">
        <v>5225</v>
      </c>
      <c r="P249" s="6">
        <v>81.360952958930227</v>
      </c>
      <c r="Q249" s="6">
        <v>43473.279999999999</v>
      </c>
      <c r="R249" s="6">
        <v>0</v>
      </c>
      <c r="S249" s="6">
        <v>22.360732072940401</v>
      </c>
      <c r="T249" s="6">
        <f t="shared" si="68"/>
        <v>24.829698824146071</v>
      </c>
      <c r="U249" s="6" t="e">
        <f t="shared" si="84"/>
        <v>#N/A</v>
      </c>
      <c r="V249" s="6">
        <f t="shared" si="69"/>
        <v>23.846940203456416</v>
      </c>
      <c r="W249" s="6">
        <f t="shared" si="70"/>
        <v>25.812457444835726</v>
      </c>
      <c r="X249" s="6" t="e">
        <f t="shared" si="85"/>
        <v>#N/A</v>
      </c>
      <c r="Y249" s="6" t="e">
        <f t="shared" si="90"/>
        <v>#N/A</v>
      </c>
      <c r="Z249" s="6" t="e">
        <f t="shared" si="90"/>
        <v>#N/A</v>
      </c>
      <c r="AA249" s="6" t="e">
        <f t="shared" si="90"/>
        <v>#N/A</v>
      </c>
      <c r="AB249" s="6" t="e">
        <f t="shared" si="90"/>
        <v>#N/A</v>
      </c>
      <c r="AC249" s="6" t="e">
        <f t="shared" si="90"/>
        <v>#N/A</v>
      </c>
      <c r="AG249">
        <f t="shared" si="71"/>
        <v>-1.9999999999999575E-3</v>
      </c>
      <c r="AH249">
        <f t="shared" si="72"/>
        <v>0</v>
      </c>
      <c r="AI249">
        <f t="shared" si="73"/>
        <v>-0.343518518518516</v>
      </c>
      <c r="AJ249">
        <f t="shared" si="74"/>
        <v>-1.9655172413793112</v>
      </c>
      <c r="AK249">
        <f t="shared" si="75"/>
        <v>1.2900000000000003</v>
      </c>
      <c r="AL249">
        <f t="shared" si="76"/>
        <v>-0.94444444444444564</v>
      </c>
      <c r="AM249">
        <f t="shared" si="77"/>
        <v>0</v>
      </c>
      <c r="AN249">
        <f t="shared" si="78"/>
        <v>1.2237924999999996</v>
      </c>
      <c r="AO249">
        <f t="shared" si="79"/>
        <v>2.1208496605560292</v>
      </c>
      <c r="AQ249">
        <f t="shared" si="80"/>
        <v>23.846940203456416</v>
      </c>
      <c r="AR249">
        <f t="shared" si="81"/>
        <v>25.812457444835726</v>
      </c>
      <c r="AT249" t="str">
        <f t="shared" si="82"/>
        <v>45518A</v>
      </c>
    </row>
    <row r="250" spans="1:46" hidden="1" x14ac:dyDescent="0.3">
      <c r="A250" s="17">
        <v>45518</v>
      </c>
      <c r="B250" s="18" t="s">
        <v>19</v>
      </c>
      <c r="C250" s="6">
        <v>8.0920000000000005</v>
      </c>
      <c r="D250" s="6">
        <v>38.125</v>
      </c>
      <c r="E250" s="6">
        <v>26.27375</v>
      </c>
      <c r="F250" s="6">
        <v>55.916666666666657</v>
      </c>
      <c r="G250" s="6">
        <v>3.63</v>
      </c>
      <c r="H250" s="6">
        <v>3.3574999999999999</v>
      </c>
      <c r="I250" s="6">
        <v>147.375</v>
      </c>
      <c r="J250" s="6">
        <v>9.6402762007763663</v>
      </c>
      <c r="K250" s="6">
        <v>3.9201468547865603E-3</v>
      </c>
      <c r="L250" s="6">
        <v>3.77912984277472E-2</v>
      </c>
      <c r="M250" s="6">
        <v>18.91134194319185</v>
      </c>
      <c r="N250" s="6">
        <v>2.467920797587225</v>
      </c>
      <c r="O250" s="6">
        <v>5225</v>
      </c>
      <c r="P250" s="6">
        <v>81.289127766899952</v>
      </c>
      <c r="Q250" s="6">
        <v>22894.765371673089</v>
      </c>
      <c r="R250" s="6">
        <v>0</v>
      </c>
      <c r="S250" s="6">
        <v>17.03619663951239</v>
      </c>
      <c r="T250" s="6">
        <f t="shared" si="68"/>
        <v>13.298357655626999</v>
      </c>
      <c r="U250" s="6" t="e">
        <f t="shared" si="84"/>
        <v>#N/A</v>
      </c>
      <c r="V250" s="6">
        <f t="shared" si="69"/>
        <v>12.568472598155743</v>
      </c>
      <c r="W250" s="6">
        <f t="shared" si="70"/>
        <v>14.028242713098255</v>
      </c>
      <c r="X250" s="6" t="e">
        <f t="shared" si="85"/>
        <v>#N/A</v>
      </c>
      <c r="Y250" s="6" t="e">
        <f t="shared" si="90"/>
        <v>#N/A</v>
      </c>
      <c r="Z250" s="6" t="e">
        <f t="shared" si="90"/>
        <v>#N/A</v>
      </c>
      <c r="AA250" s="6" t="e">
        <f t="shared" si="90"/>
        <v>#N/A</v>
      </c>
      <c r="AB250" s="6" t="e">
        <f t="shared" si="90"/>
        <v>#N/A</v>
      </c>
      <c r="AC250" s="6" t="e">
        <f t="shared" si="90"/>
        <v>#N/A</v>
      </c>
      <c r="AG250">
        <f t="shared" si="71"/>
        <v>1.1599999999999966E-2</v>
      </c>
      <c r="AH250">
        <f t="shared" si="72"/>
        <v>0</v>
      </c>
      <c r="AI250">
        <f t="shared" si="73"/>
        <v>-5.3124999999999055E-2</v>
      </c>
      <c r="AJ250">
        <f t="shared" si="74"/>
        <v>-1.459770114942512</v>
      </c>
      <c r="AK250">
        <f t="shared" si="75"/>
        <v>0.54000000000000048</v>
      </c>
      <c r="AL250">
        <f t="shared" si="76"/>
        <v>-0.21249999999999991</v>
      </c>
      <c r="AM250">
        <f t="shared" si="77"/>
        <v>0</v>
      </c>
      <c r="AN250">
        <f t="shared" si="78"/>
        <v>-1.3485218285408642</v>
      </c>
      <c r="AO250">
        <f t="shared" si="79"/>
        <v>-0.82055240155273168</v>
      </c>
      <c r="AQ250">
        <f t="shared" si="80"/>
        <v>12.568472598155743</v>
      </c>
      <c r="AR250">
        <f t="shared" si="81"/>
        <v>14.028242713098255</v>
      </c>
      <c r="AT250" t="str">
        <f t="shared" si="82"/>
        <v>45518B</v>
      </c>
    </row>
    <row r="251" spans="1:46" hidden="1" x14ac:dyDescent="0.3">
      <c r="A251" s="17">
        <v>45518</v>
      </c>
      <c r="B251" s="18" t="s">
        <v>20</v>
      </c>
      <c r="C251" s="6">
        <v>8.043333333333333</v>
      </c>
      <c r="D251" s="6">
        <v>38.6</v>
      </c>
      <c r="E251" s="6">
        <v>25.96</v>
      </c>
      <c r="F251" s="6">
        <v>55.77</v>
      </c>
      <c r="G251" s="6">
        <v>3.63</v>
      </c>
      <c r="H251" s="6">
        <v>3.415999999999999</v>
      </c>
      <c r="I251" s="6">
        <v>145.6</v>
      </c>
      <c r="J251" s="6">
        <v>11.075871296821321</v>
      </c>
      <c r="K251" s="6">
        <v>2.8557965833146308E-3</v>
      </c>
      <c r="L251" s="6">
        <v>3.1630435406694912E-2</v>
      </c>
      <c r="M251" s="6">
        <v>18.897012039856651</v>
      </c>
      <c r="N251" s="6">
        <v>7.8092732402295981</v>
      </c>
      <c r="O251" s="6">
        <v>5225</v>
      </c>
      <c r="P251" s="6">
        <v>106.6106411463669</v>
      </c>
      <c r="Q251" s="6">
        <v>14290.345600000001</v>
      </c>
      <c r="R251" s="6">
        <v>0</v>
      </c>
      <c r="S251" s="6">
        <v>16.851332544800311</v>
      </c>
      <c r="T251" s="6">
        <f t="shared" si="68"/>
        <v>10.027413537018603</v>
      </c>
      <c r="U251" s="6" t="e">
        <f t="shared" si="84"/>
        <v>#N/A</v>
      </c>
      <c r="V251" s="6">
        <f t="shared" si="69"/>
        <v>9.4239652611565319</v>
      </c>
      <c r="W251" s="6">
        <f t="shared" si="70"/>
        <v>10.630861812880674</v>
      </c>
      <c r="X251" s="6" t="e">
        <f t="shared" si="85"/>
        <v>#N/A</v>
      </c>
      <c r="Y251" s="6" t="e">
        <f t="shared" si="90"/>
        <v>#N/A</v>
      </c>
      <c r="Z251" s="6" t="e">
        <f t="shared" si="90"/>
        <v>#N/A</v>
      </c>
      <c r="AA251" s="6" t="e">
        <f t="shared" si="90"/>
        <v>#N/A</v>
      </c>
      <c r="AB251" s="6" t="e">
        <f t="shared" si="90"/>
        <v>#N/A</v>
      </c>
      <c r="AC251" s="6" t="e">
        <f t="shared" si="90"/>
        <v>#N/A</v>
      </c>
      <c r="AG251">
        <f t="shared" si="71"/>
        <v>2.1333333333333471E-2</v>
      </c>
      <c r="AH251">
        <f t="shared" si="72"/>
        <v>0</v>
      </c>
      <c r="AI251">
        <f t="shared" si="73"/>
        <v>0.20833333333333334</v>
      </c>
      <c r="AJ251">
        <f t="shared" si="74"/>
        <v>-1.2068965517241428</v>
      </c>
      <c r="AK251">
        <f t="shared" si="75"/>
        <v>0.54000000000000048</v>
      </c>
      <c r="AL251">
        <f t="shared" si="76"/>
        <v>7.999999999999563E-2</v>
      </c>
      <c r="AM251">
        <f t="shared" si="77"/>
        <v>0</v>
      </c>
      <c r="AN251">
        <f t="shared" si="78"/>
        <v>-2.4240743</v>
      </c>
      <c r="AO251">
        <f t="shared" si="79"/>
        <v>-3.6917425936426405</v>
      </c>
      <c r="AQ251">
        <f t="shared" si="80"/>
        <v>9.4239652611565319</v>
      </c>
      <c r="AR251">
        <f t="shared" si="81"/>
        <v>10.630861812880674</v>
      </c>
      <c r="AT251" t="str">
        <f t="shared" si="82"/>
        <v>45518C</v>
      </c>
    </row>
    <row r="252" spans="1:46" hidden="1" x14ac:dyDescent="0.3">
      <c r="A252" s="17">
        <v>45518</v>
      </c>
      <c r="B252" s="18" t="s">
        <v>21</v>
      </c>
      <c r="C252" s="6">
        <v>8.09</v>
      </c>
      <c r="D252" s="6">
        <v>38.799999999999997</v>
      </c>
      <c r="E252" s="6">
        <v>25.96</v>
      </c>
      <c r="F252" s="6">
        <v>55.44</v>
      </c>
      <c r="G252" s="6">
        <v>3.63</v>
      </c>
      <c r="H252" s="6">
        <v>3.4620000000000002</v>
      </c>
      <c r="I252" s="6">
        <v>144.30000000000001</v>
      </c>
      <c r="J252" s="6">
        <v>10.66997379974816</v>
      </c>
      <c r="K252" s="6">
        <v>3.3034561419472532E-3</v>
      </c>
      <c r="L252" s="6">
        <v>3.5247790483194333E-2</v>
      </c>
      <c r="M252" s="6">
        <v>16.218907172449111</v>
      </c>
      <c r="N252" s="6">
        <v>5.6701025494962076</v>
      </c>
      <c r="O252" s="6">
        <v>5225</v>
      </c>
      <c r="P252" s="6">
        <v>104.5481255568055</v>
      </c>
      <c r="Q252" s="6">
        <v>17150.895833586139</v>
      </c>
      <c r="R252" s="6">
        <v>0</v>
      </c>
      <c r="S252" s="6">
        <v>15.994337177629269</v>
      </c>
      <c r="T252" s="6">
        <f t="shared" si="68"/>
        <v>9.0238218682430169</v>
      </c>
      <c r="U252" s="6" t="e">
        <f t="shared" si="84"/>
        <v>#N/A</v>
      </c>
      <c r="V252" s="6">
        <f t="shared" si="69"/>
        <v>8.7048563510016397</v>
      </c>
      <c r="W252" s="6">
        <f t="shared" si="70"/>
        <v>9.3427873854843941</v>
      </c>
      <c r="X252" s="6" t="e">
        <f t="shared" si="85"/>
        <v>#N/A</v>
      </c>
      <c r="Y252" s="6" t="e">
        <f t="shared" si="90"/>
        <v>#N/A</v>
      </c>
      <c r="Z252" s="6" t="e">
        <f t="shared" si="90"/>
        <v>#N/A</v>
      </c>
      <c r="AA252" s="6" t="e">
        <f t="shared" si="90"/>
        <v>#N/A</v>
      </c>
      <c r="AB252" s="6" t="e">
        <f t="shared" si="90"/>
        <v>#N/A</v>
      </c>
      <c r="AC252" s="6" t="e">
        <f t="shared" si="90"/>
        <v>#N/A</v>
      </c>
      <c r="AG252">
        <f t="shared" si="71"/>
        <v>1.2000000000000101E-2</v>
      </c>
      <c r="AH252">
        <f t="shared" si="72"/>
        <v>0</v>
      </c>
      <c r="AI252">
        <f t="shared" si="73"/>
        <v>0.20833333333333334</v>
      </c>
      <c r="AJ252">
        <f t="shared" si="74"/>
        <v>-0.63793103448275423</v>
      </c>
      <c r="AK252">
        <f t="shared" si="75"/>
        <v>0.54000000000000048</v>
      </c>
      <c r="AL252">
        <f t="shared" si="76"/>
        <v>0.31000000000000144</v>
      </c>
      <c r="AM252">
        <f t="shared" si="77"/>
        <v>0</v>
      </c>
      <c r="AN252">
        <f t="shared" si="78"/>
        <v>-2.0665055208017331</v>
      </c>
      <c r="AO252">
        <f t="shared" si="79"/>
        <v>-2.8799475994963188</v>
      </c>
      <c r="AQ252">
        <f t="shared" si="80"/>
        <v>8.7048563510016397</v>
      </c>
      <c r="AR252">
        <f t="shared" si="81"/>
        <v>9.3427873854843941</v>
      </c>
      <c r="AT252" t="str">
        <f t="shared" si="82"/>
        <v>45518D</v>
      </c>
    </row>
    <row r="253" spans="1:46" x14ac:dyDescent="0.3">
      <c r="A253" s="17">
        <v>45519</v>
      </c>
      <c r="B253" s="18" t="s">
        <v>22</v>
      </c>
      <c r="C253" s="6">
        <v>8.3279999999999994</v>
      </c>
      <c r="D253" s="6">
        <v>39.571428571428569</v>
      </c>
      <c r="E253" s="6">
        <v>26.80857142857143</v>
      </c>
      <c r="F253" s="6">
        <v>55.44</v>
      </c>
      <c r="G253" s="6">
        <v>3.63</v>
      </c>
      <c r="H253" s="6">
        <v>3.4657142857142849</v>
      </c>
      <c r="I253" s="6">
        <v>143.28571428571431</v>
      </c>
      <c r="J253" s="6">
        <v>10.07643005858495</v>
      </c>
      <c r="K253" s="6">
        <v>8.9753132997921533E-3</v>
      </c>
      <c r="L253" s="6">
        <v>9.0439116719242915E-2</v>
      </c>
      <c r="M253" s="6">
        <v>13.472155547467411</v>
      </c>
      <c r="N253" s="6">
        <v>2.5809425570303491E-3</v>
      </c>
      <c r="O253" s="6">
        <v>5225</v>
      </c>
      <c r="P253" s="6">
        <v>81.39525570251736</v>
      </c>
      <c r="Q253" s="6">
        <v>40136.879999999997</v>
      </c>
      <c r="R253" s="6">
        <v>0</v>
      </c>
      <c r="S253" s="6">
        <v>14.354586882529199</v>
      </c>
      <c r="T253" s="6">
        <f t="shared" si="68"/>
        <v>9.6012343178180348</v>
      </c>
      <c r="U253" s="6">
        <f>VLOOKUP($AT253,kkk,U$4,0)</f>
        <v>15.56</v>
      </c>
      <c r="V253" s="6">
        <f t="shared" si="69"/>
        <v>9.2822688005766576</v>
      </c>
      <c r="W253" s="6">
        <f t="shared" si="70"/>
        <v>9.9201998350594121</v>
      </c>
      <c r="X253" s="6">
        <f t="shared" ref="X253:X284" si="91">VLOOKUP($AT253,iii,3,0)</f>
        <v>15.33</v>
      </c>
      <c r="Y253" s="6">
        <f t="shared" ref="Y253:Y284" si="92">VLOOKUP($AT253,iii,2,0)</f>
        <v>14.26</v>
      </c>
      <c r="Z253" s="6">
        <f>VLOOKUP($AT253,kkk,Z$4,0)</f>
        <v>8</v>
      </c>
      <c r="AA253" s="6">
        <f>VLOOKUP($AT253,kkk,AA$4,0)</f>
        <v>27.77</v>
      </c>
      <c r="AB253" s="6">
        <f>VLOOKUP($AT253,kkk,AB$4,0)</f>
        <v>3.23</v>
      </c>
      <c r="AC253" s="6">
        <f>VLOOKUP($AT253,kkk,AC$4,0)</f>
        <v>3.63</v>
      </c>
      <c r="AG253">
        <f t="shared" si="71"/>
        <v>-3.5599999999999812E-2</v>
      </c>
      <c r="AH253">
        <f t="shared" si="72"/>
        <v>0</v>
      </c>
      <c r="AI253">
        <f t="shared" si="73"/>
        <v>-0.49880952380952398</v>
      </c>
      <c r="AJ253">
        <f t="shared" si="74"/>
        <v>-0.63793103448275423</v>
      </c>
      <c r="AK253">
        <f t="shared" si="75"/>
        <v>0.54000000000000048</v>
      </c>
      <c r="AL253">
        <f t="shared" si="76"/>
        <v>0.3285714285714248</v>
      </c>
      <c r="AM253">
        <f t="shared" si="77"/>
        <v>0</v>
      </c>
      <c r="AN253">
        <f t="shared" si="78"/>
        <v>0.80674249999999936</v>
      </c>
      <c r="AO253">
        <f t="shared" si="79"/>
        <v>-1.6928601171699</v>
      </c>
      <c r="AQ253">
        <f t="shared" si="80"/>
        <v>9.2822688005766576</v>
      </c>
      <c r="AR253">
        <f t="shared" si="81"/>
        <v>9.9201998350594121</v>
      </c>
      <c r="AT253" t="str">
        <f t="shared" si="82"/>
        <v>45519A</v>
      </c>
    </row>
    <row r="254" spans="1:46" x14ac:dyDescent="0.3">
      <c r="A254" s="17">
        <v>45519</v>
      </c>
      <c r="B254" s="18" t="s">
        <v>19</v>
      </c>
      <c r="C254" s="6">
        <v>8.1383333333333336</v>
      </c>
      <c r="D254" s="6">
        <v>37.75</v>
      </c>
      <c r="E254" s="6">
        <v>27.7575</v>
      </c>
      <c r="F254" s="6">
        <v>55.72</v>
      </c>
      <c r="G254" s="6">
        <v>3.63</v>
      </c>
      <c r="H254" s="6">
        <v>3.28</v>
      </c>
      <c r="I254" s="6">
        <v>139.875</v>
      </c>
      <c r="J254" s="6">
        <v>9.6209756990481523</v>
      </c>
      <c r="K254" s="6">
        <v>3.4448892041865739E-3</v>
      </c>
      <c r="L254" s="6">
        <v>3.3143195319392353E-2</v>
      </c>
      <c r="M254" s="6">
        <v>16.801048531129201</v>
      </c>
      <c r="N254" s="6">
        <v>2.5821279799148719E-3</v>
      </c>
      <c r="O254" s="6">
        <v>5225</v>
      </c>
      <c r="P254" s="6">
        <v>81.21819351351246</v>
      </c>
      <c r="Q254" s="6">
        <v>13727.43652881356</v>
      </c>
      <c r="R254" s="6">
        <v>0</v>
      </c>
      <c r="S254" s="6">
        <v>17.649602918922621</v>
      </c>
      <c r="T254" s="6">
        <f t="shared" si="68"/>
        <v>8.6170643715483877</v>
      </c>
      <c r="U254" s="6">
        <f>VLOOKUP($AT254,kkk,U$4,0)</f>
        <v>15.31</v>
      </c>
      <c r="V254" s="6">
        <f t="shared" si="69"/>
        <v>8.0567195439621813</v>
      </c>
      <c r="W254" s="6">
        <f t="shared" si="70"/>
        <v>9.1774091991345923</v>
      </c>
      <c r="X254" s="6">
        <f t="shared" si="91"/>
        <v>15.81</v>
      </c>
      <c r="Y254" s="6">
        <f t="shared" si="92"/>
        <v>16.97</v>
      </c>
      <c r="Z254" s="6">
        <f>VLOOKUP($AT254,kkk,Z$4,0)</f>
        <v>7.89</v>
      </c>
      <c r="AA254" s="6">
        <f>VLOOKUP($AT254,kkk,AA$4,0)</f>
        <v>26.62</v>
      </c>
      <c r="AB254" s="6">
        <f>VLOOKUP($AT254,kkk,AB$4,0)</f>
        <v>3.24</v>
      </c>
      <c r="AC254" s="6">
        <f>VLOOKUP($AT254,kkk,AC$4,0)</f>
        <v>3.58</v>
      </c>
      <c r="AG254">
        <f t="shared" si="71"/>
        <v>2.3333333333333431E-3</v>
      </c>
      <c r="AH254">
        <f t="shared" si="72"/>
        <v>0</v>
      </c>
      <c r="AI254">
        <f t="shared" si="73"/>
        <v>-1.2895833333333329</v>
      </c>
      <c r="AJ254">
        <f t="shared" si="74"/>
        <v>-1.1206896551724115</v>
      </c>
      <c r="AK254">
        <f t="shared" si="75"/>
        <v>0.54000000000000048</v>
      </c>
      <c r="AL254">
        <f t="shared" si="76"/>
        <v>-0.60000000000000053</v>
      </c>
      <c r="AM254">
        <f t="shared" si="77"/>
        <v>0</v>
      </c>
      <c r="AN254">
        <f t="shared" si="78"/>
        <v>-2.4944379338983054</v>
      </c>
      <c r="AO254">
        <f t="shared" si="79"/>
        <v>-0.78195139809630376</v>
      </c>
      <c r="AQ254">
        <f t="shared" si="80"/>
        <v>8.0567195439621813</v>
      </c>
      <c r="AR254">
        <f t="shared" si="81"/>
        <v>9.1774091991345923</v>
      </c>
      <c r="AT254" t="str">
        <f t="shared" si="82"/>
        <v>45519B</v>
      </c>
    </row>
    <row r="255" spans="1:46" x14ac:dyDescent="0.3">
      <c r="A255" s="17">
        <v>45519</v>
      </c>
      <c r="B255" s="18" t="s">
        <v>20</v>
      </c>
      <c r="C255" s="6">
        <v>8.0299999999999994</v>
      </c>
      <c r="D255" s="6">
        <v>37.666666666666657</v>
      </c>
      <c r="E255" s="6">
        <v>27.74666666666667</v>
      </c>
      <c r="F255" s="6">
        <v>55.72</v>
      </c>
      <c r="G255" s="6">
        <v>3.58</v>
      </c>
      <c r="H255" s="6">
        <v>3.2133333333333329</v>
      </c>
      <c r="I255" s="6">
        <v>140.7777777777778</v>
      </c>
      <c r="J255" s="6">
        <v>8.5552687094708411</v>
      </c>
      <c r="K255" s="6">
        <v>3.0223715900581359E-3</v>
      </c>
      <c r="L255" s="6">
        <v>2.5857201092818E-2</v>
      </c>
      <c r="M255" s="6">
        <v>20.271773885622778</v>
      </c>
      <c r="N255" s="6">
        <v>2.5836854542240998E-3</v>
      </c>
      <c r="O255" s="6">
        <v>5225</v>
      </c>
      <c r="P255" s="6">
        <v>81.271967167588286</v>
      </c>
      <c r="Q255" s="6">
        <v>14672.0448</v>
      </c>
      <c r="R255" s="6">
        <v>0</v>
      </c>
      <c r="S255" s="6">
        <v>20.90193680555198</v>
      </c>
      <c r="T255" s="6">
        <f t="shared" si="68"/>
        <v>14.184640850206002</v>
      </c>
      <c r="U255" s="6">
        <f>VLOOKUP($AT255,kkk,U$4,0)</f>
        <v>15.86</v>
      </c>
      <c r="V255" s="6">
        <f t="shared" si="69"/>
        <v>13.624296022619795</v>
      </c>
      <c r="W255" s="6">
        <f t="shared" si="70"/>
        <v>14.744985677792206</v>
      </c>
      <c r="X255" s="6" t="e">
        <f t="shared" si="91"/>
        <v>#N/A</v>
      </c>
      <c r="Y255" s="6" t="e">
        <f t="shared" si="92"/>
        <v>#N/A</v>
      </c>
      <c r="Z255" s="6">
        <f>VLOOKUP($AT255,kkk,Z$4,0)</f>
        <v>8.1999999999999993</v>
      </c>
      <c r="AA255" s="6">
        <f>VLOOKUP($AT255,kkk,AA$4,0)</f>
        <v>25.44</v>
      </c>
      <c r="AB255" s="6">
        <f>VLOOKUP($AT255,kkk,AB$4,0)</f>
        <v>3.37</v>
      </c>
      <c r="AC255" s="6">
        <f>VLOOKUP($AT255,kkk,AC$4,0)</f>
        <v>3.58</v>
      </c>
      <c r="AG255">
        <f t="shared" si="71"/>
        <v>2.4000000000000202E-2</v>
      </c>
      <c r="AH255">
        <f t="shared" si="72"/>
        <v>0</v>
      </c>
      <c r="AI255">
        <f t="shared" si="73"/>
        <v>-1.2805555555555574</v>
      </c>
      <c r="AJ255">
        <f t="shared" si="74"/>
        <v>-1.1206896551724115</v>
      </c>
      <c r="AK255">
        <f t="shared" si="75"/>
        <v>0.68999999999999984</v>
      </c>
      <c r="AL255">
        <f t="shared" si="76"/>
        <v>-0.9333333333333349</v>
      </c>
      <c r="AM255">
        <f t="shared" si="77"/>
        <v>0</v>
      </c>
      <c r="AN255">
        <f t="shared" si="78"/>
        <v>-2.3763619000000005</v>
      </c>
      <c r="AO255">
        <f t="shared" si="79"/>
        <v>1.3494625810583187</v>
      </c>
      <c r="AQ255">
        <f t="shared" si="80"/>
        <v>13.624296022619795</v>
      </c>
      <c r="AR255">
        <f t="shared" si="81"/>
        <v>14.744985677792206</v>
      </c>
      <c r="AT255" t="str">
        <f t="shared" si="82"/>
        <v>45519C</v>
      </c>
    </row>
    <row r="256" spans="1:46" x14ac:dyDescent="0.3">
      <c r="A256" s="17">
        <v>45519</v>
      </c>
      <c r="B256" s="18" t="s">
        <v>21</v>
      </c>
      <c r="C256" s="6">
        <v>7.92</v>
      </c>
      <c r="D256" s="6">
        <v>37.714285714285722</v>
      </c>
      <c r="E256" s="6">
        <v>27.9</v>
      </c>
      <c r="F256" s="6">
        <v>55.74</v>
      </c>
      <c r="G256" s="6">
        <v>3.58</v>
      </c>
      <c r="H256" s="6">
        <v>3.194285714285714</v>
      </c>
      <c r="I256" s="6">
        <v>140.42857142857139</v>
      </c>
      <c r="J256" s="6">
        <v>7.9275919098446961</v>
      </c>
      <c r="K256" s="6">
        <v>2.5345415802659351E-3</v>
      </c>
      <c r="L256" s="6">
        <v>2.0092811326881219E-2</v>
      </c>
      <c r="M256" s="6">
        <v>22.191147874615162</v>
      </c>
      <c r="N256" s="6">
        <v>2.584573382621946E-3</v>
      </c>
      <c r="O256" s="6">
        <v>5225</v>
      </c>
      <c r="P256" s="6">
        <v>81.301706511208721</v>
      </c>
      <c r="Q256" s="6">
        <v>10677.6933945946</v>
      </c>
      <c r="R256" s="6">
        <v>0</v>
      </c>
      <c r="S256" s="6">
        <v>22.84040702164808</v>
      </c>
      <c r="T256" s="6">
        <f t="shared" si="68"/>
        <v>16.641817260448782</v>
      </c>
      <c r="U256" s="6" t="e">
        <f>VLOOKUP($AT256,kkk,U$4,0)</f>
        <v>#N/A</v>
      </c>
      <c r="V256" s="6">
        <f t="shared" si="69"/>
        <v>16.064231053552227</v>
      </c>
      <c r="W256" s="6">
        <f t="shared" si="70"/>
        <v>17.219403467345334</v>
      </c>
      <c r="X256" s="6" t="e">
        <f t="shared" si="91"/>
        <v>#N/A</v>
      </c>
      <c r="Y256" s="6" t="e">
        <f t="shared" si="92"/>
        <v>#N/A</v>
      </c>
      <c r="Z256" s="6" t="e">
        <f>VLOOKUP($AT256,kkk,Z$4,0)</f>
        <v>#N/A</v>
      </c>
      <c r="AA256" s="6" t="e">
        <f>VLOOKUP($AT256,kkk,AA$4,0)</f>
        <v>#N/A</v>
      </c>
      <c r="AB256" s="6" t="e">
        <f>VLOOKUP($AT256,kkk,AB$4,0)</f>
        <v>#N/A</v>
      </c>
      <c r="AC256" s="6" t="e">
        <f>VLOOKUP($AT256,kkk,AC$4,0)</f>
        <v>#N/A</v>
      </c>
      <c r="AG256">
        <f t="shared" si="71"/>
        <v>4.6000000000000089E-2</v>
      </c>
      <c r="AH256">
        <f t="shared" si="72"/>
        <v>0</v>
      </c>
      <c r="AI256">
        <f t="shared" si="73"/>
        <v>-1.4083333333333314</v>
      </c>
      <c r="AJ256">
        <f t="shared" si="74"/>
        <v>-1.1551724137931063</v>
      </c>
      <c r="AK256">
        <f t="shared" si="75"/>
        <v>0.68999999999999984</v>
      </c>
      <c r="AL256">
        <f t="shared" si="76"/>
        <v>-1.0285714285714298</v>
      </c>
      <c r="AM256">
        <f t="shared" si="77"/>
        <v>0</v>
      </c>
      <c r="AN256">
        <f t="shared" si="78"/>
        <v>-2.8756558256756755</v>
      </c>
      <c r="AO256">
        <f t="shared" si="79"/>
        <v>2.6048161803106087</v>
      </c>
      <c r="AQ256">
        <f t="shared" si="80"/>
        <v>16.064231053552227</v>
      </c>
      <c r="AR256">
        <f t="shared" si="81"/>
        <v>17.219403467345334</v>
      </c>
      <c r="AT256" t="str">
        <f t="shared" si="82"/>
        <v>45519D</v>
      </c>
    </row>
    <row r="257" spans="1:46" x14ac:dyDescent="0.3">
      <c r="A257" s="17">
        <v>45520</v>
      </c>
      <c r="B257" s="18" t="s">
        <v>22</v>
      </c>
      <c r="C257" s="6">
        <v>8.1433333333333326</v>
      </c>
      <c r="D257" s="6">
        <v>39.666666666666657</v>
      </c>
      <c r="E257" s="6">
        <v>25.396666666666661</v>
      </c>
      <c r="F257" s="6">
        <v>55.74</v>
      </c>
      <c r="G257" s="6">
        <v>3.58</v>
      </c>
      <c r="H257" s="6">
        <v>3.36</v>
      </c>
      <c r="I257" s="6">
        <v>149.66666666666671</v>
      </c>
      <c r="J257" s="6">
        <v>7.6776821828825241</v>
      </c>
      <c r="K257" s="6">
        <v>4.7150459003762564E-3</v>
      </c>
      <c r="L257" s="6">
        <v>3.6200623900792067E-2</v>
      </c>
      <c r="M257" s="6">
        <v>20.771097524451481</v>
      </c>
      <c r="N257" s="6">
        <v>0.55053969347029408</v>
      </c>
      <c r="O257" s="6">
        <v>5225</v>
      </c>
      <c r="P257" s="6">
        <v>81.288194172155201</v>
      </c>
      <c r="Q257" s="6">
        <v>11279.68</v>
      </c>
      <c r="R257" s="6">
        <v>0</v>
      </c>
      <c r="S257" s="6">
        <v>19.118245889362299</v>
      </c>
      <c r="T257" s="6">
        <f t="shared" si="68"/>
        <v>18.666850562900997</v>
      </c>
      <c r="U257" s="6">
        <f>VLOOKUP($AT257,kkk,U$4,0)</f>
        <v>20.079999999999998</v>
      </c>
      <c r="V257" s="6">
        <f t="shared" si="69"/>
        <v>18.089264356004442</v>
      </c>
      <c r="W257" s="6">
        <f t="shared" si="70"/>
        <v>19.244436769797549</v>
      </c>
      <c r="X257" s="6">
        <f t="shared" si="91"/>
        <v>20.83</v>
      </c>
      <c r="Y257" s="6">
        <f t="shared" si="92"/>
        <v>22.77</v>
      </c>
      <c r="Z257" s="6">
        <f>VLOOKUP($AT257,kkk,Z$4,0)</f>
        <v>8.08</v>
      </c>
      <c r="AA257" s="6">
        <f>VLOOKUP($AT257,kkk,AA$4,0)</f>
        <v>25.77</v>
      </c>
      <c r="AB257" s="6">
        <f>VLOOKUP($AT257,kkk,AB$4,0)</f>
        <v>3.34</v>
      </c>
      <c r="AC257" s="6">
        <f>VLOOKUP($AT257,kkk,AC$4,0)</f>
        <v>3.58</v>
      </c>
      <c r="AG257">
        <f t="shared" si="71"/>
        <v>1.3333333333335419E-3</v>
      </c>
      <c r="AH257">
        <f t="shared" si="72"/>
        <v>0</v>
      </c>
      <c r="AI257">
        <f t="shared" si="73"/>
        <v>0.67777777777778314</v>
      </c>
      <c r="AJ257">
        <f t="shared" si="74"/>
        <v>-1.1551724137931063</v>
      </c>
      <c r="AK257">
        <f t="shared" si="75"/>
        <v>0.68999999999999984</v>
      </c>
      <c r="AL257">
        <f t="shared" si="76"/>
        <v>-0.20000000000000018</v>
      </c>
      <c r="AM257">
        <f t="shared" si="77"/>
        <v>0</v>
      </c>
      <c r="AN257">
        <f t="shared" si="78"/>
        <v>-2.8004075000000004</v>
      </c>
      <c r="AO257">
        <f t="shared" si="79"/>
        <v>3.1046356342349526</v>
      </c>
      <c r="AQ257">
        <f t="shared" si="80"/>
        <v>18.089264356004442</v>
      </c>
      <c r="AR257">
        <f t="shared" si="81"/>
        <v>19.244436769797549</v>
      </c>
      <c r="AT257" t="str">
        <f t="shared" si="82"/>
        <v>45520A</v>
      </c>
    </row>
    <row r="258" spans="1:46" x14ac:dyDescent="0.3">
      <c r="A258" s="17">
        <v>45520</v>
      </c>
      <c r="B258" s="18" t="s">
        <v>19</v>
      </c>
      <c r="C258" s="6">
        <v>7.9233333333333329</v>
      </c>
      <c r="D258" s="6">
        <v>37.666666666666657</v>
      </c>
      <c r="E258" s="6">
        <v>25.645555555555561</v>
      </c>
      <c r="F258" s="6">
        <v>55</v>
      </c>
      <c r="G258" s="6">
        <v>3.61</v>
      </c>
      <c r="H258" s="6">
        <v>3.342222222222222</v>
      </c>
      <c r="I258" s="6">
        <v>146.55555555555549</v>
      </c>
      <c r="J258" s="6">
        <v>8.9274571573753523</v>
      </c>
      <c r="K258" s="6">
        <v>2.2887219654361712E-3</v>
      </c>
      <c r="L258" s="6">
        <v>2.0432467291575329E-2</v>
      </c>
      <c r="M258" s="6">
        <v>17.431445561188241</v>
      </c>
      <c r="N258" s="6">
        <v>2.5829125714447571E-3</v>
      </c>
      <c r="O258" s="6">
        <v>5225</v>
      </c>
      <c r="P258" s="6">
        <v>81.227960180254755</v>
      </c>
      <c r="Q258" s="6">
        <v>9536.44</v>
      </c>
      <c r="R258" s="6">
        <v>0</v>
      </c>
      <c r="S258" s="6">
        <v>19.041531078868669</v>
      </c>
      <c r="T258" s="6">
        <f t="shared" si="68"/>
        <v>12.905378388838557</v>
      </c>
      <c r="U258" s="6">
        <f>VLOOKUP($AT258,kkk,U$4,0)</f>
        <v>18.809999999999999</v>
      </c>
      <c r="V258" s="6">
        <f t="shared" si="69"/>
        <v>12.965723216424763</v>
      </c>
      <c r="W258" s="6">
        <f t="shared" si="70"/>
        <v>12.845033561252349</v>
      </c>
      <c r="X258" s="6">
        <f t="shared" si="91"/>
        <v>16.93</v>
      </c>
      <c r="Y258" s="6">
        <f t="shared" si="92"/>
        <v>15.72</v>
      </c>
      <c r="Z258" s="6">
        <f>VLOOKUP($AT258,kkk,Z$4,0)</f>
        <v>8.1</v>
      </c>
      <c r="AA258" s="6">
        <f>VLOOKUP($AT258,kkk,AA$4,0)</f>
        <v>27.27</v>
      </c>
      <c r="AB258" s="6">
        <f>VLOOKUP($AT258,kkk,AB$4,0)</f>
        <v>3.34</v>
      </c>
      <c r="AC258" s="6">
        <f>VLOOKUP($AT258,kkk,AC$4,0)</f>
        <v>3.7</v>
      </c>
      <c r="AG258">
        <f t="shared" si="71"/>
        <v>4.5333333333333496E-2</v>
      </c>
      <c r="AH258">
        <f t="shared" si="72"/>
        <v>0</v>
      </c>
      <c r="AI258">
        <f t="shared" si="73"/>
        <v>0.47037037037036694</v>
      </c>
      <c r="AJ258">
        <f t="shared" si="74"/>
        <v>0.12068965517241428</v>
      </c>
      <c r="AK258">
        <f t="shared" si="75"/>
        <v>0.60000000000000053</v>
      </c>
      <c r="AL258">
        <f t="shared" si="76"/>
        <v>-0.28888888888888964</v>
      </c>
      <c r="AM258">
        <f t="shared" si="77"/>
        <v>0</v>
      </c>
      <c r="AN258">
        <f t="shared" si="78"/>
        <v>-3.0183125</v>
      </c>
      <c r="AO258">
        <f t="shared" si="79"/>
        <v>0.60508568524929629</v>
      </c>
      <c r="AQ258">
        <f t="shared" si="80"/>
        <v>12.965723216424763</v>
      </c>
      <c r="AR258">
        <f t="shared" si="81"/>
        <v>12.845033561252349</v>
      </c>
      <c r="AT258" t="str">
        <f t="shared" si="82"/>
        <v>45520B</v>
      </c>
    </row>
    <row r="259" spans="1:46" x14ac:dyDescent="0.3">
      <c r="A259" s="17">
        <v>45520</v>
      </c>
      <c r="B259" s="18" t="s">
        <v>20</v>
      </c>
      <c r="C259" s="6">
        <v>7.9342857142857142</v>
      </c>
      <c r="D259" s="6">
        <v>37.916666666666657</v>
      </c>
      <c r="E259" s="6">
        <v>25.884166666666669</v>
      </c>
      <c r="F259" s="6">
        <v>55</v>
      </c>
      <c r="G259" s="6">
        <v>3.61</v>
      </c>
      <c r="H259" s="6">
        <v>3.34</v>
      </c>
      <c r="I259" s="6">
        <v>145.83333333333329</v>
      </c>
      <c r="J259" s="6">
        <v>9.8422078833002384</v>
      </c>
      <c r="K259" s="6">
        <v>1.7166462406171059E-3</v>
      </c>
      <c r="L259" s="6">
        <v>1.6895589162239402E-2</v>
      </c>
      <c r="M259" s="6">
        <v>16.624410976160078</v>
      </c>
      <c r="N259" s="6">
        <v>2.6009656610854401E-3</v>
      </c>
      <c r="O259" s="6">
        <v>5225</v>
      </c>
      <c r="P259" s="6">
        <v>81.21545396854367</v>
      </c>
      <c r="Q259" s="6">
        <v>7130.04</v>
      </c>
      <c r="R259" s="6">
        <v>0</v>
      </c>
      <c r="S259" s="6">
        <v>18.41722581733373</v>
      </c>
      <c r="T259" s="6">
        <f t="shared" si="68"/>
        <v>9.7558981720664448</v>
      </c>
      <c r="U259" s="6">
        <f>VLOOKUP($AT259,kkk,U$4,0)</f>
        <v>16.03</v>
      </c>
      <c r="V259" s="6">
        <f t="shared" si="69"/>
        <v>9.8162429996526512</v>
      </c>
      <c r="W259" s="6">
        <f t="shared" si="70"/>
        <v>9.6955533444802366</v>
      </c>
      <c r="X259" s="6" t="e">
        <f t="shared" si="91"/>
        <v>#N/A</v>
      </c>
      <c r="Y259" s="6" t="e">
        <f t="shared" si="92"/>
        <v>#N/A</v>
      </c>
      <c r="Z259" s="6">
        <f>VLOOKUP($AT259,kkk,Z$4,0)</f>
        <v>8.4499999999999993</v>
      </c>
      <c r="AA259" s="6">
        <f>VLOOKUP($AT259,kkk,AA$4,0)</f>
        <v>26.6</v>
      </c>
      <c r="AB259" s="6">
        <f>VLOOKUP($AT259,kkk,AB$4,0)</f>
        <v>3.44</v>
      </c>
      <c r="AC259" s="6">
        <f>VLOOKUP($AT259,kkk,AC$4,0)</f>
        <v>3.7</v>
      </c>
      <c r="AG259">
        <f t="shared" si="71"/>
        <v>4.314285714285724E-2</v>
      </c>
      <c r="AH259">
        <f t="shared" si="72"/>
        <v>0</v>
      </c>
      <c r="AI259">
        <f t="shared" si="73"/>
        <v>0.27152777777777659</v>
      </c>
      <c r="AJ259">
        <f t="shared" si="74"/>
        <v>0.12068965517241428</v>
      </c>
      <c r="AK259">
        <f t="shared" si="75"/>
        <v>0.60000000000000053</v>
      </c>
      <c r="AL259">
        <f t="shared" si="76"/>
        <v>-0.30000000000000027</v>
      </c>
      <c r="AM259">
        <f t="shared" si="77"/>
        <v>0</v>
      </c>
      <c r="AN259">
        <f t="shared" si="78"/>
        <v>-3.3191125000000001</v>
      </c>
      <c r="AO259">
        <f t="shared" si="79"/>
        <v>-1.224415766600476</v>
      </c>
      <c r="AQ259">
        <f t="shared" si="80"/>
        <v>9.8162429996526512</v>
      </c>
      <c r="AR259">
        <f t="shared" si="81"/>
        <v>9.6955533444802366</v>
      </c>
      <c r="AT259" t="str">
        <f t="shared" si="82"/>
        <v>45520C</v>
      </c>
    </row>
    <row r="260" spans="1:46" x14ac:dyDescent="0.3">
      <c r="A260" s="17">
        <v>45520</v>
      </c>
      <c r="B260" s="18" t="s">
        <v>21</v>
      </c>
      <c r="C260" s="6">
        <v>8.0771428571428565</v>
      </c>
      <c r="D260" s="6">
        <v>37.727272727272727</v>
      </c>
      <c r="E260" s="6">
        <v>26.627272727272729</v>
      </c>
      <c r="F260" s="6">
        <v>55</v>
      </c>
      <c r="G260" s="6">
        <v>3.7</v>
      </c>
      <c r="H260" s="6">
        <v>3.2836363636363628</v>
      </c>
      <c r="I260" s="6">
        <v>143.5454545454545</v>
      </c>
      <c r="J260" s="6">
        <v>10.124329197340669</v>
      </c>
      <c r="K260" s="6">
        <v>4.2395946426810396E-3</v>
      </c>
      <c r="L260" s="6">
        <v>4.292305182578475E-2</v>
      </c>
      <c r="M260" s="6">
        <v>15.481733480832309</v>
      </c>
      <c r="N260" s="6">
        <v>2.5825313353365479E-3</v>
      </c>
      <c r="O260" s="6">
        <v>5225</v>
      </c>
      <c r="P260" s="6">
        <v>81.19777720439609</v>
      </c>
      <c r="Q260" s="6">
        <v>19152.9962264151</v>
      </c>
      <c r="R260" s="6">
        <v>0</v>
      </c>
      <c r="S260" s="6">
        <v>17.821543885541619</v>
      </c>
      <c r="T260" s="6">
        <f t="shared" ref="T260:T323" si="93">AVERAGE(AQ260:AR260)</f>
        <v>8.3522029160650355</v>
      </c>
      <c r="U260" s="6" t="e">
        <f>VLOOKUP($AT260,kkk,U$4,0)</f>
        <v>#N/A</v>
      </c>
      <c r="V260" s="6">
        <f t="shared" ref="V260:V323" si="94">M260+SUM(AG260:AO260)+$T$1+R260/$Z$1</f>
        <v>8.4125477436512419</v>
      </c>
      <c r="W260" s="6">
        <f t="shared" ref="W260:W323" si="95">M260+SUM(AG260:AO260)+$T$1+R260/$Z$1-AJ260-AM260</f>
        <v>8.2918580884788273</v>
      </c>
      <c r="X260" s="6" t="e">
        <f t="shared" si="91"/>
        <v>#N/A</v>
      </c>
      <c r="Y260" s="6" t="e">
        <f t="shared" si="92"/>
        <v>#N/A</v>
      </c>
      <c r="Z260" s="6" t="e">
        <f>VLOOKUP($AT260,kkk,Z$4,0)</f>
        <v>#N/A</v>
      </c>
      <c r="AA260" s="6" t="e">
        <f>VLOOKUP($AT260,kkk,AA$4,0)</f>
        <v>#N/A</v>
      </c>
      <c r="AB260" s="6" t="e">
        <f>VLOOKUP($AT260,kkk,AB$4,0)</f>
        <v>#N/A</v>
      </c>
      <c r="AC260" s="6" t="e">
        <f>VLOOKUP($AT260,kkk,AC$4,0)</f>
        <v>#N/A</v>
      </c>
      <c r="AG260">
        <f t="shared" ref="AG260:AG323" si="96">C$3*(C$1-C260)/C$2</f>
        <v>1.457142857142877E-2</v>
      </c>
      <c r="AH260">
        <f t="shared" ref="AH260:AH323" si="97">D$3*(D$1-D260)/D$2</f>
        <v>0</v>
      </c>
      <c r="AI260">
        <f t="shared" ref="AI260:AI323" si="98">E$3*(E$1-E260)/E$2</f>
        <v>-0.34772727272727327</v>
      </c>
      <c r="AJ260">
        <f t="shared" ref="AJ260:AJ323" si="99">F$3*(F$1-F260)/F$2</f>
        <v>0.12068965517241428</v>
      </c>
      <c r="AK260">
        <f t="shared" ref="AK260:AK323" si="100">G$3*(G$1-G260)/G$2</f>
        <v>0.32999999999999957</v>
      </c>
      <c r="AL260">
        <f t="shared" ref="AL260:AL323" si="101">H$3*(H$1-H260)/H$2</f>
        <v>-0.58181818181818556</v>
      </c>
      <c r="AM260">
        <f t="shared" ref="AM260:AM323" si="102">I$3*(I$1-I260)/I$2</f>
        <v>0</v>
      </c>
      <c r="AN260">
        <f t="shared" ref="AN260:AN323" si="103">(Q260-$M$1)/$M$2</f>
        <v>-1.8162429716981128</v>
      </c>
      <c r="AO260">
        <f t="shared" ref="AO260:AO323" si="104">(J260-$Q$1)/$Q$2</f>
        <v>-1.7886583946813381</v>
      </c>
      <c r="AQ260">
        <f t="shared" ref="AQ260:AQ323" si="105">M260+SUM(AG260:AO260)+$T$1+R260/$Z$1</f>
        <v>8.4125477436512419</v>
      </c>
      <c r="AR260">
        <f t="shared" ref="AR260:AR323" si="106">M260+SUM(AG260:AO260)+$T$1+R260/$Z$1-AJ260-AM260</f>
        <v>8.2918580884788273</v>
      </c>
      <c r="AT260" t="str">
        <f t="shared" ref="AT260:AT323" si="107">A260&amp;B260</f>
        <v>45520D</v>
      </c>
    </row>
    <row r="261" spans="1:46" x14ac:dyDescent="0.3">
      <c r="A261" s="17">
        <v>45523</v>
      </c>
      <c r="B261" s="18" t="s">
        <v>19</v>
      </c>
      <c r="C261" s="6">
        <v>8.418000000000001</v>
      </c>
      <c r="D261" s="6">
        <v>37.714285714285722</v>
      </c>
      <c r="E261" s="6">
        <v>27.76857142857143</v>
      </c>
      <c r="F261" s="6">
        <v>55.77</v>
      </c>
      <c r="G261" s="6">
        <v>3.96</v>
      </c>
      <c r="H261" s="6">
        <v>3.5371428571428569</v>
      </c>
      <c r="I261" s="6">
        <v>142.42857142857139</v>
      </c>
      <c r="J261" s="6">
        <v>8.7003986442441636</v>
      </c>
      <c r="K261" s="6">
        <v>4.007763131622774E-4</v>
      </c>
      <c r="L261" s="6">
        <v>3.486913691682253E-3</v>
      </c>
      <c r="M261" s="6">
        <v>13.323020516028549</v>
      </c>
      <c r="N261" s="6">
        <v>2.4368072292850922</v>
      </c>
      <c r="O261" s="6">
        <v>5225</v>
      </c>
      <c r="P261" s="6">
        <v>120.3260724893795</v>
      </c>
      <c r="Q261" s="6">
        <v>1293.76</v>
      </c>
      <c r="R261" s="6">
        <v>0</v>
      </c>
      <c r="S261" s="6">
        <v>13.3168155264246</v>
      </c>
      <c r="T261" s="6">
        <f t="shared" si="93"/>
        <v>5.6134322135829109</v>
      </c>
      <c r="U261" s="6">
        <f>VLOOKUP($AT261,kkk,U$4,0)</f>
        <v>13.68</v>
      </c>
      <c r="V261" s="6">
        <f t="shared" si="94"/>
        <v>5.0099839377208397</v>
      </c>
      <c r="W261" s="6">
        <f t="shared" si="95"/>
        <v>6.2168804894449821</v>
      </c>
      <c r="X261" s="6">
        <f t="shared" si="91"/>
        <v>10.97</v>
      </c>
      <c r="Y261" s="6">
        <f t="shared" si="92"/>
        <v>10.5</v>
      </c>
      <c r="Z261" s="6">
        <f>VLOOKUP($AT261,kkk,Z$4,0)</f>
        <v>8.5</v>
      </c>
      <c r="AA261" s="6">
        <f>VLOOKUP($AT261,kkk,AA$4,0)</f>
        <v>27</v>
      </c>
      <c r="AB261" s="6">
        <f>VLOOKUP($AT261,kkk,AB$4,0)</f>
        <v>3.65</v>
      </c>
      <c r="AC261" s="6">
        <f>VLOOKUP($AT261,kkk,AC$4,0)</f>
        <v>4.04</v>
      </c>
      <c r="AG261">
        <f t="shared" si="96"/>
        <v>-5.3600000000000141E-2</v>
      </c>
      <c r="AH261">
        <f t="shared" si="97"/>
        <v>0</v>
      </c>
      <c r="AI261">
        <f t="shared" si="98"/>
        <v>-1.2988095238095247</v>
      </c>
      <c r="AJ261">
        <f t="shared" si="99"/>
        <v>-1.2068965517241428</v>
      </c>
      <c r="AK261">
        <f t="shared" si="100"/>
        <v>-0.44999999999999968</v>
      </c>
      <c r="AL261">
        <f t="shared" si="101"/>
        <v>0.68571428571428505</v>
      </c>
      <c r="AM261">
        <f t="shared" si="102"/>
        <v>0</v>
      </c>
      <c r="AN261">
        <f t="shared" si="103"/>
        <v>-4.0486475000000004</v>
      </c>
      <c r="AO261">
        <f t="shared" si="104"/>
        <v>1.0592027115116736</v>
      </c>
      <c r="AQ261">
        <f t="shared" si="105"/>
        <v>5.0099839377208397</v>
      </c>
      <c r="AR261">
        <f t="shared" si="106"/>
        <v>6.2168804894449821</v>
      </c>
      <c r="AT261" t="str">
        <f t="shared" si="107"/>
        <v>45523B</v>
      </c>
    </row>
    <row r="262" spans="1:46" x14ac:dyDescent="0.3">
      <c r="A262" s="17">
        <v>45523</v>
      </c>
      <c r="B262" s="18" t="s">
        <v>20</v>
      </c>
      <c r="C262" s="6">
        <v>8.4316666666666666</v>
      </c>
      <c r="D262" s="6">
        <v>38</v>
      </c>
      <c r="E262" s="6">
        <v>27.577999999999999</v>
      </c>
      <c r="F262" s="6">
        <v>55.77</v>
      </c>
      <c r="G262" s="6">
        <v>3.96</v>
      </c>
      <c r="H262" s="6">
        <v>3.5640000000000001</v>
      </c>
      <c r="I262" s="6">
        <v>142.9</v>
      </c>
      <c r="J262" s="6">
        <v>9.0263275833174408</v>
      </c>
      <c r="K262" s="6">
        <v>2.6291359641873288E-3</v>
      </c>
      <c r="L262" s="6">
        <v>2.3731442473835979E-2</v>
      </c>
      <c r="M262" s="6">
        <v>13.32188002725537</v>
      </c>
      <c r="N262" s="6">
        <v>1.9893853944233031</v>
      </c>
      <c r="O262" s="6">
        <v>5225</v>
      </c>
      <c r="P262" s="6">
        <v>120.31577447653591</v>
      </c>
      <c r="Q262" s="6">
        <v>12319.68</v>
      </c>
      <c r="R262" s="6">
        <v>0</v>
      </c>
      <c r="S262" s="6">
        <v>13.31681569966412</v>
      </c>
      <c r="T262" s="6">
        <f t="shared" si="93"/>
        <v>6.6290357514250857</v>
      </c>
      <c r="U262" s="6">
        <f>VLOOKUP($AT262,kkk,U$4,0)</f>
        <v>11.08</v>
      </c>
      <c r="V262" s="6">
        <f t="shared" si="94"/>
        <v>6.0255874755630146</v>
      </c>
      <c r="W262" s="6">
        <f t="shared" si="95"/>
        <v>7.2324840272871569</v>
      </c>
      <c r="X262" s="6" t="e">
        <f t="shared" si="91"/>
        <v>#N/A</v>
      </c>
      <c r="Y262" s="6" t="e">
        <f t="shared" si="92"/>
        <v>#N/A</v>
      </c>
      <c r="Z262" s="6">
        <f>VLOOKUP($AT262,kkk,Z$4,0)</f>
        <v>8.57</v>
      </c>
      <c r="AA262" s="6">
        <f>VLOOKUP($AT262,kkk,AA$4,0)</f>
        <v>26.92</v>
      </c>
      <c r="AB262" s="6">
        <f>VLOOKUP($AT262,kkk,AB$4,0)</f>
        <v>3.44</v>
      </c>
      <c r="AC262" s="6">
        <f>VLOOKUP($AT262,kkk,AC$4,0)</f>
        <v>4.04</v>
      </c>
      <c r="AG262">
        <f t="shared" si="96"/>
        <v>-5.6333333333333263E-2</v>
      </c>
      <c r="AH262">
        <f t="shared" si="97"/>
        <v>0</v>
      </c>
      <c r="AI262">
        <f t="shared" si="98"/>
        <v>-1.1399999999999988</v>
      </c>
      <c r="AJ262">
        <f t="shared" si="99"/>
        <v>-1.2068965517241428</v>
      </c>
      <c r="AK262">
        <f t="shared" si="100"/>
        <v>-0.44999999999999968</v>
      </c>
      <c r="AL262">
        <f t="shared" si="101"/>
        <v>0.82000000000000073</v>
      </c>
      <c r="AM262">
        <f t="shared" si="102"/>
        <v>0</v>
      </c>
      <c r="AN262">
        <f t="shared" si="103"/>
        <v>-2.6704075</v>
      </c>
      <c r="AO262">
        <f t="shared" si="104"/>
        <v>0.40734483336511929</v>
      </c>
      <c r="AQ262">
        <f t="shared" si="105"/>
        <v>6.0255874755630146</v>
      </c>
      <c r="AR262">
        <f t="shared" si="106"/>
        <v>7.2324840272871569</v>
      </c>
      <c r="AT262" t="str">
        <f t="shared" si="107"/>
        <v>45523C</v>
      </c>
    </row>
    <row r="263" spans="1:46" x14ac:dyDescent="0.3">
      <c r="A263" s="17">
        <v>45523</v>
      </c>
      <c r="B263" s="18" t="s">
        <v>21</v>
      </c>
      <c r="C263" s="6">
        <v>8.5050000000000008</v>
      </c>
      <c r="D263" s="6">
        <v>37.6</v>
      </c>
      <c r="E263" s="6">
        <v>28.3</v>
      </c>
      <c r="F263" s="6">
        <v>54.98</v>
      </c>
      <c r="G263" s="6">
        <v>3.9866666666666668</v>
      </c>
      <c r="H263" s="6">
        <v>3.55</v>
      </c>
      <c r="I263" s="6">
        <v>143.19999999999999</v>
      </c>
      <c r="J263" s="6">
        <v>9.451405237680925</v>
      </c>
      <c r="K263" s="6">
        <v>3.9337763040942601E-3</v>
      </c>
      <c r="L263" s="6">
        <v>3.7179713964381599E-2</v>
      </c>
      <c r="M263" s="6">
        <v>13.31681509827842</v>
      </c>
      <c r="N263" s="6">
        <v>2.599719514604676E-3</v>
      </c>
      <c r="O263" s="6">
        <v>5225</v>
      </c>
      <c r="P263" s="6">
        <v>120.2700432356517</v>
      </c>
      <c r="Q263" s="6">
        <v>18709.12</v>
      </c>
      <c r="R263" s="6">
        <v>0</v>
      </c>
      <c r="S263" s="6">
        <v>13.31681530566143</v>
      </c>
      <c r="T263" s="6">
        <f t="shared" si="93"/>
        <v>6.4871966631464577</v>
      </c>
      <c r="U263" s="6" t="e">
        <f>VLOOKUP($AT263,kkk,U$4,0)</f>
        <v>#N/A</v>
      </c>
      <c r="V263" s="6">
        <f t="shared" si="94"/>
        <v>6.5647828700430129</v>
      </c>
      <c r="W263" s="6">
        <f t="shared" si="95"/>
        <v>6.4096104562499034</v>
      </c>
      <c r="X263" s="6" t="e">
        <f t="shared" si="91"/>
        <v>#N/A</v>
      </c>
      <c r="Y263" s="6" t="e">
        <f t="shared" si="92"/>
        <v>#N/A</v>
      </c>
      <c r="Z263" s="6" t="e">
        <f>VLOOKUP($AT263,kkk,Z$4,0)</f>
        <v>#N/A</v>
      </c>
      <c r="AA263" s="6" t="e">
        <f>VLOOKUP($AT263,kkk,AA$4,0)</f>
        <v>#N/A</v>
      </c>
      <c r="AB263" s="6" t="e">
        <f>VLOOKUP($AT263,kkk,AB$4,0)</f>
        <v>#N/A</v>
      </c>
      <c r="AC263" s="6" t="e">
        <f>VLOOKUP($AT263,kkk,AC$4,0)</f>
        <v>#N/A</v>
      </c>
      <c r="AG263">
        <f t="shared" si="96"/>
        <v>-7.1000000000000091E-2</v>
      </c>
      <c r="AH263">
        <f t="shared" si="97"/>
        <v>0</v>
      </c>
      <c r="AI263">
        <f t="shared" si="98"/>
        <v>-1.7416666666666667</v>
      </c>
      <c r="AJ263">
        <f t="shared" si="99"/>
        <v>0.15517241379310931</v>
      </c>
      <c r="AK263">
        <f t="shared" si="100"/>
        <v>-0.53000000000000025</v>
      </c>
      <c r="AL263">
        <f t="shared" si="101"/>
        <v>0.74999999999999956</v>
      </c>
      <c r="AM263">
        <f t="shared" si="102"/>
        <v>0</v>
      </c>
      <c r="AN263">
        <f t="shared" si="103"/>
        <v>-1.8717275000000004</v>
      </c>
      <c r="AO263">
        <f t="shared" si="104"/>
        <v>-0.44281047536184914</v>
      </c>
      <c r="AQ263">
        <f t="shared" si="105"/>
        <v>6.5647828700430129</v>
      </c>
      <c r="AR263">
        <f t="shared" si="106"/>
        <v>6.4096104562499034</v>
      </c>
      <c r="AT263" t="str">
        <f t="shared" si="107"/>
        <v>45523D</v>
      </c>
    </row>
    <row r="264" spans="1:46" x14ac:dyDescent="0.3">
      <c r="A264" s="17">
        <v>45524</v>
      </c>
      <c r="B264" s="18" t="s">
        <v>22</v>
      </c>
      <c r="C264" s="6">
        <v>8.5883333333333329</v>
      </c>
      <c r="D264" s="6">
        <v>38.4</v>
      </c>
      <c r="E264" s="6">
        <v>27.326000000000001</v>
      </c>
      <c r="F264" s="6">
        <v>54.98</v>
      </c>
      <c r="G264" s="6">
        <v>4.04</v>
      </c>
      <c r="H264" s="6">
        <v>3.47</v>
      </c>
      <c r="I264" s="6">
        <v>148.1</v>
      </c>
      <c r="J264" s="6">
        <v>7.4866994097254764</v>
      </c>
      <c r="K264" s="6">
        <v>3.7723540750417132E-3</v>
      </c>
      <c r="L264" s="6">
        <v>2.8242481026890282E-2</v>
      </c>
      <c r="M264" s="6">
        <v>13.304008824749991</v>
      </c>
      <c r="N264" s="6">
        <v>2.5966802977228712E-3</v>
      </c>
      <c r="O264" s="6">
        <v>5225</v>
      </c>
      <c r="P264" s="6">
        <v>115.129614099956</v>
      </c>
      <c r="Q264" s="6">
        <v>21100.240000000002</v>
      </c>
      <c r="R264" s="6">
        <v>0</v>
      </c>
      <c r="S264" s="6">
        <v>13.29159184585883</v>
      </c>
      <c r="T264" s="6">
        <f t="shared" si="93"/>
        <v>10.93769204552893</v>
      </c>
      <c r="U264" s="6">
        <f>VLOOKUP($AT264,kkk,U$4,0)</f>
        <v>12.64</v>
      </c>
      <c r="V264" s="6">
        <f t="shared" si="94"/>
        <v>11.015278252425484</v>
      </c>
      <c r="W264" s="6">
        <f t="shared" si="95"/>
        <v>10.860105838632375</v>
      </c>
      <c r="X264" s="6">
        <f t="shared" si="91"/>
        <v>13.73</v>
      </c>
      <c r="Y264" s="6">
        <f t="shared" si="92"/>
        <v>13.72</v>
      </c>
      <c r="Z264" s="6">
        <f>VLOOKUP($AT264,kkk,Z$4,0)</f>
        <v>8.15</v>
      </c>
      <c r="AA264" s="6">
        <f>VLOOKUP($AT264,kkk,AA$4,0)</f>
        <v>26.4</v>
      </c>
      <c r="AB264" s="6">
        <f>VLOOKUP($AT264,kkk,AB$4,0)</f>
        <v>3.34</v>
      </c>
      <c r="AC264" s="6">
        <f>VLOOKUP($AT264,kkk,AC$4,0)</f>
        <v>4.0599999999999996</v>
      </c>
      <c r="AG264">
        <f t="shared" si="96"/>
        <v>-8.7666666666666518E-2</v>
      </c>
      <c r="AH264">
        <f t="shared" si="97"/>
        <v>0</v>
      </c>
      <c r="AI264">
        <f t="shared" si="98"/>
        <v>-0.92999999999999972</v>
      </c>
      <c r="AJ264">
        <f t="shared" si="99"/>
        <v>0.15517241379310931</v>
      </c>
      <c r="AK264">
        <f t="shared" si="100"/>
        <v>-0.68999999999999984</v>
      </c>
      <c r="AL264">
        <f t="shared" si="101"/>
        <v>0.35000000000000142</v>
      </c>
      <c r="AM264">
        <f t="shared" si="102"/>
        <v>0</v>
      </c>
      <c r="AN264">
        <f t="shared" si="103"/>
        <v>-1.5728375000000001</v>
      </c>
      <c r="AO264">
        <f t="shared" si="104"/>
        <v>3.486601180549048</v>
      </c>
      <c r="AQ264">
        <f t="shared" si="105"/>
        <v>11.015278252425484</v>
      </c>
      <c r="AR264">
        <f t="shared" si="106"/>
        <v>10.860105838632375</v>
      </c>
      <c r="AT264" t="str">
        <f t="shared" si="107"/>
        <v>45524A</v>
      </c>
    </row>
    <row r="265" spans="1:46" x14ac:dyDescent="0.3">
      <c r="A265" s="17">
        <v>45524</v>
      </c>
      <c r="B265" s="18" t="s">
        <v>19</v>
      </c>
      <c r="C265" s="6">
        <v>8.2557142857142853</v>
      </c>
      <c r="D265" s="6">
        <v>38.799999999999997</v>
      </c>
      <c r="E265" s="6">
        <v>26.097000000000001</v>
      </c>
      <c r="F265" s="6">
        <v>54.62</v>
      </c>
      <c r="G265" s="6">
        <v>4.0599999999999996</v>
      </c>
      <c r="H265" s="6">
        <v>3.4180000000000001</v>
      </c>
      <c r="I265" s="6">
        <v>143.6</v>
      </c>
      <c r="J265" s="6">
        <v>7.8969544133899596</v>
      </c>
      <c r="K265" s="6">
        <v>6.6182949569208831E-3</v>
      </c>
      <c r="L265" s="6">
        <v>5.2264373569172878E-2</v>
      </c>
      <c r="M265" s="6">
        <v>13.2791236850479</v>
      </c>
      <c r="N265" s="6">
        <v>2.591773056709649E-3</v>
      </c>
      <c r="O265" s="6">
        <v>5225</v>
      </c>
      <c r="P265" s="6">
        <v>105.136082030034</v>
      </c>
      <c r="Q265" s="6">
        <v>38348.737142857142</v>
      </c>
      <c r="R265" s="6">
        <v>0</v>
      </c>
      <c r="S265" s="6">
        <v>15.3516516153979</v>
      </c>
      <c r="T265" s="6">
        <f t="shared" si="93"/>
        <v>13.329394345131696</v>
      </c>
      <c r="U265" s="6">
        <f>VLOOKUP($AT265,kkk,U$4,0)</f>
        <v>14.23</v>
      </c>
      <c r="V265" s="6">
        <f t="shared" si="94"/>
        <v>13.717325379614458</v>
      </c>
      <c r="W265" s="6">
        <f t="shared" si="95"/>
        <v>12.941463310648935</v>
      </c>
      <c r="X265" s="6">
        <f t="shared" si="91"/>
        <v>13.91</v>
      </c>
      <c r="Y265" s="6">
        <f t="shared" si="92"/>
        <v>13.94</v>
      </c>
      <c r="Z265" s="6">
        <f>VLOOKUP($AT265,kkk,Z$4,0)</f>
        <v>8.07</v>
      </c>
      <c r="AA265" s="6">
        <f>VLOOKUP($AT265,kkk,AA$4,0)</f>
        <v>26.9</v>
      </c>
      <c r="AB265" s="6">
        <f>VLOOKUP($AT265,kkk,AB$4,0)</f>
        <v>3.28</v>
      </c>
      <c r="AC265" s="6">
        <f>VLOOKUP($AT265,kkk,AC$4,0)</f>
        <v>4.0599999999999996</v>
      </c>
      <c r="AG265">
        <f t="shared" si="96"/>
        <v>-2.1142857142856998E-2</v>
      </c>
      <c r="AH265">
        <f t="shared" si="97"/>
        <v>0</v>
      </c>
      <c r="AI265">
        <f t="shared" si="98"/>
        <v>9.4166666666666288E-2</v>
      </c>
      <c r="AJ265">
        <f t="shared" si="99"/>
        <v>0.77586206896552223</v>
      </c>
      <c r="AK265">
        <f t="shared" si="100"/>
        <v>-0.74999999999999856</v>
      </c>
      <c r="AL265">
        <f t="shared" si="101"/>
        <v>9.000000000000119E-2</v>
      </c>
      <c r="AM265">
        <f t="shared" si="102"/>
        <v>0</v>
      </c>
      <c r="AN265">
        <f t="shared" si="103"/>
        <v>0.58322464285714248</v>
      </c>
      <c r="AO265">
        <f t="shared" si="104"/>
        <v>2.6660911732200816</v>
      </c>
      <c r="AQ265">
        <f t="shared" si="105"/>
        <v>13.717325379614458</v>
      </c>
      <c r="AR265">
        <f t="shared" si="106"/>
        <v>12.941463310648935</v>
      </c>
      <c r="AT265" t="str">
        <f t="shared" si="107"/>
        <v>45524B</v>
      </c>
    </row>
    <row r="266" spans="1:46" x14ac:dyDescent="0.3">
      <c r="A266" s="17">
        <v>45524</v>
      </c>
      <c r="B266" s="18" t="s">
        <v>20</v>
      </c>
      <c r="C266" s="6">
        <v>8.1980000000000004</v>
      </c>
      <c r="D266" s="6">
        <v>38.666666666666657</v>
      </c>
      <c r="E266" s="6">
        <v>26.117777777777778</v>
      </c>
      <c r="F266" s="6">
        <v>54.44</v>
      </c>
      <c r="G266" s="6">
        <v>4.0599999999999996</v>
      </c>
      <c r="H266" s="6">
        <v>3.36</v>
      </c>
      <c r="I266" s="6">
        <v>143.33333333333329</v>
      </c>
      <c r="J266" s="6">
        <v>9.8398778788162868</v>
      </c>
      <c r="K266" s="6">
        <v>6.1063937908791693E-3</v>
      </c>
      <c r="L266" s="6">
        <v>6.0086169182213059E-2</v>
      </c>
      <c r="M266" s="6">
        <v>13.30538563174677</v>
      </c>
      <c r="N266" s="6">
        <v>2.5969544173757228E-3</v>
      </c>
      <c r="O266" s="6">
        <v>5225</v>
      </c>
      <c r="P266" s="6">
        <v>115.61141661660911</v>
      </c>
      <c r="Q266" s="6">
        <v>30765.08</v>
      </c>
      <c r="R266" s="6">
        <v>0</v>
      </c>
      <c r="S266" s="6">
        <v>16.52058330570852</v>
      </c>
      <c r="T266" s="6">
        <f t="shared" si="93"/>
        <v>8.3812526742419138</v>
      </c>
      <c r="U266" s="6">
        <f>VLOOKUP($AT266,kkk,U$4,0)</f>
        <v>13.98</v>
      </c>
      <c r="V266" s="6">
        <f t="shared" si="94"/>
        <v>8.9243561225177785</v>
      </c>
      <c r="W266" s="6">
        <f t="shared" si="95"/>
        <v>7.8381492259660499</v>
      </c>
      <c r="X266" s="6" t="e">
        <f t="shared" si="91"/>
        <v>#N/A</v>
      </c>
      <c r="Y266" s="6" t="e">
        <f t="shared" si="92"/>
        <v>#N/A</v>
      </c>
      <c r="Z266" s="6">
        <f>VLOOKUP($AT266,kkk,Z$4,0)</f>
        <v>8.11</v>
      </c>
      <c r="AA266" s="6">
        <f>VLOOKUP($AT266,kkk,AA$4,0)</f>
        <v>26.22</v>
      </c>
      <c r="AB266" s="6">
        <f>VLOOKUP($AT266,kkk,AB$4,0)</f>
        <v>3.25</v>
      </c>
      <c r="AC266" s="6">
        <f>VLOOKUP($AT266,kkk,AC$4,0)</f>
        <v>3.65</v>
      </c>
      <c r="AG266">
        <f t="shared" si="96"/>
        <v>-9.6000000000000096E-3</v>
      </c>
      <c r="AH266">
        <f t="shared" si="97"/>
        <v>0</v>
      </c>
      <c r="AI266">
        <f t="shared" si="98"/>
        <v>7.6851851851852032E-2</v>
      </c>
      <c r="AJ266">
        <f t="shared" si="99"/>
        <v>1.0862068965517286</v>
      </c>
      <c r="AK266">
        <f t="shared" si="100"/>
        <v>-0.74999999999999856</v>
      </c>
      <c r="AL266">
        <f t="shared" si="101"/>
        <v>-0.20000000000000018</v>
      </c>
      <c r="AM266">
        <f t="shared" si="102"/>
        <v>0</v>
      </c>
      <c r="AN266">
        <f t="shared" si="103"/>
        <v>-0.36473250000000007</v>
      </c>
      <c r="AO266">
        <f t="shared" si="104"/>
        <v>-1.2197557576325728</v>
      </c>
      <c r="AQ266">
        <f t="shared" si="105"/>
        <v>8.9243561225177785</v>
      </c>
      <c r="AR266">
        <f t="shared" si="106"/>
        <v>7.8381492259660499</v>
      </c>
      <c r="AT266" t="str">
        <f t="shared" si="107"/>
        <v>45524C</v>
      </c>
    </row>
    <row r="267" spans="1:46" x14ac:dyDescent="0.3">
      <c r="A267" s="17">
        <v>45524</v>
      </c>
      <c r="B267" s="18" t="s">
        <v>21</v>
      </c>
      <c r="C267" s="6">
        <v>8.0879999999999992</v>
      </c>
      <c r="D267" s="6">
        <v>38.5</v>
      </c>
      <c r="E267" s="6">
        <v>26.462499999999999</v>
      </c>
      <c r="F267" s="6">
        <v>55.106666666666662</v>
      </c>
      <c r="G267" s="6">
        <v>4.0599999999999996</v>
      </c>
      <c r="H267" s="6">
        <v>3.2650000000000001</v>
      </c>
      <c r="I267" s="6">
        <v>146.25</v>
      </c>
      <c r="J267" s="6">
        <v>10.100706445653429</v>
      </c>
      <c r="K267" s="6">
        <v>6.0803323263863979E-3</v>
      </c>
      <c r="L267" s="6">
        <v>6.1415651920845991E-2</v>
      </c>
      <c r="M267" s="6">
        <v>17.46447356260898</v>
      </c>
      <c r="N267" s="6">
        <v>2.5928367879135749E-3</v>
      </c>
      <c r="O267" s="6">
        <v>5225</v>
      </c>
      <c r="P267" s="6">
        <v>99.926143354244303</v>
      </c>
      <c r="Q267" s="6">
        <v>31496.33</v>
      </c>
      <c r="R267" s="6">
        <v>0</v>
      </c>
      <c r="S267" s="6">
        <v>18.61243671674989</v>
      </c>
      <c r="T267" s="6">
        <f t="shared" si="93"/>
        <v>10.795108559233165</v>
      </c>
      <c r="U267" s="6" t="e">
        <f>VLOOKUP($AT267,kkk,U$4,0)</f>
        <v>#N/A</v>
      </c>
      <c r="V267" s="6">
        <f t="shared" si="94"/>
        <v>10.763499363830871</v>
      </c>
      <c r="W267" s="6">
        <f t="shared" si="95"/>
        <v>10.82671775463546</v>
      </c>
      <c r="X267" s="6" t="e">
        <f t="shared" si="91"/>
        <v>#N/A</v>
      </c>
      <c r="Y267" s="6" t="e">
        <f t="shared" si="92"/>
        <v>#N/A</v>
      </c>
      <c r="Z267" s="6" t="e">
        <f>VLOOKUP($AT267,kkk,Z$4,0)</f>
        <v>#N/A</v>
      </c>
      <c r="AA267" s="6" t="e">
        <f>VLOOKUP($AT267,kkk,AA$4,0)</f>
        <v>#N/A</v>
      </c>
      <c r="AB267" s="6" t="e">
        <f>VLOOKUP($AT267,kkk,AB$4,0)</f>
        <v>#N/A</v>
      </c>
      <c r="AC267" s="6" t="e">
        <f>VLOOKUP($AT267,kkk,AC$4,0)</f>
        <v>#N/A</v>
      </c>
      <c r="AG267">
        <f t="shared" si="96"/>
        <v>1.2400000000000234E-2</v>
      </c>
      <c r="AH267">
        <f t="shared" si="97"/>
        <v>0</v>
      </c>
      <c r="AI267">
        <f t="shared" si="98"/>
        <v>-0.21041666666666478</v>
      </c>
      <c r="AJ267">
        <f t="shared" si="99"/>
        <v>-6.3218390804589214E-2</v>
      </c>
      <c r="AK267">
        <f t="shared" si="100"/>
        <v>-0.74999999999999856</v>
      </c>
      <c r="AL267">
        <f t="shared" si="101"/>
        <v>-0.67499999999999893</v>
      </c>
      <c r="AM267">
        <f t="shared" si="102"/>
        <v>0</v>
      </c>
      <c r="AN267">
        <f t="shared" si="103"/>
        <v>-0.27332625000000005</v>
      </c>
      <c r="AO267">
        <f t="shared" si="104"/>
        <v>-1.7414128913068581</v>
      </c>
      <c r="AQ267">
        <f t="shared" si="105"/>
        <v>10.763499363830871</v>
      </c>
      <c r="AR267">
        <f t="shared" si="106"/>
        <v>10.82671775463546</v>
      </c>
      <c r="AT267" t="str">
        <f t="shared" si="107"/>
        <v>45524D</v>
      </c>
    </row>
    <row r="268" spans="1:46" x14ac:dyDescent="0.3">
      <c r="A268" s="17">
        <v>45525</v>
      </c>
      <c r="B268" s="18" t="s">
        <v>22</v>
      </c>
      <c r="C268" s="6">
        <v>8.1</v>
      </c>
      <c r="D268" s="6">
        <v>37.9</v>
      </c>
      <c r="E268" s="6">
        <v>26.545000000000002</v>
      </c>
      <c r="F268" s="6">
        <v>56.435000000000002</v>
      </c>
      <c r="G268" s="6">
        <v>3.65</v>
      </c>
      <c r="H268" s="6">
        <v>3.25</v>
      </c>
      <c r="I268" s="6">
        <v>148.6</v>
      </c>
      <c r="J268" s="6">
        <v>7.7283765386247874</v>
      </c>
      <c r="K268" s="6">
        <v>2.604582129965405E-3</v>
      </c>
      <c r="L268" s="6">
        <v>2.0129191426146009E-2</v>
      </c>
      <c r="M268" s="6">
        <v>23.391874976428191</v>
      </c>
      <c r="N268" s="6">
        <v>0.98144596870391065</v>
      </c>
      <c r="O268" s="6">
        <v>5225</v>
      </c>
      <c r="P268" s="6">
        <v>81.335477832110172</v>
      </c>
      <c r="Q268" s="6">
        <v>12140.64</v>
      </c>
      <c r="R268" s="6">
        <v>0</v>
      </c>
      <c r="S268" s="6">
        <v>19.648870917590141</v>
      </c>
      <c r="T268" s="6">
        <f t="shared" si="93"/>
        <v>18.986443594580916</v>
      </c>
      <c r="U268" s="6">
        <f>VLOOKUP($AT268,kkk,U$4,0)</f>
        <v>21.47</v>
      </c>
      <c r="V268" s="6">
        <f t="shared" si="94"/>
        <v>17.80971945664988</v>
      </c>
      <c r="W268" s="6">
        <f t="shared" si="95"/>
        <v>20.163167732511951</v>
      </c>
      <c r="X268" s="6">
        <f t="shared" si="91"/>
        <v>23.05</v>
      </c>
      <c r="Y268" s="6">
        <f t="shared" si="92"/>
        <v>22.68</v>
      </c>
      <c r="Z268" s="6">
        <f>VLOOKUP($AT268,kkk,Z$4,0)</f>
        <v>7.9</v>
      </c>
      <c r="AA268" s="6">
        <f>VLOOKUP($AT268,kkk,AA$4,0)</f>
        <v>25.9</v>
      </c>
      <c r="AB268" s="6">
        <f>VLOOKUP($AT268,kkk,AB$4,0)</f>
        <v>3.32</v>
      </c>
      <c r="AC268" s="6">
        <f>VLOOKUP($AT268,kkk,AC$4,0)</f>
        <v>3.65</v>
      </c>
      <c r="AG268">
        <f t="shared" si="96"/>
        <v>1.0000000000000142E-2</v>
      </c>
      <c r="AH268">
        <f t="shared" si="97"/>
        <v>0</v>
      </c>
      <c r="AI268">
        <f t="shared" si="98"/>
        <v>-0.2791666666666674</v>
      </c>
      <c r="AJ268">
        <f t="shared" si="99"/>
        <v>-2.3534482758620725</v>
      </c>
      <c r="AK268">
        <f t="shared" si="100"/>
        <v>0.48000000000000043</v>
      </c>
      <c r="AL268">
        <f t="shared" si="101"/>
        <v>-0.74999999999999956</v>
      </c>
      <c r="AM268">
        <f t="shared" si="102"/>
        <v>0</v>
      </c>
      <c r="AN268">
        <f t="shared" si="103"/>
        <v>-2.6927875000000006</v>
      </c>
      <c r="AO268">
        <f t="shared" si="104"/>
        <v>3.0032469227504262</v>
      </c>
      <c r="AQ268">
        <f t="shared" si="105"/>
        <v>17.80971945664988</v>
      </c>
      <c r="AR268">
        <f t="shared" si="106"/>
        <v>20.163167732511951</v>
      </c>
      <c r="AT268" t="str">
        <f t="shared" si="107"/>
        <v>45525A</v>
      </c>
    </row>
    <row r="269" spans="1:46" x14ac:dyDescent="0.3">
      <c r="A269" s="17">
        <v>45525</v>
      </c>
      <c r="B269" s="18" t="s">
        <v>19</v>
      </c>
      <c r="C269" s="6">
        <v>8.0083333333333329</v>
      </c>
      <c r="D269" s="6">
        <v>38.125</v>
      </c>
      <c r="E269" s="6">
        <v>25.6175</v>
      </c>
      <c r="F269" s="6">
        <v>55.79</v>
      </c>
      <c r="G269" s="6">
        <v>3.65</v>
      </c>
      <c r="H269" s="6">
        <v>3.3374999999999999</v>
      </c>
      <c r="I269" s="6">
        <v>145.625</v>
      </c>
      <c r="J269" s="6">
        <v>9.7455361213814218</v>
      </c>
      <c r="K269" s="6">
        <v>2.529951695786457E-3</v>
      </c>
      <c r="L269" s="6">
        <v>2.4655735636637099E-2</v>
      </c>
      <c r="M269" s="6">
        <v>19.00758089930823</v>
      </c>
      <c r="N269" s="6">
        <v>3.7045891004936919</v>
      </c>
      <c r="O269" s="6">
        <v>5225</v>
      </c>
      <c r="P269" s="6">
        <v>81.309740790679484</v>
      </c>
      <c r="Q269" s="6">
        <v>10823.760605405399</v>
      </c>
      <c r="R269" s="6">
        <v>0</v>
      </c>
      <c r="S269" s="6">
        <v>17.85432439857534</v>
      </c>
      <c r="T269" s="6">
        <f t="shared" si="93"/>
        <v>12.188004910381984</v>
      </c>
      <c r="U269" s="6">
        <f>VLOOKUP($AT269,kkk,U$4,0)</f>
        <v>20.350000000000001</v>
      </c>
      <c r="V269" s="6">
        <f t="shared" si="94"/>
        <v>11.567315255209571</v>
      </c>
      <c r="W269" s="6">
        <f t="shared" si="95"/>
        <v>12.808694565554397</v>
      </c>
      <c r="X269" s="6">
        <f t="shared" si="91"/>
        <v>16.170000000000002</v>
      </c>
      <c r="Y269" s="6">
        <f t="shared" si="92"/>
        <v>14.13</v>
      </c>
      <c r="Z269" s="6">
        <f>VLOOKUP($AT269,kkk,Z$4,0)</f>
        <v>7.96</v>
      </c>
      <c r="AA269" s="6">
        <f>VLOOKUP($AT269,kkk,AA$4,0)</f>
        <v>26.9</v>
      </c>
      <c r="AB269" s="6">
        <f>VLOOKUP($AT269,kkk,AB$4,0)</f>
        <v>3.41</v>
      </c>
      <c r="AC269" s="6">
        <f>VLOOKUP($AT269,kkk,AC$4,0)</f>
        <v>3.65</v>
      </c>
      <c r="AG269">
        <f t="shared" si="96"/>
        <v>2.8333333333333502E-2</v>
      </c>
      <c r="AH269">
        <f t="shared" si="97"/>
        <v>0</v>
      </c>
      <c r="AI269">
        <f t="shared" si="98"/>
        <v>0.49375000000000097</v>
      </c>
      <c r="AJ269">
        <f t="shared" si="99"/>
        <v>-1.2413793103448256</v>
      </c>
      <c r="AK269">
        <f t="shared" si="100"/>
        <v>0.48000000000000043</v>
      </c>
      <c r="AL269">
        <f t="shared" si="101"/>
        <v>-0.3125</v>
      </c>
      <c r="AM269">
        <f t="shared" si="102"/>
        <v>0</v>
      </c>
      <c r="AN269">
        <f t="shared" si="103"/>
        <v>-2.8573974243243256</v>
      </c>
      <c r="AO269">
        <f t="shared" si="104"/>
        <v>-1.0310722427628427</v>
      </c>
      <c r="AQ269">
        <f t="shared" si="105"/>
        <v>11.567315255209571</v>
      </c>
      <c r="AR269">
        <f t="shared" si="106"/>
        <v>12.808694565554397</v>
      </c>
      <c r="AT269" t="str">
        <f t="shared" si="107"/>
        <v>45525B</v>
      </c>
    </row>
    <row r="270" spans="1:46" x14ac:dyDescent="0.3">
      <c r="A270" s="17">
        <v>45525</v>
      </c>
      <c r="B270" s="18" t="s">
        <v>20</v>
      </c>
      <c r="C270" s="6">
        <v>7.9599999999999991</v>
      </c>
      <c r="D270" s="6">
        <v>38.125</v>
      </c>
      <c r="E270" s="6">
        <v>25.751249999999999</v>
      </c>
      <c r="F270" s="6">
        <v>55.79</v>
      </c>
      <c r="G270" s="6">
        <v>3.65</v>
      </c>
      <c r="H270" s="6">
        <v>3.3424999999999998</v>
      </c>
      <c r="I270" s="6">
        <v>144.25</v>
      </c>
      <c r="J270" s="6">
        <v>11.321307940266779</v>
      </c>
      <c r="K270" s="6">
        <v>2.6617392267343758E-3</v>
      </c>
      <c r="L270" s="6">
        <v>3.0134369442547451E-2</v>
      </c>
      <c r="M270" s="6">
        <v>19.82410037709856</v>
      </c>
      <c r="N270" s="6">
        <v>7.0609083093126186</v>
      </c>
      <c r="O270" s="6">
        <v>5225</v>
      </c>
      <c r="P270" s="6">
        <v>99.943765616660684</v>
      </c>
      <c r="Q270" s="6">
        <v>12928.88</v>
      </c>
      <c r="R270" s="6">
        <v>0</v>
      </c>
      <c r="S270" s="6">
        <v>17.942196086236709</v>
      </c>
      <c r="T270" s="6">
        <f t="shared" si="93"/>
        <v>10.039329008059259</v>
      </c>
      <c r="U270" s="6">
        <f>VLOOKUP($AT270,kkk,U$4,0)</f>
        <v>16.21</v>
      </c>
      <c r="V270" s="6">
        <f t="shared" si="94"/>
        <v>9.4186393528868457</v>
      </c>
      <c r="W270" s="6">
        <f t="shared" si="95"/>
        <v>10.660018663231671</v>
      </c>
      <c r="X270" s="6" t="e">
        <f t="shared" si="91"/>
        <v>#N/A</v>
      </c>
      <c r="Y270" s="6" t="e">
        <f t="shared" si="92"/>
        <v>#N/A</v>
      </c>
      <c r="Z270" s="6">
        <f>VLOOKUP($AT270,kkk,Z$4,0)</f>
        <v>8.3000000000000007</v>
      </c>
      <c r="AA270" s="6">
        <f>VLOOKUP($AT270,kkk,AA$4,0)</f>
        <v>26.5</v>
      </c>
      <c r="AB270" s="6">
        <f>VLOOKUP($AT270,kkk,AB$4,0)</f>
        <v>3.43</v>
      </c>
      <c r="AC270" s="6">
        <f>VLOOKUP($AT270,kkk,AC$4,0)</f>
        <v>3.65</v>
      </c>
      <c r="AG270">
        <f t="shared" si="96"/>
        <v>3.8000000000000256E-2</v>
      </c>
      <c r="AH270">
        <f t="shared" si="97"/>
        <v>0</v>
      </c>
      <c r="AI270">
        <f t="shared" si="98"/>
        <v>0.38229166666666836</v>
      </c>
      <c r="AJ270">
        <f t="shared" si="99"/>
        <v>-1.2413793103448256</v>
      </c>
      <c r="AK270">
        <f t="shared" si="100"/>
        <v>0.48000000000000043</v>
      </c>
      <c r="AL270">
        <f t="shared" si="101"/>
        <v>-0.28750000000000053</v>
      </c>
      <c r="AM270">
        <f t="shared" si="102"/>
        <v>0</v>
      </c>
      <c r="AN270">
        <f t="shared" si="103"/>
        <v>-2.5942575000000008</v>
      </c>
      <c r="AO270">
        <f t="shared" si="104"/>
        <v>-4.1826158805335574</v>
      </c>
      <c r="AQ270">
        <f t="shared" si="105"/>
        <v>9.4186393528868457</v>
      </c>
      <c r="AR270">
        <f t="shared" si="106"/>
        <v>10.660018663231671</v>
      </c>
      <c r="AT270" t="str">
        <f t="shared" si="107"/>
        <v>45525C</v>
      </c>
    </row>
    <row r="271" spans="1:46" x14ac:dyDescent="0.3">
      <c r="A271" s="17">
        <v>45525</v>
      </c>
      <c r="B271" s="18" t="s">
        <v>21</v>
      </c>
      <c r="C271" s="6">
        <v>7.952</v>
      </c>
      <c r="D271" s="6">
        <v>38.142857142857153</v>
      </c>
      <c r="E271" s="6">
        <v>26.25</v>
      </c>
      <c r="F271" s="6">
        <v>55.556666666666672</v>
      </c>
      <c r="G271" s="6">
        <v>3.65</v>
      </c>
      <c r="H271" s="6">
        <v>3.3685714285714279</v>
      </c>
      <c r="I271" s="6">
        <v>143.42857142857139</v>
      </c>
      <c r="J271" s="6">
        <v>10.28631876167851</v>
      </c>
      <c r="K271" s="6">
        <v>5.9718298325936413E-3</v>
      </c>
      <c r="L271" s="6">
        <v>6.1428145248559433E-2</v>
      </c>
      <c r="M271" s="6">
        <v>17.955065845410431</v>
      </c>
      <c r="N271" s="6">
        <v>2.5853078308508159E-3</v>
      </c>
      <c r="O271" s="6">
        <v>5225</v>
      </c>
      <c r="P271" s="6">
        <v>81.23607344751062</v>
      </c>
      <c r="Q271" s="6">
        <v>28436.150534759359</v>
      </c>
      <c r="R271" s="6">
        <v>0</v>
      </c>
      <c r="S271" s="6">
        <v>18.481577639862131</v>
      </c>
      <c r="T271" s="6">
        <f t="shared" si="93"/>
        <v>12.096163218537077</v>
      </c>
      <c r="U271" s="6" t="e">
        <f>VLOOKUP($AT271,kkk,U$4,0)</f>
        <v>#N/A</v>
      </c>
      <c r="V271" s="6">
        <f t="shared" si="94"/>
        <v>11.676622988652015</v>
      </c>
      <c r="W271" s="6">
        <f t="shared" si="95"/>
        <v>12.515703448422139</v>
      </c>
      <c r="X271" s="6" t="e">
        <f t="shared" si="91"/>
        <v>#N/A</v>
      </c>
      <c r="Y271" s="6" t="e">
        <f t="shared" si="92"/>
        <v>#N/A</v>
      </c>
      <c r="Z271" s="6" t="e">
        <f>VLOOKUP($AT271,kkk,Z$4,0)</f>
        <v>#N/A</v>
      </c>
      <c r="AA271" s="6" t="e">
        <f>VLOOKUP($AT271,kkk,AA$4,0)</f>
        <v>#N/A</v>
      </c>
      <c r="AB271" s="6" t="e">
        <f>VLOOKUP($AT271,kkk,AB$4,0)</f>
        <v>#N/A</v>
      </c>
      <c r="AC271" s="6" t="e">
        <f>VLOOKUP($AT271,kkk,AC$4,0)</f>
        <v>#N/A</v>
      </c>
      <c r="AG271">
        <f t="shared" si="96"/>
        <v>3.960000000000008E-2</v>
      </c>
      <c r="AH271">
        <f t="shared" si="97"/>
        <v>0</v>
      </c>
      <c r="AI271">
        <f t="shared" si="98"/>
        <v>-3.3333333333332625E-2</v>
      </c>
      <c r="AJ271">
        <f t="shared" si="99"/>
        <v>-0.83908045977012358</v>
      </c>
      <c r="AK271">
        <f t="shared" si="100"/>
        <v>0.48000000000000043</v>
      </c>
      <c r="AL271">
        <f t="shared" si="101"/>
        <v>-0.15714285714286014</v>
      </c>
      <c r="AM271">
        <f t="shared" si="102"/>
        <v>0</v>
      </c>
      <c r="AN271">
        <f t="shared" si="103"/>
        <v>-0.65584868315508038</v>
      </c>
      <c r="AO271">
        <f t="shared" si="104"/>
        <v>-2.1126375233570194</v>
      </c>
      <c r="AQ271">
        <f t="shared" si="105"/>
        <v>11.676622988652015</v>
      </c>
      <c r="AR271">
        <f t="shared" si="106"/>
        <v>12.515703448422139</v>
      </c>
      <c r="AT271" t="str">
        <f t="shared" si="107"/>
        <v>45525D</v>
      </c>
    </row>
    <row r="272" spans="1:46" x14ac:dyDescent="0.3">
      <c r="A272" s="17">
        <v>45526</v>
      </c>
      <c r="B272" s="18" t="s">
        <v>22</v>
      </c>
      <c r="C272" s="6">
        <v>8.2319999999999993</v>
      </c>
      <c r="D272" s="6">
        <v>38.799999999999997</v>
      </c>
      <c r="E272" s="6">
        <v>26.5</v>
      </c>
      <c r="F272" s="6">
        <v>55.085000000000001</v>
      </c>
      <c r="G272" s="6">
        <v>3.65</v>
      </c>
      <c r="H272" s="6">
        <v>3.464</v>
      </c>
      <c r="I272" s="6">
        <v>146</v>
      </c>
      <c r="J272" s="6">
        <v>8.7873698082185054</v>
      </c>
      <c r="K272" s="6">
        <v>1.074469406393347E-2</v>
      </c>
      <c r="L272" s="6">
        <v>9.4417600215953565E-2</v>
      </c>
      <c r="M272" s="6">
        <v>14.536553462000059</v>
      </c>
      <c r="N272" s="6">
        <v>2.580779837609706E-3</v>
      </c>
      <c r="O272" s="6">
        <v>5225</v>
      </c>
      <c r="P272" s="6">
        <v>81.183104808040639</v>
      </c>
      <c r="Q272" s="6">
        <v>30779.759999999998</v>
      </c>
      <c r="R272" s="6">
        <v>0</v>
      </c>
      <c r="S272" s="6">
        <v>15.998499920096689</v>
      </c>
      <c r="T272" s="6">
        <f t="shared" si="93"/>
        <v>12.587918644413623</v>
      </c>
      <c r="U272" s="6">
        <f>VLOOKUP($AT272,kkk,U$4,0)</f>
        <v>21.21</v>
      </c>
      <c r="V272" s="6">
        <f t="shared" si="94"/>
        <v>12.574987609930865</v>
      </c>
      <c r="W272" s="6">
        <f t="shared" si="95"/>
        <v>12.600849678896383</v>
      </c>
      <c r="X272" s="6">
        <f t="shared" si="91"/>
        <v>20.72</v>
      </c>
      <c r="Y272" s="6">
        <f t="shared" si="92"/>
        <v>17.88</v>
      </c>
      <c r="Z272" s="6">
        <f>VLOOKUP($AT272,kkk,Z$4,0)</f>
        <v>7.85</v>
      </c>
      <c r="AA272" s="6">
        <f>VLOOKUP($AT272,kkk,AA$4,0)</f>
        <v>25</v>
      </c>
      <c r="AB272" s="6">
        <f>VLOOKUP($AT272,kkk,AB$4,0)</f>
        <v>3.37</v>
      </c>
      <c r="AC272" s="6">
        <f>VLOOKUP($AT272,kkk,AC$4,0)</f>
        <v>3.65</v>
      </c>
      <c r="AG272">
        <f t="shared" si="96"/>
        <v>-1.6399999999999793E-2</v>
      </c>
      <c r="AH272">
        <f t="shared" si="97"/>
        <v>0</v>
      </c>
      <c r="AI272">
        <f t="shared" si="98"/>
        <v>-0.24166666666666597</v>
      </c>
      <c r="AJ272">
        <f t="shared" si="99"/>
        <v>-2.5862068965518219E-2</v>
      </c>
      <c r="AK272">
        <f t="shared" si="100"/>
        <v>0.48000000000000043</v>
      </c>
      <c r="AL272">
        <f t="shared" si="101"/>
        <v>0.32000000000000034</v>
      </c>
      <c r="AM272">
        <f t="shared" si="102"/>
        <v>0</v>
      </c>
      <c r="AN272">
        <f t="shared" si="103"/>
        <v>-0.36289750000000048</v>
      </c>
      <c r="AO272">
        <f t="shared" si="104"/>
        <v>0.88526038356298997</v>
      </c>
      <c r="AQ272">
        <f t="shared" si="105"/>
        <v>12.574987609930865</v>
      </c>
      <c r="AR272">
        <f t="shared" si="106"/>
        <v>12.600849678896383</v>
      </c>
      <c r="AT272" t="str">
        <f t="shared" si="107"/>
        <v>45526A</v>
      </c>
    </row>
    <row r="273" spans="1:46" x14ac:dyDescent="0.3">
      <c r="A273" s="17">
        <v>45526</v>
      </c>
      <c r="B273" s="18" t="s">
        <v>19</v>
      </c>
      <c r="C273" s="6">
        <v>7.9124999999999996</v>
      </c>
      <c r="D273" s="6">
        <v>38.75</v>
      </c>
      <c r="E273" s="6">
        <v>25</v>
      </c>
      <c r="F273" s="6">
        <v>55.085000000000001</v>
      </c>
      <c r="G273" s="6">
        <v>3.65</v>
      </c>
      <c r="H273" s="6">
        <v>3.38</v>
      </c>
      <c r="I273" s="6">
        <v>145.5</v>
      </c>
      <c r="J273" s="6">
        <v>8.1488638321809876</v>
      </c>
      <c r="K273" s="6">
        <v>1.9953422329722411E-3</v>
      </c>
      <c r="L273" s="6">
        <v>1.6259772155090741E-2</v>
      </c>
      <c r="M273" s="6">
        <v>17.857073272024788</v>
      </c>
      <c r="N273" s="6">
        <v>2.5836544970427918E-3</v>
      </c>
      <c r="O273" s="6">
        <v>5225</v>
      </c>
      <c r="P273" s="6">
        <v>81.234554790478015</v>
      </c>
      <c r="Q273" s="6">
        <v>6499.16</v>
      </c>
      <c r="R273" s="6">
        <v>0</v>
      </c>
      <c r="S273" s="6">
        <v>19.442368891736258</v>
      </c>
      <c r="T273" s="6">
        <f t="shared" si="93"/>
        <v>15.044275406513389</v>
      </c>
      <c r="U273" s="6">
        <f>VLOOKUP($AT273,kkk,U$4,0)</f>
        <v>19.45</v>
      </c>
      <c r="V273" s="6">
        <f t="shared" si="94"/>
        <v>15.031344372030631</v>
      </c>
      <c r="W273" s="6">
        <f t="shared" si="95"/>
        <v>15.057206440996149</v>
      </c>
      <c r="X273" s="6">
        <f t="shared" si="91"/>
        <v>17.5</v>
      </c>
      <c r="Y273" s="6">
        <f t="shared" si="92"/>
        <v>17.32</v>
      </c>
      <c r="Z273" s="6">
        <f>VLOOKUP($AT273,kkk,Z$4,0)</f>
        <v>7.98</v>
      </c>
      <c r="AA273" s="6">
        <f>VLOOKUP($AT273,kkk,AA$4,0)</f>
        <v>27.9</v>
      </c>
      <c r="AB273" s="6">
        <f>VLOOKUP($AT273,kkk,AB$4,0)</f>
        <v>3.42</v>
      </c>
      <c r="AC273" s="6">
        <f>VLOOKUP($AT273,kkk,AC$4,0)</f>
        <v>3.84</v>
      </c>
      <c r="AG273">
        <f t="shared" si="96"/>
        <v>4.7500000000000146E-2</v>
      </c>
      <c r="AH273">
        <f t="shared" si="97"/>
        <v>0</v>
      </c>
      <c r="AI273">
        <f t="shared" si="98"/>
        <v>1.0083333333333342</v>
      </c>
      <c r="AJ273">
        <f t="shared" si="99"/>
        <v>-2.5862068965518219E-2</v>
      </c>
      <c r="AK273">
        <f t="shared" si="100"/>
        <v>0.48000000000000043</v>
      </c>
      <c r="AL273">
        <f t="shared" si="101"/>
        <v>-0.10000000000000009</v>
      </c>
      <c r="AM273">
        <f t="shared" si="102"/>
        <v>0</v>
      </c>
      <c r="AN273">
        <f t="shared" si="103"/>
        <v>-3.3979725000000003</v>
      </c>
      <c r="AO273">
        <f t="shared" si="104"/>
        <v>2.1622723356380256</v>
      </c>
      <c r="AQ273">
        <f t="shared" si="105"/>
        <v>15.031344372030631</v>
      </c>
      <c r="AR273">
        <f t="shared" si="106"/>
        <v>15.057206440996149</v>
      </c>
      <c r="AT273" t="str">
        <f t="shared" si="107"/>
        <v>45526B</v>
      </c>
    </row>
    <row r="274" spans="1:46" x14ac:dyDescent="0.3">
      <c r="A274" s="17">
        <v>45526</v>
      </c>
      <c r="B274" s="18" t="s">
        <v>20</v>
      </c>
      <c r="C274" s="6">
        <v>7.98</v>
      </c>
      <c r="D274" s="6">
        <v>38.285714285714278</v>
      </c>
      <c r="E274" s="6">
        <v>25.925000000000001</v>
      </c>
      <c r="F274" s="6">
        <v>55.24</v>
      </c>
      <c r="G274" s="6">
        <v>3.8450000000000002</v>
      </c>
      <c r="H274" s="6">
        <v>3.4342857142857142</v>
      </c>
      <c r="I274" s="6">
        <v>144.42857142857139</v>
      </c>
      <c r="J274" s="6">
        <v>9.3441440096073833</v>
      </c>
      <c r="K274" s="6">
        <v>5.2676923493852864E-3</v>
      </c>
      <c r="L274" s="6">
        <v>4.922207591096317E-2</v>
      </c>
      <c r="M274" s="6">
        <v>16.02435881429248</v>
      </c>
      <c r="N274" s="6">
        <v>2.5874758828859212E-3</v>
      </c>
      <c r="O274" s="6">
        <v>5225</v>
      </c>
      <c r="P274" s="6">
        <v>93.490658735306781</v>
      </c>
      <c r="Q274" s="6">
        <v>23362.52</v>
      </c>
      <c r="R274" s="6">
        <v>0</v>
      </c>
      <c r="S274" s="6">
        <v>17.149762289582281</v>
      </c>
      <c r="T274" s="6">
        <f t="shared" si="93"/>
        <v>11.697395142368352</v>
      </c>
      <c r="U274" s="6">
        <f>VLOOKUP($AT274,kkk,U$4,0)</f>
        <v>16.95</v>
      </c>
      <c r="V274" s="6">
        <f t="shared" si="94"/>
        <v>11.55084341823042</v>
      </c>
      <c r="W274" s="6">
        <f t="shared" si="95"/>
        <v>11.843946866506284</v>
      </c>
      <c r="X274" s="6" t="e">
        <f t="shared" si="91"/>
        <v>#N/A</v>
      </c>
      <c r="Y274" s="6" t="e">
        <f t="shared" si="92"/>
        <v>#N/A</v>
      </c>
      <c r="Z274" s="6">
        <f>VLOOKUP($AT274,kkk,Z$4,0)</f>
        <v>8.5500000000000007</v>
      </c>
      <c r="AA274" s="6">
        <f>VLOOKUP($AT274,kkk,AA$4,0)</f>
        <v>25.61</v>
      </c>
      <c r="AB274" s="6">
        <f>VLOOKUP($AT274,kkk,AB$4,0)</f>
        <v>3.59</v>
      </c>
      <c r="AC274" s="6">
        <f>VLOOKUP($AT274,kkk,AC$4,0)</f>
        <v>3.84</v>
      </c>
      <c r="AG274">
        <f t="shared" si="96"/>
        <v>3.3999999999999989E-2</v>
      </c>
      <c r="AH274">
        <f t="shared" si="97"/>
        <v>0</v>
      </c>
      <c r="AI274">
        <f t="shared" si="98"/>
        <v>0.23750000000000013</v>
      </c>
      <c r="AJ274">
        <f t="shared" si="99"/>
        <v>-0.29310344827586499</v>
      </c>
      <c r="AK274">
        <f t="shared" si="100"/>
        <v>-0.10500000000000041</v>
      </c>
      <c r="AL274">
        <f t="shared" si="101"/>
        <v>0.17142857142857126</v>
      </c>
      <c r="AM274">
        <f t="shared" si="102"/>
        <v>0</v>
      </c>
      <c r="AN274">
        <f t="shared" si="103"/>
        <v>-1.2900525000000003</v>
      </c>
      <c r="AO274">
        <f t="shared" si="104"/>
        <v>-0.22828801921476582</v>
      </c>
      <c r="AQ274">
        <f t="shared" si="105"/>
        <v>11.55084341823042</v>
      </c>
      <c r="AR274">
        <f t="shared" si="106"/>
        <v>11.843946866506284</v>
      </c>
      <c r="AT274" t="str">
        <f t="shared" si="107"/>
        <v>45526C</v>
      </c>
    </row>
    <row r="275" spans="1:46" x14ac:dyDescent="0.3">
      <c r="A275" s="17">
        <v>45526</v>
      </c>
      <c r="B275" s="18" t="s">
        <v>21</v>
      </c>
      <c r="C275" s="6">
        <v>7.98</v>
      </c>
      <c r="D275" s="6">
        <v>38.285714285714278</v>
      </c>
      <c r="E275" s="6">
        <v>25.925000000000001</v>
      </c>
      <c r="F275" s="6">
        <v>55.45333333333334</v>
      </c>
      <c r="G275" s="6">
        <v>3.8450000000000002</v>
      </c>
      <c r="H275" s="6">
        <v>3.4342857142857142</v>
      </c>
      <c r="I275" s="6">
        <v>144.42857142857139</v>
      </c>
      <c r="J275" s="6">
        <v>9.7842676941580127</v>
      </c>
      <c r="K275" s="6">
        <v>6.978130914929553E-3</v>
      </c>
      <c r="L275" s="6">
        <v>6.8275900876550513E-2</v>
      </c>
      <c r="M275" s="6">
        <v>17.000756747625939</v>
      </c>
      <c r="N275" s="6">
        <v>2.594022508929554E-3</v>
      </c>
      <c r="O275" s="6">
        <v>5225</v>
      </c>
      <c r="P275" s="6">
        <v>94.799467009381232</v>
      </c>
      <c r="Q275" s="6">
        <v>35519.034001906177</v>
      </c>
      <c r="R275" s="6">
        <v>0</v>
      </c>
      <c r="S275" s="6">
        <v>17.47918963288086</v>
      </c>
      <c r="T275" s="6">
        <f t="shared" si="93"/>
        <v>13.129201910861809</v>
      </c>
      <c r="U275" s="6" t="e">
        <f>VLOOKUP($AT275,kkk,U$4,0)</f>
        <v>#N/A</v>
      </c>
      <c r="V275" s="6">
        <f t="shared" si="94"/>
        <v>12.79874214074686</v>
      </c>
      <c r="W275" s="6">
        <f t="shared" si="95"/>
        <v>13.459661680976756</v>
      </c>
      <c r="X275" s="6" t="e">
        <f t="shared" si="91"/>
        <v>#N/A</v>
      </c>
      <c r="Y275" s="6" t="e">
        <f t="shared" si="92"/>
        <v>#N/A</v>
      </c>
      <c r="Z275" s="6" t="e">
        <f>VLOOKUP($AT275,kkk,Z$4,0)</f>
        <v>#N/A</v>
      </c>
      <c r="AA275" s="6" t="e">
        <f>VLOOKUP($AT275,kkk,AA$4,0)</f>
        <v>#N/A</v>
      </c>
      <c r="AB275" s="6" t="e">
        <f>VLOOKUP($AT275,kkk,AB$4,0)</f>
        <v>#N/A</v>
      </c>
      <c r="AC275" s="6" t="e">
        <f>VLOOKUP($AT275,kkk,AC$4,0)</f>
        <v>#N/A</v>
      </c>
      <c r="AG275">
        <f t="shared" si="96"/>
        <v>3.3999999999999989E-2</v>
      </c>
      <c r="AH275">
        <f t="shared" si="97"/>
        <v>0</v>
      </c>
      <c r="AI275">
        <f t="shared" si="98"/>
        <v>0.23750000000000013</v>
      </c>
      <c r="AJ275">
        <f t="shared" si="99"/>
        <v>-0.66091954022989641</v>
      </c>
      <c r="AK275">
        <f t="shared" si="100"/>
        <v>-0.10500000000000041</v>
      </c>
      <c r="AL275">
        <f t="shared" si="101"/>
        <v>0.17142857142857126</v>
      </c>
      <c r="AM275">
        <f t="shared" si="102"/>
        <v>0</v>
      </c>
      <c r="AN275">
        <f t="shared" si="103"/>
        <v>0.22951175023827181</v>
      </c>
      <c r="AO275">
        <f t="shared" si="104"/>
        <v>-1.1085353883160245</v>
      </c>
      <c r="AQ275">
        <f t="shared" si="105"/>
        <v>12.79874214074686</v>
      </c>
      <c r="AR275">
        <f t="shared" si="106"/>
        <v>13.459661680976756</v>
      </c>
      <c r="AT275" t="str">
        <f t="shared" si="107"/>
        <v>45526D</v>
      </c>
    </row>
    <row r="276" spans="1:46" x14ac:dyDescent="0.3">
      <c r="A276" s="17">
        <v>45530</v>
      </c>
      <c r="B276" s="18" t="s">
        <v>19</v>
      </c>
      <c r="C276" s="6">
        <v>8.548</v>
      </c>
      <c r="D276" s="6">
        <v>38.666666666666657</v>
      </c>
      <c r="E276" s="6">
        <v>26.535</v>
      </c>
      <c r="F276" s="6">
        <v>56.12</v>
      </c>
      <c r="G276" s="6">
        <v>3.75</v>
      </c>
      <c r="H276" s="6">
        <v>3.5783333333333331</v>
      </c>
      <c r="I276" s="6">
        <v>133.66666666666671</v>
      </c>
      <c r="J276" s="6">
        <v>10.37933806096698</v>
      </c>
      <c r="K276" s="6">
        <v>2.5698959720247758E-4</v>
      </c>
      <c r="L276" s="6">
        <v>2.6673819075162491E-3</v>
      </c>
      <c r="M276" s="6">
        <v>13.339704234427741</v>
      </c>
      <c r="N276" s="6">
        <v>8.9834115073992713</v>
      </c>
      <c r="O276" s="6">
        <v>5225</v>
      </c>
      <c r="P276" s="6">
        <v>120.4767653828429</v>
      </c>
      <c r="Q276" s="6">
        <v>686.2</v>
      </c>
      <c r="R276" s="6">
        <v>4001.0098787878792</v>
      </c>
      <c r="S276" s="6">
        <v>13.3397042849359</v>
      </c>
      <c r="T276" s="6">
        <f t="shared" si="93"/>
        <v>4.2326227668824989</v>
      </c>
      <c r="U276" s="6">
        <f>VLOOKUP($AT276,kkk,U$4,0)</f>
        <v>11.12</v>
      </c>
      <c r="V276" s="6">
        <f t="shared" si="94"/>
        <v>3.327450353089398</v>
      </c>
      <c r="W276" s="6">
        <f t="shared" si="95"/>
        <v>5.1377951806755995</v>
      </c>
      <c r="X276" s="6">
        <f t="shared" si="91"/>
        <v>9.3800000000000008</v>
      </c>
      <c r="Y276" s="6">
        <f t="shared" si="92"/>
        <v>8.6</v>
      </c>
      <c r="Z276" s="6">
        <f>VLOOKUP($AT276,kkk,Z$4,0)</f>
        <v>8.86</v>
      </c>
      <c r="AA276" s="6">
        <f>VLOOKUP($AT276,kkk,AA$4,0)</f>
        <v>27.15</v>
      </c>
      <c r="AB276" s="6">
        <f>VLOOKUP($AT276,kkk,AB$4,0)</f>
        <v>3.68</v>
      </c>
      <c r="AC276" s="6">
        <f>VLOOKUP($AT276,kkk,AC$4,0)</f>
        <v>4.29</v>
      </c>
      <c r="AG276">
        <f t="shared" si="96"/>
        <v>-7.9599999999999949E-2</v>
      </c>
      <c r="AH276">
        <f t="shared" si="97"/>
        <v>0</v>
      </c>
      <c r="AI276">
        <f t="shared" si="98"/>
        <v>-0.27083333333333276</v>
      </c>
      <c r="AJ276">
        <f t="shared" si="99"/>
        <v>-1.810344827586202</v>
      </c>
      <c r="AK276">
        <f t="shared" si="100"/>
        <v>0.18000000000000016</v>
      </c>
      <c r="AL276">
        <f t="shared" si="101"/>
        <v>0.89166666666666616</v>
      </c>
      <c r="AM276">
        <f t="shared" si="102"/>
        <v>0</v>
      </c>
      <c r="AN276">
        <f t="shared" si="103"/>
        <v>-4.1245925000000003</v>
      </c>
      <c r="AO276">
        <f t="shared" si="104"/>
        <v>-2.2986761219339584</v>
      </c>
      <c r="AQ276">
        <f t="shared" si="105"/>
        <v>3.327450353089398</v>
      </c>
      <c r="AR276">
        <f t="shared" si="106"/>
        <v>5.1377951806755995</v>
      </c>
      <c r="AT276" t="str">
        <f t="shared" si="107"/>
        <v>45530B</v>
      </c>
    </row>
    <row r="277" spans="1:46" x14ac:dyDescent="0.3">
      <c r="A277" s="17">
        <v>45530</v>
      </c>
      <c r="B277" s="18" t="s">
        <v>20</v>
      </c>
      <c r="C277" s="6">
        <v>8.6066666666666674</v>
      </c>
      <c r="D277" s="6">
        <v>38</v>
      </c>
      <c r="E277" s="6">
        <v>27.167777777777779</v>
      </c>
      <c r="F277" s="6">
        <v>56.12</v>
      </c>
      <c r="G277" s="6">
        <v>3.75</v>
      </c>
      <c r="H277" s="6">
        <v>3.61</v>
      </c>
      <c r="I277" s="6">
        <v>134.2222222222222</v>
      </c>
      <c r="J277" s="6">
        <v>10.63638308057558</v>
      </c>
      <c r="K277" s="6">
        <v>4.4842999465992449E-4</v>
      </c>
      <c r="L277" s="6">
        <v>4.7696732080234209E-3</v>
      </c>
      <c r="M277" s="6">
        <v>13.33970813316521</v>
      </c>
      <c r="N277" s="6">
        <v>8.9834087020322002</v>
      </c>
      <c r="O277" s="6">
        <v>5225</v>
      </c>
      <c r="P277" s="6">
        <v>120.4767458283046</v>
      </c>
      <c r="Q277" s="6">
        <v>1844.28</v>
      </c>
      <c r="R277" s="6">
        <v>8805.9889999999996</v>
      </c>
      <c r="S277" s="6">
        <v>13.339704195292329</v>
      </c>
      <c r="T277" s="6">
        <f t="shared" si="93"/>
        <v>4.0832042017394663</v>
      </c>
      <c r="U277" s="6">
        <f>VLOOKUP($AT277,kkk,U$4,0)</f>
        <v>9.32</v>
      </c>
      <c r="V277" s="6">
        <f t="shared" si="94"/>
        <v>3.1780317879463653</v>
      </c>
      <c r="W277" s="6">
        <f t="shared" si="95"/>
        <v>4.9883766155325677</v>
      </c>
      <c r="X277" s="6" t="e">
        <f t="shared" si="91"/>
        <v>#N/A</v>
      </c>
      <c r="Y277" s="6" t="e">
        <f t="shared" si="92"/>
        <v>#N/A</v>
      </c>
      <c r="Z277" s="6">
        <f>VLOOKUP($AT277,kkk,Z$4,0)</f>
        <v>8.5</v>
      </c>
      <c r="AA277" s="6">
        <f>VLOOKUP($AT277,kkk,AA$4,0)</f>
        <v>25.75</v>
      </c>
      <c r="AB277" s="6">
        <f>VLOOKUP($AT277,kkk,AB$4,0)</f>
        <v>3.58</v>
      </c>
      <c r="AC277" s="6">
        <f>VLOOKUP($AT277,kkk,AC$4,0)</f>
        <v>4.29</v>
      </c>
      <c r="AG277">
        <f t="shared" si="96"/>
        <v>-9.1333333333333405E-2</v>
      </c>
      <c r="AH277">
        <f t="shared" si="97"/>
        <v>0</v>
      </c>
      <c r="AI277">
        <f t="shared" si="98"/>
        <v>-0.79814814814814861</v>
      </c>
      <c r="AJ277">
        <f t="shared" si="99"/>
        <v>-1.810344827586202</v>
      </c>
      <c r="AK277">
        <f t="shared" si="100"/>
        <v>0.18000000000000016</v>
      </c>
      <c r="AL277">
        <f t="shared" si="101"/>
        <v>1.0499999999999998</v>
      </c>
      <c r="AM277">
        <f t="shared" si="102"/>
        <v>0</v>
      </c>
      <c r="AN277">
        <f t="shared" si="103"/>
        <v>-3.9798325000000006</v>
      </c>
      <c r="AO277">
        <f t="shared" si="104"/>
        <v>-2.8127661611511598</v>
      </c>
      <c r="AQ277">
        <f t="shared" si="105"/>
        <v>3.1780317879463653</v>
      </c>
      <c r="AR277">
        <f t="shared" si="106"/>
        <v>4.9883766155325677</v>
      </c>
      <c r="AT277" t="str">
        <f t="shared" si="107"/>
        <v>45530C</v>
      </c>
    </row>
    <row r="278" spans="1:46" x14ac:dyDescent="0.3">
      <c r="A278" s="17">
        <v>45530</v>
      </c>
      <c r="B278" s="18" t="s">
        <v>21</v>
      </c>
      <c r="C278" s="6">
        <v>8.6642857142857146</v>
      </c>
      <c r="D278" s="6">
        <v>38.222222222222221</v>
      </c>
      <c r="E278" s="6">
        <v>27.49111111111111</v>
      </c>
      <c r="F278" s="6">
        <v>56.236666666666657</v>
      </c>
      <c r="G278" s="6">
        <v>3.75</v>
      </c>
      <c r="H278" s="6">
        <v>3.63</v>
      </c>
      <c r="I278" s="6">
        <v>137.33333333333329</v>
      </c>
      <c r="J278" s="6">
        <v>11.49132171361264</v>
      </c>
      <c r="K278" s="6">
        <v>3.2681831745671229E-3</v>
      </c>
      <c r="L278" s="6">
        <v>3.7555744277966659E-2</v>
      </c>
      <c r="M278" s="6">
        <v>13.339708699842481</v>
      </c>
      <c r="N278" s="6">
        <v>8.983407907014568</v>
      </c>
      <c r="O278" s="6">
        <v>5225</v>
      </c>
      <c r="P278" s="6">
        <v>120.4767514304671</v>
      </c>
      <c r="Q278" s="6">
        <v>13816.28</v>
      </c>
      <c r="R278" s="6">
        <v>12448.098</v>
      </c>
      <c r="S278" s="6">
        <v>13.33914889450554</v>
      </c>
      <c r="T278" s="6">
        <f t="shared" si="93"/>
        <v>4.043548160730694</v>
      </c>
      <c r="U278" s="6" t="e">
        <f>VLOOKUP($AT278,kkk,U$4,0)</f>
        <v>#N/A</v>
      </c>
      <c r="V278" s="6">
        <f t="shared" si="94"/>
        <v>3.0378010342939206</v>
      </c>
      <c r="W278" s="6">
        <f t="shared" si="95"/>
        <v>5.0492952871674674</v>
      </c>
      <c r="X278" s="6" t="e">
        <f t="shared" si="91"/>
        <v>#N/A</v>
      </c>
      <c r="Y278" s="6" t="e">
        <f t="shared" si="92"/>
        <v>#N/A</v>
      </c>
      <c r="Z278" s="6" t="e">
        <f>VLOOKUP($AT278,kkk,Z$4,0)</f>
        <v>#N/A</v>
      </c>
      <c r="AA278" s="6" t="e">
        <f>VLOOKUP($AT278,kkk,AA$4,0)</f>
        <v>#N/A</v>
      </c>
      <c r="AB278" s="6" t="e">
        <f>VLOOKUP($AT278,kkk,AB$4,0)</f>
        <v>#N/A</v>
      </c>
      <c r="AC278" s="6" t="e">
        <f>VLOOKUP($AT278,kkk,AC$4,0)</f>
        <v>#N/A</v>
      </c>
      <c r="AG278">
        <f t="shared" si="96"/>
        <v>-0.10285714285714286</v>
      </c>
      <c r="AH278">
        <f t="shared" si="97"/>
        <v>0</v>
      </c>
      <c r="AI278">
        <f t="shared" si="98"/>
        <v>-1.0675925925925909</v>
      </c>
      <c r="AJ278">
        <f t="shared" si="99"/>
        <v>-2.0114942528735469</v>
      </c>
      <c r="AK278">
        <f t="shared" si="100"/>
        <v>0.18000000000000016</v>
      </c>
      <c r="AL278">
        <f t="shared" si="101"/>
        <v>1.1499999999999999</v>
      </c>
      <c r="AM278">
        <f t="shared" si="102"/>
        <v>0</v>
      </c>
      <c r="AN278">
        <f t="shared" si="103"/>
        <v>-2.4833325000000004</v>
      </c>
      <c r="AO278">
        <f t="shared" si="104"/>
        <v>-4.5226434272252796</v>
      </c>
      <c r="AQ278">
        <f t="shared" si="105"/>
        <v>3.0378010342939206</v>
      </c>
      <c r="AR278">
        <f t="shared" si="106"/>
        <v>5.0492952871674674</v>
      </c>
      <c r="AT278" t="str">
        <f t="shared" si="107"/>
        <v>45530D</v>
      </c>
    </row>
    <row r="279" spans="1:46" x14ac:dyDescent="0.3">
      <c r="A279" s="17">
        <v>45531</v>
      </c>
      <c r="B279" s="18" t="s">
        <v>22</v>
      </c>
      <c r="C279" s="6">
        <v>8.581999999999999</v>
      </c>
      <c r="D279" s="6">
        <v>39</v>
      </c>
      <c r="E279" s="6">
        <v>25.91333333333333</v>
      </c>
      <c r="F279" s="6">
        <v>56.465000000000003</v>
      </c>
      <c r="G279" s="6">
        <v>4.29</v>
      </c>
      <c r="H279" s="6">
        <v>3.6266666666666669</v>
      </c>
      <c r="I279" s="6">
        <v>146.7777777777778</v>
      </c>
      <c r="J279" s="6">
        <v>9.0849808906993772</v>
      </c>
      <c r="K279" s="6">
        <v>8.4662925114076856E-3</v>
      </c>
      <c r="L279" s="6">
        <v>7.6916105681210059E-2</v>
      </c>
      <c r="M279" s="6">
        <v>13.322180024994241</v>
      </c>
      <c r="N279" s="6">
        <v>2.10500165317357</v>
      </c>
      <c r="O279" s="6">
        <v>5225</v>
      </c>
      <c r="P279" s="6">
        <v>120.3184371195095</v>
      </c>
      <c r="Q279" s="6">
        <v>43692.040000000008</v>
      </c>
      <c r="R279" s="6">
        <v>10737.700999999999</v>
      </c>
      <c r="S279" s="6">
        <v>13.3168152034198</v>
      </c>
      <c r="T279" s="6">
        <f t="shared" si="93"/>
        <v>11.857137717254496</v>
      </c>
      <c r="U279" s="6">
        <f>VLOOKUP($AT279,kkk,U$4,0)</f>
        <v>15.69</v>
      </c>
      <c r="V279" s="6">
        <f t="shared" si="94"/>
        <v>10.65455151035794</v>
      </c>
      <c r="W279" s="6">
        <f t="shared" si="95"/>
        <v>13.059723924151049</v>
      </c>
      <c r="X279" s="6">
        <f t="shared" si="91"/>
        <v>16.5</v>
      </c>
      <c r="Y279" s="6">
        <f t="shared" si="92"/>
        <v>15.34</v>
      </c>
      <c r="Z279" s="6">
        <f>VLOOKUP($AT279,kkk,Z$4,0)</f>
        <v>8.4</v>
      </c>
      <c r="AA279" s="6">
        <f>VLOOKUP($AT279,kkk,AA$4,0)</f>
        <v>25.46</v>
      </c>
      <c r="AB279" s="6">
        <f>VLOOKUP($AT279,kkk,AB$4,0)</f>
        <v>3.2</v>
      </c>
      <c r="AC279" s="6">
        <f>VLOOKUP($AT279,kkk,AC$4,0)</f>
        <v>4.29</v>
      </c>
      <c r="AG279">
        <f t="shared" si="96"/>
        <v>-8.6399999999999727E-2</v>
      </c>
      <c r="AH279">
        <f t="shared" si="97"/>
        <v>0</v>
      </c>
      <c r="AI279">
        <f t="shared" si="98"/>
        <v>0.24722222222222534</v>
      </c>
      <c r="AJ279">
        <f t="shared" si="99"/>
        <v>-2.405172413793109</v>
      </c>
      <c r="AK279">
        <f t="shared" si="100"/>
        <v>-1.4399999999999997</v>
      </c>
      <c r="AL279">
        <f t="shared" si="101"/>
        <v>1.1333333333333351</v>
      </c>
      <c r="AM279">
        <f t="shared" si="102"/>
        <v>0</v>
      </c>
      <c r="AN279">
        <f t="shared" si="103"/>
        <v>1.2511375000000007</v>
      </c>
      <c r="AO279">
        <f t="shared" si="104"/>
        <v>0.29003821860124646</v>
      </c>
      <c r="AQ279">
        <f t="shared" si="105"/>
        <v>10.65455151035794</v>
      </c>
      <c r="AR279">
        <f t="shared" si="106"/>
        <v>13.059723924151049</v>
      </c>
      <c r="AT279" t="str">
        <f t="shared" si="107"/>
        <v>45531A</v>
      </c>
    </row>
    <row r="280" spans="1:46" x14ac:dyDescent="0.3">
      <c r="A280" s="17">
        <v>45531</v>
      </c>
      <c r="B280" s="18" t="s">
        <v>19</v>
      </c>
      <c r="C280" s="6">
        <v>8.44</v>
      </c>
      <c r="D280" s="6">
        <v>37.666666666666657</v>
      </c>
      <c r="E280" s="6">
        <v>25.545555555555559</v>
      </c>
      <c r="F280" s="6">
        <v>56.88</v>
      </c>
      <c r="G280" s="6">
        <v>4.29</v>
      </c>
      <c r="H280" s="6">
        <v>3.4422222222222221</v>
      </c>
      <c r="I280" s="6">
        <v>138.7777777777778</v>
      </c>
      <c r="J280" s="6">
        <v>10.135172958973611</v>
      </c>
      <c r="K280" s="6">
        <v>6.8847061137488688E-3</v>
      </c>
      <c r="L280" s="6">
        <v>6.9777687234547817E-2</v>
      </c>
      <c r="M280" s="6">
        <v>14.621529742455021</v>
      </c>
      <c r="N280" s="6">
        <v>5.7480880059743678</v>
      </c>
      <c r="O280" s="6">
        <v>5225</v>
      </c>
      <c r="P280" s="6">
        <v>120.431912425852</v>
      </c>
      <c r="Q280" s="6">
        <v>29098.519054545461</v>
      </c>
      <c r="R280" s="6">
        <v>10994.3360379798</v>
      </c>
      <c r="S280" s="6">
        <v>13.31681736802244</v>
      </c>
      <c r="T280" s="6">
        <f t="shared" si="93"/>
        <v>8.318893198302062</v>
      </c>
      <c r="U280" s="6">
        <f>VLOOKUP($AT280,kkk,U$4,0)</f>
        <v>14.72</v>
      </c>
      <c r="V280" s="6">
        <f t="shared" si="94"/>
        <v>6.7585483707158529</v>
      </c>
      <c r="W280" s="6">
        <f t="shared" si="95"/>
        <v>9.8792380258882702</v>
      </c>
      <c r="X280" s="6">
        <f t="shared" si="91"/>
        <v>13.37</v>
      </c>
      <c r="Y280" s="6">
        <f t="shared" si="92"/>
        <v>10.42</v>
      </c>
      <c r="Z280" s="6">
        <f>VLOOKUP($AT280,kkk,Z$4,0)</f>
        <v>8.4499999999999993</v>
      </c>
      <c r="AA280" s="6">
        <f>VLOOKUP($AT280,kkk,AA$4,0)</f>
        <v>27.46</v>
      </c>
      <c r="AB280" s="6">
        <f>VLOOKUP($AT280,kkk,AB$4,0)</f>
        <v>3.38</v>
      </c>
      <c r="AC280" s="6">
        <f>VLOOKUP($AT280,kkk,AC$4,0)</f>
        <v>4.29</v>
      </c>
      <c r="AG280">
        <f t="shared" si="96"/>
        <v>-5.7999999999999829E-2</v>
      </c>
      <c r="AH280">
        <f t="shared" si="97"/>
        <v>0</v>
      </c>
      <c r="AI280">
        <f t="shared" si="98"/>
        <v>0.55370370370370148</v>
      </c>
      <c r="AJ280">
        <f t="shared" si="99"/>
        <v>-3.1206896551724177</v>
      </c>
      <c r="AK280">
        <f t="shared" si="100"/>
        <v>-1.4399999999999997</v>
      </c>
      <c r="AL280">
        <f t="shared" si="101"/>
        <v>0.21111111111111083</v>
      </c>
      <c r="AM280">
        <f t="shared" si="102"/>
        <v>0</v>
      </c>
      <c r="AN280">
        <f t="shared" si="103"/>
        <v>-0.57305261818181774</v>
      </c>
      <c r="AO280">
        <f t="shared" si="104"/>
        <v>-1.8103459179472203</v>
      </c>
      <c r="AQ280">
        <f t="shared" si="105"/>
        <v>6.7585483707158529</v>
      </c>
      <c r="AR280">
        <f t="shared" si="106"/>
        <v>9.8792380258882702</v>
      </c>
      <c r="AT280" t="str">
        <f t="shared" si="107"/>
        <v>45531B</v>
      </c>
    </row>
    <row r="281" spans="1:46" x14ac:dyDescent="0.3">
      <c r="A281" s="17">
        <v>45531</v>
      </c>
      <c r="B281" s="18" t="s">
        <v>20</v>
      </c>
      <c r="C281" s="6">
        <v>8.3849999999999998</v>
      </c>
      <c r="D281" s="6">
        <v>37.777777777777779</v>
      </c>
      <c r="E281" s="6">
        <v>26.006666666666671</v>
      </c>
      <c r="F281" s="6">
        <v>57.09</v>
      </c>
      <c r="G281" s="6">
        <v>4.29</v>
      </c>
      <c r="H281" s="6">
        <v>3.3555555555555561</v>
      </c>
      <c r="I281" s="6">
        <v>138.7777777777778</v>
      </c>
      <c r="J281" s="6">
        <v>10.06262688187531</v>
      </c>
      <c r="K281" s="6">
        <v>4.6635088933940838E-3</v>
      </c>
      <c r="L281" s="6">
        <v>4.6927149954531872E-2</v>
      </c>
      <c r="M281" s="6">
        <v>16.85238459408215</v>
      </c>
      <c r="N281" s="6">
        <v>5.6092720182009259</v>
      </c>
      <c r="O281" s="6">
        <v>5225</v>
      </c>
      <c r="P281" s="6">
        <v>120.4799424152561</v>
      </c>
      <c r="Q281" s="6">
        <v>21828.68</v>
      </c>
      <c r="R281" s="6">
        <v>15800.102999999999</v>
      </c>
      <c r="S281" s="6">
        <v>13.31693085813086</v>
      </c>
      <c r="T281" s="6">
        <f t="shared" si="93"/>
        <v>9.3992041172089209</v>
      </c>
      <c r="U281" s="6">
        <f>VLOOKUP($AT281,kkk,U$4,0)</f>
        <v>13.62</v>
      </c>
      <c r="V281" s="6">
        <f t="shared" si="94"/>
        <v>7.6578248068640908</v>
      </c>
      <c r="W281" s="6">
        <f t="shared" si="95"/>
        <v>11.140583427553752</v>
      </c>
      <c r="X281" s="6" t="e">
        <f t="shared" si="91"/>
        <v>#N/A</v>
      </c>
      <c r="Y281" s="6" t="e">
        <f t="shared" si="92"/>
        <v>#N/A</v>
      </c>
      <c r="Z281" s="6">
        <f>VLOOKUP($AT281,kkk,Z$4,0)</f>
        <v>8.32</v>
      </c>
      <c r="AA281" s="6">
        <f>VLOOKUP($AT281,kkk,AA$4,0)</f>
        <v>26.34</v>
      </c>
      <c r="AB281" s="6">
        <f>VLOOKUP($AT281,kkk,AB$4,0)</f>
        <v>3.41</v>
      </c>
      <c r="AC281" s="6">
        <f>VLOOKUP($AT281,kkk,AC$4,0)</f>
        <v>4.29</v>
      </c>
      <c r="AG281">
        <f t="shared" si="96"/>
        <v>-4.6999999999999889E-2</v>
      </c>
      <c r="AH281">
        <f t="shared" si="97"/>
        <v>0</v>
      </c>
      <c r="AI281">
        <f t="shared" si="98"/>
        <v>0.16944444444444134</v>
      </c>
      <c r="AJ281">
        <f t="shared" si="99"/>
        <v>-3.4827586206896606</v>
      </c>
      <c r="AK281">
        <f t="shared" si="100"/>
        <v>-1.4399999999999997</v>
      </c>
      <c r="AL281">
        <f t="shared" si="101"/>
        <v>-0.22222222222221921</v>
      </c>
      <c r="AM281">
        <f t="shared" si="102"/>
        <v>0</v>
      </c>
      <c r="AN281">
        <f t="shared" si="103"/>
        <v>-1.4817825000000002</v>
      </c>
      <c r="AO281">
        <f t="shared" si="104"/>
        <v>-1.66525376375062</v>
      </c>
      <c r="AQ281">
        <f t="shared" si="105"/>
        <v>7.6578248068640908</v>
      </c>
      <c r="AR281">
        <f t="shared" si="106"/>
        <v>11.140583427553752</v>
      </c>
      <c r="AT281" t="str">
        <f t="shared" si="107"/>
        <v>45531C</v>
      </c>
    </row>
    <row r="282" spans="1:46" x14ac:dyDescent="0.3">
      <c r="A282" s="17">
        <v>45531</v>
      </c>
      <c r="B282" s="18" t="s">
        <v>21</v>
      </c>
      <c r="C282" s="6">
        <v>8.3960000000000008</v>
      </c>
      <c r="D282" s="6">
        <v>38</v>
      </c>
      <c r="E282" s="6">
        <v>26.62222222222222</v>
      </c>
      <c r="F282" s="6">
        <v>57.32</v>
      </c>
      <c r="G282" s="6">
        <v>4.29</v>
      </c>
      <c r="H282" s="6">
        <v>3.3711111111111109</v>
      </c>
      <c r="I282" s="6">
        <v>142.11111111111109</v>
      </c>
      <c r="J282" s="6">
        <v>10.53241487360193</v>
      </c>
      <c r="K282" s="6">
        <v>7.3784473591911237E-3</v>
      </c>
      <c r="L282" s="6">
        <v>7.7712868710033453E-2</v>
      </c>
      <c r="M282" s="6">
        <v>18.62229757727442</v>
      </c>
      <c r="N282" s="6">
        <v>3.839021973631096</v>
      </c>
      <c r="O282" s="6">
        <v>5225</v>
      </c>
      <c r="P282" s="6">
        <v>120.4799379179961</v>
      </c>
      <c r="Q282" s="6">
        <v>34527.818734177214</v>
      </c>
      <c r="R282" s="6">
        <v>15730.78752607595</v>
      </c>
      <c r="S282" s="6">
        <v>13.34090475270667</v>
      </c>
      <c r="T282" s="6">
        <f t="shared" si="93"/>
        <v>11.172607977225454</v>
      </c>
      <c r="U282" s="6" t="e">
        <f>VLOOKUP($AT282,kkk,U$4,0)</f>
        <v>#N/A</v>
      </c>
      <c r="V282" s="6">
        <f t="shared" si="94"/>
        <v>9.23295280481166</v>
      </c>
      <c r="W282" s="6">
        <f t="shared" si="95"/>
        <v>13.112263149639247</v>
      </c>
      <c r="X282" s="6" t="e">
        <f t="shared" si="91"/>
        <v>#N/A</v>
      </c>
      <c r="Y282" s="6" t="e">
        <f t="shared" si="92"/>
        <v>#N/A</v>
      </c>
      <c r="Z282" s="6" t="e">
        <f>VLOOKUP($AT282,kkk,Z$4,0)</f>
        <v>#N/A</v>
      </c>
      <c r="AA282" s="6" t="e">
        <f>VLOOKUP($AT282,kkk,AA$4,0)</f>
        <v>#N/A</v>
      </c>
      <c r="AB282" s="6" t="e">
        <f>VLOOKUP($AT282,kkk,AB$4,0)</f>
        <v>#N/A</v>
      </c>
      <c r="AC282" s="6" t="e">
        <f>VLOOKUP($AT282,kkk,AC$4,0)</f>
        <v>#N/A</v>
      </c>
      <c r="AG282">
        <f t="shared" si="96"/>
        <v>-4.9200000000000091E-2</v>
      </c>
      <c r="AH282">
        <f t="shared" si="97"/>
        <v>0</v>
      </c>
      <c r="AI282">
        <f t="shared" si="98"/>
        <v>-0.343518518518516</v>
      </c>
      <c r="AJ282">
        <f t="shared" si="99"/>
        <v>-3.8793103448275863</v>
      </c>
      <c r="AK282">
        <f t="shared" si="100"/>
        <v>-1.4399999999999997</v>
      </c>
      <c r="AL282">
        <f t="shared" si="101"/>
        <v>-0.14444444444444482</v>
      </c>
      <c r="AM282">
        <f t="shared" si="102"/>
        <v>0</v>
      </c>
      <c r="AN282">
        <f t="shared" si="103"/>
        <v>0.10560984177215141</v>
      </c>
      <c r="AO282">
        <f t="shared" si="104"/>
        <v>-2.6048297472038584</v>
      </c>
      <c r="AQ282">
        <f t="shared" si="105"/>
        <v>9.23295280481166</v>
      </c>
      <c r="AR282">
        <f t="shared" si="106"/>
        <v>13.112263149639247</v>
      </c>
      <c r="AT282" t="str">
        <f t="shared" si="107"/>
        <v>45531D</v>
      </c>
    </row>
    <row r="283" spans="1:46" x14ac:dyDescent="0.3">
      <c r="A283" s="17">
        <v>45532</v>
      </c>
      <c r="B283" s="18" t="s">
        <v>22</v>
      </c>
      <c r="C283" s="6">
        <v>8.3725000000000005</v>
      </c>
      <c r="D283" s="6">
        <v>38.299999999999997</v>
      </c>
      <c r="E283" s="6">
        <v>26.548999999999999</v>
      </c>
      <c r="F283" s="6">
        <v>57.78</v>
      </c>
      <c r="G283" s="6">
        <v>4.29</v>
      </c>
      <c r="H283" s="6">
        <v>3.4180000000000001</v>
      </c>
      <c r="I283" s="6">
        <v>145.69999999999999</v>
      </c>
      <c r="J283" s="6">
        <v>7.977943861641962</v>
      </c>
      <c r="K283" s="6">
        <v>7.3005475456181454E-3</v>
      </c>
      <c r="L283" s="6">
        <v>5.8243358478189573E-2</v>
      </c>
      <c r="M283" s="6">
        <v>21.90749172926494</v>
      </c>
      <c r="N283" s="6">
        <v>2.1783316818104161</v>
      </c>
      <c r="O283" s="6">
        <v>5225</v>
      </c>
      <c r="P283" s="6">
        <v>118.8557577858404</v>
      </c>
      <c r="Q283" s="6">
        <v>36404.720000000001</v>
      </c>
      <c r="R283" s="6">
        <v>13435.135</v>
      </c>
      <c r="S283" s="6">
        <v>14.38407916116533</v>
      </c>
      <c r="T283" s="6">
        <f t="shared" si="93"/>
        <v>19.418011484429293</v>
      </c>
      <c r="U283" s="6">
        <f>VLOOKUP($AT283,kkk,U$4,0)</f>
        <v>19.82</v>
      </c>
      <c r="V283" s="6">
        <f t="shared" si="94"/>
        <v>17.081804587877571</v>
      </c>
      <c r="W283" s="6">
        <f t="shared" si="95"/>
        <v>21.754218380981019</v>
      </c>
      <c r="X283" s="6">
        <f t="shared" si="91"/>
        <v>20.02</v>
      </c>
      <c r="Y283" s="6">
        <f t="shared" si="92"/>
        <v>20.399999999999999</v>
      </c>
      <c r="Z283" s="6">
        <f>VLOOKUP($AT283,kkk,Z$4,0)</f>
        <v>8.33</v>
      </c>
      <c r="AA283" s="6">
        <f>VLOOKUP($AT283,kkk,AA$4,0)</f>
        <v>25.6</v>
      </c>
      <c r="AB283" s="6">
        <f>VLOOKUP($AT283,kkk,AB$4,0)</f>
        <v>3.41</v>
      </c>
      <c r="AC283" s="6">
        <f>VLOOKUP($AT283,kkk,AC$4,0)</f>
        <v>4.0199999999999996</v>
      </c>
      <c r="AG283">
        <f t="shared" si="96"/>
        <v>-4.4500000000000033E-2</v>
      </c>
      <c r="AH283">
        <f t="shared" si="97"/>
        <v>0</v>
      </c>
      <c r="AI283">
        <f t="shared" si="98"/>
        <v>-0.28249999999999886</v>
      </c>
      <c r="AJ283">
        <f t="shared" si="99"/>
        <v>-4.6724137931034493</v>
      </c>
      <c r="AK283">
        <f t="shared" si="100"/>
        <v>-1.4399999999999997</v>
      </c>
      <c r="AL283">
        <f t="shared" si="101"/>
        <v>9.000000000000119E-2</v>
      </c>
      <c r="AM283">
        <f t="shared" si="102"/>
        <v>0</v>
      </c>
      <c r="AN283">
        <f t="shared" si="103"/>
        <v>0.34022249999999987</v>
      </c>
      <c r="AO283">
        <f t="shared" si="104"/>
        <v>2.5041122767160768</v>
      </c>
      <c r="AQ283">
        <f t="shared" si="105"/>
        <v>17.081804587877571</v>
      </c>
      <c r="AR283">
        <f t="shared" si="106"/>
        <v>21.754218380981019</v>
      </c>
      <c r="AT283" t="str">
        <f t="shared" si="107"/>
        <v>45532A</v>
      </c>
    </row>
    <row r="284" spans="1:46" x14ac:dyDescent="0.3">
      <c r="A284" s="17">
        <v>45532</v>
      </c>
      <c r="B284" s="18" t="s">
        <v>19</v>
      </c>
      <c r="C284" s="6">
        <v>8.31</v>
      </c>
      <c r="D284" s="6">
        <v>37.6</v>
      </c>
      <c r="E284" s="6">
        <v>25.614000000000001</v>
      </c>
      <c r="F284" s="6">
        <v>56.91</v>
      </c>
      <c r="G284" s="6">
        <v>4.1549999999999994</v>
      </c>
      <c r="H284" s="6">
        <v>3.4039999999999999</v>
      </c>
      <c r="I284" s="6">
        <v>138.4</v>
      </c>
      <c r="J284" s="6">
        <v>9.2365248447516599</v>
      </c>
      <c r="K284" s="6">
        <v>6.7404110797520218E-3</v>
      </c>
      <c r="L284" s="6">
        <v>6.225797440196891E-2</v>
      </c>
      <c r="M284" s="6">
        <v>17.812012566275751</v>
      </c>
      <c r="N284" s="6">
        <v>4.6465887856290644</v>
      </c>
      <c r="O284" s="6">
        <v>5225</v>
      </c>
      <c r="P284" s="6">
        <v>120.47987579753411</v>
      </c>
      <c r="Q284" s="6">
        <v>32878.209072164951</v>
      </c>
      <c r="R284" s="6">
        <v>13092.399175257729</v>
      </c>
      <c r="S284" s="6">
        <v>14.437945994873489</v>
      </c>
      <c r="T284" s="6">
        <f t="shared" si="93"/>
        <v>14.198381177815214</v>
      </c>
      <c r="U284" s="6">
        <f>VLOOKUP($AT284,kkk,U$4,0)</f>
        <v>20.47</v>
      </c>
      <c r="V284" s="6">
        <f t="shared" si="94"/>
        <v>12.612174281263494</v>
      </c>
      <c r="W284" s="6">
        <f t="shared" si="95"/>
        <v>15.784588074366935</v>
      </c>
      <c r="X284" s="6">
        <f t="shared" si="91"/>
        <v>14.23</v>
      </c>
      <c r="Y284" s="6">
        <f t="shared" si="92"/>
        <v>14.04</v>
      </c>
      <c r="Z284" s="6">
        <f>VLOOKUP($AT284,kkk,Z$4,0)</f>
        <v>8.36</v>
      </c>
      <c r="AA284" s="6">
        <f>VLOOKUP($AT284,kkk,AA$4,0)</f>
        <v>26.6</v>
      </c>
      <c r="AB284" s="6">
        <f>VLOOKUP($AT284,kkk,AB$4,0)</f>
        <v>3.52</v>
      </c>
      <c r="AC284" s="6">
        <f>VLOOKUP($AT284,kkk,AC$4,0)</f>
        <v>4.0199999999999996</v>
      </c>
      <c r="AG284">
        <f t="shared" si="96"/>
        <v>-3.2000000000000028E-2</v>
      </c>
      <c r="AH284">
        <f t="shared" si="97"/>
        <v>0</v>
      </c>
      <c r="AI284">
        <f t="shared" si="98"/>
        <v>0.49666666666666676</v>
      </c>
      <c r="AJ284">
        <f t="shared" si="99"/>
        <v>-3.1724137931034417</v>
      </c>
      <c r="AK284">
        <f t="shared" si="100"/>
        <v>-1.0349999999999977</v>
      </c>
      <c r="AL284">
        <f t="shared" si="101"/>
        <v>2.0000000000000021E-2</v>
      </c>
      <c r="AM284">
        <f t="shared" si="102"/>
        <v>0</v>
      </c>
      <c r="AN284">
        <f t="shared" si="103"/>
        <v>-0.10059136597938141</v>
      </c>
      <c r="AO284">
        <f t="shared" si="104"/>
        <v>-1.3049689503318973E-2</v>
      </c>
      <c r="AQ284">
        <f t="shared" si="105"/>
        <v>12.612174281263494</v>
      </c>
      <c r="AR284">
        <f t="shared" si="106"/>
        <v>15.784588074366935</v>
      </c>
      <c r="AT284" t="str">
        <f t="shared" si="107"/>
        <v>45532B</v>
      </c>
    </row>
    <row r="285" spans="1:46" x14ac:dyDescent="0.3">
      <c r="A285" s="17">
        <v>45532</v>
      </c>
      <c r="B285" s="18" t="s">
        <v>20</v>
      </c>
      <c r="C285" s="6">
        <v>8.3140000000000001</v>
      </c>
      <c r="D285" s="6">
        <v>37.666666666666657</v>
      </c>
      <c r="E285" s="6">
        <v>25.89</v>
      </c>
      <c r="F285" s="6">
        <v>56.034999999999997</v>
      </c>
      <c r="G285" s="6">
        <v>4.0199999999999996</v>
      </c>
      <c r="H285" s="6">
        <v>3.4133333333333331</v>
      </c>
      <c r="I285" s="6">
        <v>140.7777777777778</v>
      </c>
      <c r="J285" s="6">
        <v>10.69671711145241</v>
      </c>
      <c r="K285" s="6">
        <v>6.5960192949922917E-3</v>
      </c>
      <c r="L285" s="6">
        <v>7.0555752460214324E-2</v>
      </c>
      <c r="M285" s="6">
        <v>14.95717816433198</v>
      </c>
      <c r="N285" s="6">
        <v>4.0653825912945809</v>
      </c>
      <c r="O285" s="6">
        <v>5225</v>
      </c>
      <c r="P285" s="6">
        <v>120.40098186349771</v>
      </c>
      <c r="Q285" s="6">
        <v>32249.200000000001</v>
      </c>
      <c r="R285" s="6">
        <v>16074.583000000001</v>
      </c>
      <c r="S285" s="6">
        <v>14.05998600655588</v>
      </c>
      <c r="T285" s="6">
        <f t="shared" si="93"/>
        <v>9.6924860980363619</v>
      </c>
      <c r="U285" s="6">
        <f>VLOOKUP($AT285,kkk,U$4,0)</f>
        <v>14.23</v>
      </c>
      <c r="V285" s="6">
        <f t="shared" si="94"/>
        <v>8.8605895463122266</v>
      </c>
      <c r="W285" s="6">
        <f t="shared" si="95"/>
        <v>10.524382649760497</v>
      </c>
      <c r="X285" s="6" t="e">
        <f t="shared" ref="X285:X316" si="108">VLOOKUP($AT285,iii,3,0)</f>
        <v>#N/A</v>
      </c>
      <c r="Y285" s="6" t="e">
        <f t="shared" ref="Y285:Y316" si="109">VLOOKUP($AT285,iii,2,0)</f>
        <v>#N/A</v>
      </c>
      <c r="Z285" s="6">
        <f>VLOOKUP($AT285,kkk,Z$4,0)</f>
        <v>9</v>
      </c>
      <c r="AA285" s="6">
        <f>VLOOKUP($AT285,kkk,AA$4,0)</f>
        <v>25.85</v>
      </c>
      <c r="AB285" s="6">
        <f>VLOOKUP($AT285,kkk,AB$4,0)</f>
        <v>3.78</v>
      </c>
      <c r="AC285" s="6">
        <f>VLOOKUP($AT285,kkk,AC$4,0)</f>
        <v>4.0199999999999996</v>
      </c>
      <c r="AG285">
        <f t="shared" si="96"/>
        <v>-3.279999999999994E-2</v>
      </c>
      <c r="AH285">
        <f t="shared" si="97"/>
        <v>0</v>
      </c>
      <c r="AI285">
        <f t="shared" si="98"/>
        <v>0.26666666666666694</v>
      </c>
      <c r="AJ285">
        <f t="shared" si="99"/>
        <v>-1.6637931034482696</v>
      </c>
      <c r="AK285">
        <f t="shared" si="100"/>
        <v>-0.62999999999999845</v>
      </c>
      <c r="AL285">
        <f t="shared" si="101"/>
        <v>6.6666666666665986E-2</v>
      </c>
      <c r="AM285">
        <f t="shared" si="102"/>
        <v>0</v>
      </c>
      <c r="AN285">
        <f t="shared" si="103"/>
        <v>-0.1792175000000002</v>
      </c>
      <c r="AO285">
        <f t="shared" si="104"/>
        <v>-2.9334342229048183</v>
      </c>
      <c r="AQ285">
        <f t="shared" si="105"/>
        <v>8.8605895463122266</v>
      </c>
      <c r="AR285">
        <f t="shared" si="106"/>
        <v>10.524382649760497</v>
      </c>
      <c r="AT285" t="str">
        <f t="shared" si="107"/>
        <v>45532C</v>
      </c>
    </row>
    <row r="286" spans="1:46" x14ac:dyDescent="0.3">
      <c r="A286" s="17">
        <v>45532</v>
      </c>
      <c r="B286" s="18" t="s">
        <v>21</v>
      </c>
      <c r="C286" s="6">
        <v>8.3466666666666658</v>
      </c>
      <c r="D286" s="6">
        <v>37.888888888888893</v>
      </c>
      <c r="E286" s="6">
        <v>26.69</v>
      </c>
      <c r="F286" s="6">
        <v>56.303333333333327</v>
      </c>
      <c r="G286" s="6">
        <v>4.0199999999999996</v>
      </c>
      <c r="H286" s="6">
        <v>3.3955555555555552</v>
      </c>
      <c r="I286" s="6">
        <v>141</v>
      </c>
      <c r="J286" s="6">
        <v>11.486190602072851</v>
      </c>
      <c r="K286" s="6">
        <v>3.019297912709534E-3</v>
      </c>
      <c r="L286" s="6">
        <v>3.468023130982243E-2</v>
      </c>
      <c r="M286" s="6">
        <v>14.78081016498985</v>
      </c>
      <c r="N286" s="6">
        <v>7.6805135238529534</v>
      </c>
      <c r="O286" s="6">
        <v>5225</v>
      </c>
      <c r="P286" s="6">
        <v>120.47993581767371</v>
      </c>
      <c r="Q286" s="6">
        <v>14788.271000000001</v>
      </c>
      <c r="R286" s="6">
        <v>15974.27576924779</v>
      </c>
      <c r="S286" s="6">
        <v>13.32090050501664</v>
      </c>
      <c r="T286" s="6">
        <f t="shared" si="93"/>
        <v>4.7486058606399748</v>
      </c>
      <c r="U286" s="6" t="e">
        <f>VLOOKUP($AT286,kkk,U$4,0)</f>
        <v>#N/A</v>
      </c>
      <c r="V286" s="6">
        <f t="shared" si="94"/>
        <v>3.6853874698353826</v>
      </c>
      <c r="W286" s="6">
        <f t="shared" si="95"/>
        <v>5.8118242514445679</v>
      </c>
      <c r="X286" s="6" t="e">
        <f t="shared" si="108"/>
        <v>#N/A</v>
      </c>
      <c r="Y286" s="6" t="e">
        <f t="shared" si="109"/>
        <v>#N/A</v>
      </c>
      <c r="Z286" s="6" t="e">
        <f>VLOOKUP($AT286,kkk,Z$4,0)</f>
        <v>#N/A</v>
      </c>
      <c r="AA286" s="6" t="e">
        <f>VLOOKUP($AT286,kkk,AA$4,0)</f>
        <v>#N/A</v>
      </c>
      <c r="AB286" s="6" t="e">
        <f>VLOOKUP($AT286,kkk,AB$4,0)</f>
        <v>#N/A</v>
      </c>
      <c r="AC286" s="6" t="e">
        <f>VLOOKUP($AT286,kkk,AC$4,0)</f>
        <v>#N/A</v>
      </c>
      <c r="AG286">
        <f t="shared" si="96"/>
        <v>-3.9333333333333088E-2</v>
      </c>
      <c r="AH286">
        <f t="shared" si="97"/>
        <v>0</v>
      </c>
      <c r="AI286">
        <f t="shared" si="98"/>
        <v>-0.40000000000000036</v>
      </c>
      <c r="AJ286">
        <f t="shared" si="99"/>
        <v>-2.1264367816091849</v>
      </c>
      <c r="AK286">
        <f t="shared" si="100"/>
        <v>-0.62999999999999845</v>
      </c>
      <c r="AL286">
        <f t="shared" si="101"/>
        <v>-2.2222222222223476E-2</v>
      </c>
      <c r="AM286">
        <f t="shared" si="102"/>
        <v>0</v>
      </c>
      <c r="AN286">
        <f t="shared" si="103"/>
        <v>-2.361833625</v>
      </c>
      <c r="AO286">
        <f t="shared" si="104"/>
        <v>-4.5123812041457008</v>
      </c>
      <c r="AQ286">
        <f t="shared" si="105"/>
        <v>3.6853874698353826</v>
      </c>
      <c r="AR286">
        <f t="shared" si="106"/>
        <v>5.8118242514445679</v>
      </c>
      <c r="AT286" t="str">
        <f t="shared" si="107"/>
        <v>45532D</v>
      </c>
    </row>
    <row r="287" spans="1:46" s="38" customFormat="1" x14ac:dyDescent="0.3">
      <c r="A287" s="35">
        <v>45533</v>
      </c>
      <c r="B287" s="36" t="s">
        <v>22</v>
      </c>
      <c r="C287" s="37">
        <v>8.7620000000000005</v>
      </c>
      <c r="D287" s="37">
        <v>38</v>
      </c>
      <c r="E287" s="37">
        <v>26.64</v>
      </c>
      <c r="F287" s="37">
        <v>56.84</v>
      </c>
      <c r="G287" s="37">
        <v>4.0199999999999996</v>
      </c>
      <c r="H287" s="37">
        <v>3.66</v>
      </c>
      <c r="I287" s="37">
        <v>146.6</v>
      </c>
      <c r="J287" s="37">
        <v>9.7930740553040874</v>
      </c>
      <c r="K287" s="37">
        <v>3.6871570816534652E-3</v>
      </c>
      <c r="L287" s="37">
        <v>3.6108602354171279E-2</v>
      </c>
      <c r="M287" s="37">
        <v>13.339704326344251</v>
      </c>
      <c r="N287" s="6">
        <v>8.98341144542586</v>
      </c>
      <c r="O287" s="37">
        <v>5225</v>
      </c>
      <c r="P287" s="37">
        <v>120.4767656467494</v>
      </c>
      <c r="Q287" s="37">
        <v>13537.44</v>
      </c>
      <c r="R287" s="37">
        <v>8873.7469999999994</v>
      </c>
      <c r="S287" s="37">
        <v>13.330673790093719</v>
      </c>
      <c r="T287" s="37">
        <f t="shared" si="93"/>
        <v>6.4679916884372268</v>
      </c>
      <c r="U287" s="37">
        <f>VLOOKUP($AT287,kkk,U$4,0)</f>
        <v>10.57</v>
      </c>
      <c r="V287" s="37">
        <f t="shared" si="94"/>
        <v>4.9421296194717064</v>
      </c>
      <c r="W287" s="37">
        <f t="shared" si="95"/>
        <v>7.9938537574027464</v>
      </c>
      <c r="X287" s="37">
        <f t="shared" si="108"/>
        <v>10.19</v>
      </c>
      <c r="Y287" s="37">
        <f t="shared" si="109"/>
        <v>9.4600000000000009</v>
      </c>
      <c r="Z287" s="37">
        <f>VLOOKUP($AT287,kkk,Z$4,0)</f>
        <v>8.65</v>
      </c>
      <c r="AA287" s="37">
        <f>VLOOKUP($AT287,kkk,AA$4,0)</f>
        <v>25.4</v>
      </c>
      <c r="AB287" s="37">
        <f>VLOOKUP($AT287,kkk,AB$4,0)</f>
        <v>3.36</v>
      </c>
      <c r="AC287" s="37">
        <f>VLOOKUP($AT287,kkk,AC$4,0)</f>
        <v>4.0199999999999996</v>
      </c>
      <c r="AG287" s="38">
        <f t="shared" si="96"/>
        <v>-0.12240000000000002</v>
      </c>
      <c r="AH287" s="38">
        <f t="shared" si="97"/>
        <v>0</v>
      </c>
      <c r="AI287" s="38">
        <f t="shared" si="98"/>
        <v>-0.35833333333333311</v>
      </c>
      <c r="AJ287" s="38">
        <f t="shared" si="99"/>
        <v>-3.05172413793104</v>
      </c>
      <c r="AK287" s="38">
        <f t="shared" si="100"/>
        <v>-0.62999999999999845</v>
      </c>
      <c r="AL287" s="38">
        <f t="shared" si="101"/>
        <v>1.3000000000000012</v>
      </c>
      <c r="AM287" s="38">
        <f t="shared" si="102"/>
        <v>0</v>
      </c>
      <c r="AN287" s="38">
        <f t="shared" si="103"/>
        <v>-2.5181874999999998</v>
      </c>
      <c r="AO287" s="38">
        <f t="shared" si="104"/>
        <v>-1.1261481106081739</v>
      </c>
      <c r="AQ287" s="38">
        <f t="shared" si="105"/>
        <v>4.9421296194717064</v>
      </c>
      <c r="AR287" s="38">
        <f t="shared" si="106"/>
        <v>7.9938537574027464</v>
      </c>
      <c r="AT287" s="38" t="str">
        <f t="shared" si="107"/>
        <v>45533A</v>
      </c>
    </row>
    <row r="288" spans="1:46" s="38" customFormat="1" x14ac:dyDescent="0.3">
      <c r="A288" s="35">
        <v>45533</v>
      </c>
      <c r="B288" s="36" t="s">
        <v>19</v>
      </c>
      <c r="C288" s="37">
        <v>8.6533333333333342</v>
      </c>
      <c r="D288" s="37">
        <v>38.5</v>
      </c>
      <c r="E288" s="37">
        <v>26.563333333333329</v>
      </c>
      <c r="F288" s="37">
        <v>53.195</v>
      </c>
      <c r="G288" s="37">
        <v>4.0199999999999996</v>
      </c>
      <c r="H288" s="37">
        <v>3.4816666666666669</v>
      </c>
      <c r="I288" s="37">
        <v>139.83333333333329</v>
      </c>
      <c r="J288" s="37">
        <v>8.8875741549719613</v>
      </c>
      <c r="K288" s="37">
        <v>4.7728869858857511E-3</v>
      </c>
      <c r="L288" s="37">
        <v>4.241938702036023E-2</v>
      </c>
      <c r="M288" s="37">
        <v>13.316815028029071</v>
      </c>
      <c r="N288" s="6">
        <v>2.5991775095866631E-3</v>
      </c>
      <c r="O288" s="37">
        <v>5225</v>
      </c>
      <c r="P288" s="37">
        <v>120.2700437339396</v>
      </c>
      <c r="Q288" s="37">
        <v>21002.50330935252</v>
      </c>
      <c r="R288" s="37">
        <v>11418.2936093959</v>
      </c>
      <c r="S288" s="37">
        <v>13.316815188299479</v>
      </c>
      <c r="T288" s="37">
        <f t="shared" si="93"/>
        <v>11.843500365495759</v>
      </c>
      <c r="U288" s="37">
        <f>VLOOKUP($AT288,kkk,U$4,0)</f>
        <v>11.84</v>
      </c>
      <c r="V288" s="37">
        <f t="shared" si="94"/>
        <v>13.459879675840586</v>
      </c>
      <c r="W288" s="37">
        <f t="shared" si="95"/>
        <v>10.227121055150931</v>
      </c>
      <c r="X288" s="37">
        <f t="shared" si="108"/>
        <v>14.69</v>
      </c>
      <c r="Y288" s="37">
        <f t="shared" si="109"/>
        <v>14.65</v>
      </c>
      <c r="Z288" s="37">
        <f>VLOOKUP($AT288,kkk,Z$4,0)</f>
        <v>8.2799999999999994</v>
      </c>
      <c r="AA288" s="37">
        <f>VLOOKUP($AT288,kkk,AA$4,0)</f>
        <v>26.87</v>
      </c>
      <c r="AB288" s="37">
        <f>VLOOKUP($AT288,kkk,AB$4,0)</f>
        <v>3.23</v>
      </c>
      <c r="AC288" s="37">
        <f>VLOOKUP($AT288,kkk,AC$4,0)</f>
        <v>4.0199999999999996</v>
      </c>
      <c r="AG288" s="38">
        <f t="shared" si="96"/>
        <v>-0.10066666666666678</v>
      </c>
      <c r="AH288" s="38">
        <f t="shared" si="97"/>
        <v>0</v>
      </c>
      <c r="AI288" s="38">
        <f t="shared" si="98"/>
        <v>-0.29444444444444018</v>
      </c>
      <c r="AJ288" s="38">
        <f t="shared" si="99"/>
        <v>3.2327586206896548</v>
      </c>
      <c r="AK288" s="38">
        <f t="shared" si="100"/>
        <v>-0.62999999999999845</v>
      </c>
      <c r="AL288" s="38">
        <f t="shared" si="101"/>
        <v>0.40833333333333499</v>
      </c>
      <c r="AM288" s="38">
        <f t="shared" si="102"/>
        <v>0</v>
      </c>
      <c r="AN288" s="38">
        <f t="shared" si="103"/>
        <v>-1.5850545863309353</v>
      </c>
      <c r="AO288" s="38">
        <f t="shared" si="104"/>
        <v>0.68485169005607816</v>
      </c>
      <c r="AQ288" s="38">
        <f t="shared" si="105"/>
        <v>13.459879675840586</v>
      </c>
      <c r="AR288" s="38">
        <f t="shared" si="106"/>
        <v>10.227121055150931</v>
      </c>
      <c r="AT288" s="38" t="str">
        <f t="shared" si="107"/>
        <v>45533B</v>
      </c>
    </row>
    <row r="289" spans="1:46" s="38" customFormat="1" x14ac:dyDescent="0.3">
      <c r="A289" s="35">
        <v>45533</v>
      </c>
      <c r="B289" s="36" t="s">
        <v>20</v>
      </c>
      <c r="C289" s="37">
        <v>8.6533333333333342</v>
      </c>
      <c r="D289" s="37">
        <v>37.625</v>
      </c>
      <c r="E289" s="37">
        <v>26.747499999999999</v>
      </c>
      <c r="F289" s="37">
        <v>53.195</v>
      </c>
      <c r="G289" s="37">
        <v>4.0199999999999996</v>
      </c>
      <c r="H289" s="37">
        <v>3.4187500000000002</v>
      </c>
      <c r="I289" s="37">
        <v>140.25</v>
      </c>
      <c r="J289" s="37">
        <v>9.02608032750876</v>
      </c>
      <c r="K289" s="37">
        <v>3.5136786514997952E-3</v>
      </c>
      <c r="L289" s="37">
        <v>3.1714745753489808E-2</v>
      </c>
      <c r="M289" s="37">
        <v>13.316815027089669</v>
      </c>
      <c r="N289" s="6">
        <v>2.5991869210153572E-3</v>
      </c>
      <c r="O289" s="37">
        <v>5225</v>
      </c>
      <c r="P289" s="37">
        <v>120.27004354085339</v>
      </c>
      <c r="Q289" s="37">
        <v>15737.84</v>
      </c>
      <c r="R289" s="37">
        <v>14838.155000000001</v>
      </c>
      <c r="S289" s="37">
        <v>13.31565196379823</v>
      </c>
      <c r="T289" s="37">
        <f t="shared" si="93"/>
        <v>10.867832224083648</v>
      </c>
      <c r="U289" s="37">
        <f>VLOOKUP($AT289,kkk,U$4,0)</f>
        <v>14.83</v>
      </c>
      <c r="V289" s="37">
        <f t="shared" si="94"/>
        <v>12.484211534428475</v>
      </c>
      <c r="W289" s="37">
        <f t="shared" si="95"/>
        <v>9.2514529137388202</v>
      </c>
      <c r="X289" s="37" t="e">
        <f t="shared" si="108"/>
        <v>#N/A</v>
      </c>
      <c r="Y289" s="37" t="e">
        <f t="shared" si="109"/>
        <v>#N/A</v>
      </c>
      <c r="Z289" s="37">
        <f>VLOOKUP($AT289,kkk,Z$4,0)</f>
        <v>8.1</v>
      </c>
      <c r="AA289" s="37">
        <f>VLOOKUP($AT289,kkk,AA$4,0)</f>
        <v>26.17</v>
      </c>
      <c r="AB289" s="37">
        <f>VLOOKUP($AT289,kkk,AB$4,0)</f>
        <v>3.29</v>
      </c>
      <c r="AC289" s="37">
        <f>VLOOKUP($AT289,kkk,AC$4,0)</f>
        <v>4.0199999999999996</v>
      </c>
      <c r="AG289" s="38">
        <f t="shared" si="96"/>
        <v>-0.10066666666666678</v>
      </c>
      <c r="AH289" s="38">
        <f t="shared" si="97"/>
        <v>0</v>
      </c>
      <c r="AI289" s="38">
        <f t="shared" si="98"/>
        <v>-0.44791666666666491</v>
      </c>
      <c r="AJ289" s="38">
        <f t="shared" si="99"/>
        <v>3.2327586206896548</v>
      </c>
      <c r="AK289" s="38">
        <f t="shared" si="100"/>
        <v>-0.62999999999999845</v>
      </c>
      <c r="AL289" s="38">
        <f t="shared" si="101"/>
        <v>9.3750000000001332E-2</v>
      </c>
      <c r="AM289" s="38">
        <f t="shared" si="102"/>
        <v>0</v>
      </c>
      <c r="AN289" s="38">
        <f t="shared" si="103"/>
        <v>-2.2431375000000005</v>
      </c>
      <c r="AO289" s="38">
        <f t="shared" si="104"/>
        <v>0.40783934498248087</v>
      </c>
      <c r="AQ289" s="38">
        <f t="shared" si="105"/>
        <v>12.484211534428475</v>
      </c>
      <c r="AR289" s="38">
        <f t="shared" si="106"/>
        <v>9.2514529137388202</v>
      </c>
      <c r="AT289" s="38" t="str">
        <f t="shared" si="107"/>
        <v>45533C</v>
      </c>
    </row>
    <row r="290" spans="1:46" s="38" customFormat="1" x14ac:dyDescent="0.3">
      <c r="A290" s="35">
        <v>45533</v>
      </c>
      <c r="B290" s="36" t="s">
        <v>21</v>
      </c>
      <c r="C290" s="37">
        <v>8.5019999999999989</v>
      </c>
      <c r="D290" s="37">
        <v>37.444444444444443</v>
      </c>
      <c r="E290" s="37">
        <v>26.655555555555559</v>
      </c>
      <c r="F290" s="37">
        <v>54.386666666666663</v>
      </c>
      <c r="G290" s="37">
        <v>4.0199999999999996</v>
      </c>
      <c r="H290" s="37">
        <v>3.37</v>
      </c>
      <c r="I290" s="37">
        <v>142.2222222222222</v>
      </c>
      <c r="J290" s="37">
        <v>8.8191252639801476</v>
      </c>
      <c r="K290" s="37">
        <v>4.9942779395096221E-3</v>
      </c>
      <c r="L290" s="37">
        <v>4.4045162751668018E-2</v>
      </c>
      <c r="M290" s="37">
        <v>13.31569395544577</v>
      </c>
      <c r="N290" s="6">
        <v>2.5990168686660731E-3</v>
      </c>
      <c r="O290" s="37">
        <v>5225</v>
      </c>
      <c r="P290" s="37">
        <v>119.8200092207525</v>
      </c>
      <c r="Q290" s="37">
        <v>24633.8</v>
      </c>
      <c r="R290" s="37">
        <v>16421.613391542291</v>
      </c>
      <c r="S290" s="37">
        <v>13.27272976549248</v>
      </c>
      <c r="T290" s="37">
        <f t="shared" si="93"/>
        <v>11.426386764902086</v>
      </c>
      <c r="U290" s="37" t="e">
        <f>VLOOKUP($AT290,kkk,U$4,0)</f>
        <v>#N/A</v>
      </c>
      <c r="V290" s="37">
        <f t="shared" si="94"/>
        <v>12.015467224672204</v>
      </c>
      <c r="W290" s="37">
        <f t="shared" si="95"/>
        <v>10.837306305131968</v>
      </c>
      <c r="X290" s="37" t="e">
        <f t="shared" si="108"/>
        <v>#N/A</v>
      </c>
      <c r="Y290" s="37" t="e">
        <f t="shared" si="109"/>
        <v>#N/A</v>
      </c>
      <c r="Z290" s="37" t="e">
        <f>VLOOKUP($AT290,kkk,Z$4,0)</f>
        <v>#N/A</v>
      </c>
      <c r="AA290" s="37" t="e">
        <f>VLOOKUP($AT290,kkk,AA$4,0)</f>
        <v>#N/A</v>
      </c>
      <c r="AB290" s="37" t="e">
        <f>VLOOKUP($AT290,kkk,AB$4,0)</f>
        <v>#N/A</v>
      </c>
      <c r="AC290" s="37" t="e">
        <f>VLOOKUP($AT290,kkk,AC$4,0)</f>
        <v>#N/A</v>
      </c>
      <c r="AG290" s="38">
        <f t="shared" si="96"/>
        <v>-7.0399999999999713E-2</v>
      </c>
      <c r="AH290" s="38">
        <f t="shared" si="97"/>
        <v>0</v>
      </c>
      <c r="AI290" s="38">
        <f t="shared" si="98"/>
        <v>-0.37129629629629812</v>
      </c>
      <c r="AJ290" s="38">
        <f t="shared" si="99"/>
        <v>1.1781609195402365</v>
      </c>
      <c r="AK290" s="38">
        <f t="shared" si="100"/>
        <v>-0.62999999999999845</v>
      </c>
      <c r="AL290" s="38">
        <f t="shared" si="101"/>
        <v>-0.14999999999999902</v>
      </c>
      <c r="AM290" s="38">
        <f t="shared" si="102"/>
        <v>0</v>
      </c>
      <c r="AN290" s="38">
        <f t="shared" si="103"/>
        <v>-1.1311425000000004</v>
      </c>
      <c r="AO290" s="38">
        <f t="shared" si="104"/>
        <v>0.82174947203970561</v>
      </c>
      <c r="AQ290" s="38">
        <f t="shared" si="105"/>
        <v>12.015467224672204</v>
      </c>
      <c r="AR290" s="38">
        <f t="shared" si="106"/>
        <v>10.837306305131968</v>
      </c>
      <c r="AT290" s="38" t="str">
        <f t="shared" si="107"/>
        <v>45533D</v>
      </c>
    </row>
    <row r="291" spans="1:46" x14ac:dyDescent="0.3">
      <c r="A291" s="17">
        <v>45538</v>
      </c>
      <c r="B291" s="18" t="s">
        <v>19</v>
      </c>
      <c r="C291" s="6">
        <v>8.0939999999999994</v>
      </c>
      <c r="D291" s="6">
        <v>38.857142857142847</v>
      </c>
      <c r="E291" s="6">
        <v>25.997142857142851</v>
      </c>
      <c r="F291" s="6">
        <v>55.8</v>
      </c>
      <c r="G291" s="6">
        <v>4.0199999999999996</v>
      </c>
      <c r="H291" s="6">
        <v>3.422857142857143</v>
      </c>
      <c r="I291" s="6">
        <v>144.57142857142861</v>
      </c>
      <c r="J291" s="6">
        <v>9.5969309946529826</v>
      </c>
      <c r="K291" s="6">
        <v>5.1449332671339304E-3</v>
      </c>
      <c r="L291" s="6">
        <v>4.9375569536778838E-2</v>
      </c>
      <c r="M291" s="6">
        <v>17.458546816300931</v>
      </c>
      <c r="N291" s="6">
        <v>2.5980724361967119E-3</v>
      </c>
      <c r="O291" s="6">
        <v>5225</v>
      </c>
      <c r="P291" s="6">
        <v>110.413039177588</v>
      </c>
      <c r="Q291" s="6">
        <v>13202.813333333341</v>
      </c>
      <c r="R291" s="6">
        <v>7416.2278589743592</v>
      </c>
      <c r="S291" s="6">
        <v>16.853355069969481</v>
      </c>
      <c r="T291" s="6">
        <f t="shared" si="93"/>
        <v>11.135253797872522</v>
      </c>
      <c r="U291" s="6">
        <f>VLOOKUP($AT291,kkk,U$4,0)</f>
        <v>18.22</v>
      </c>
      <c r="V291" s="6">
        <f t="shared" si="94"/>
        <v>10.505943453044939</v>
      </c>
      <c r="W291" s="6">
        <f t="shared" si="95"/>
        <v>11.764564142700106</v>
      </c>
      <c r="X291" s="6">
        <f t="shared" si="108"/>
        <v>16.79</v>
      </c>
      <c r="Y291" s="6">
        <f t="shared" si="109"/>
        <v>15.82</v>
      </c>
      <c r="Z291" s="6">
        <f>VLOOKUP($AT291,kkk,Z$4,0)</f>
        <v>8.3000000000000007</v>
      </c>
      <c r="AA291" s="6">
        <f>VLOOKUP($AT291,kkk,AA$4,0)</f>
        <v>28.1</v>
      </c>
      <c r="AB291" s="6">
        <f>VLOOKUP($AT291,kkk,AB$4,0)</f>
        <v>3.44</v>
      </c>
      <c r="AC291" s="6">
        <f>VLOOKUP($AT291,kkk,AC$4,0)</f>
        <v>3.97</v>
      </c>
      <c r="AG291">
        <f t="shared" si="96"/>
        <v>1.1200000000000189E-2</v>
      </c>
      <c r="AH291">
        <f t="shared" si="97"/>
        <v>0</v>
      </c>
      <c r="AI291">
        <f t="shared" si="98"/>
        <v>0.17738095238095813</v>
      </c>
      <c r="AJ291">
        <f t="shared" si="99"/>
        <v>-1.258620689655167</v>
      </c>
      <c r="AK291">
        <f t="shared" si="100"/>
        <v>-0.62999999999999845</v>
      </c>
      <c r="AL291">
        <f t="shared" si="101"/>
        <v>0.11428571428571566</v>
      </c>
      <c r="AM291">
        <f t="shared" si="102"/>
        <v>0</v>
      </c>
      <c r="AN291">
        <f t="shared" si="103"/>
        <v>-2.5600158333333329</v>
      </c>
      <c r="AO291">
        <f t="shared" si="104"/>
        <v>-0.73386198930596436</v>
      </c>
      <c r="AQ291">
        <f t="shared" si="105"/>
        <v>10.505943453044939</v>
      </c>
      <c r="AR291">
        <f t="shared" si="106"/>
        <v>11.764564142700106</v>
      </c>
      <c r="AT291" t="str">
        <f t="shared" si="107"/>
        <v>45538B</v>
      </c>
    </row>
    <row r="292" spans="1:46" x14ac:dyDescent="0.3">
      <c r="A292" s="17">
        <v>45538</v>
      </c>
      <c r="B292" s="18" t="s">
        <v>20</v>
      </c>
      <c r="C292" s="6">
        <v>8.1116666666666664</v>
      </c>
      <c r="D292" s="6">
        <v>38.5</v>
      </c>
      <c r="E292" s="6">
        <v>26.468</v>
      </c>
      <c r="F292" s="6">
        <v>55.8</v>
      </c>
      <c r="G292" s="6">
        <v>3.84</v>
      </c>
      <c r="H292" s="6">
        <v>3.415999999999999</v>
      </c>
      <c r="I292" s="6">
        <v>142.4</v>
      </c>
      <c r="J292" s="6">
        <v>9.7792202569124616</v>
      </c>
      <c r="K292" s="6">
        <v>5.9156126287594419E-3</v>
      </c>
      <c r="L292" s="6">
        <v>5.785007885121151E-2</v>
      </c>
      <c r="M292" s="6">
        <v>16.325337319779671</v>
      </c>
      <c r="N292" s="6">
        <v>2.58799769165419E-3</v>
      </c>
      <c r="O292" s="6">
        <v>5225</v>
      </c>
      <c r="P292" s="6">
        <v>93.456226489764006</v>
      </c>
      <c r="Q292" s="6">
        <v>23954.04</v>
      </c>
      <c r="R292" s="6">
        <v>12793.695</v>
      </c>
      <c r="S292" s="6">
        <v>16.179242314290001</v>
      </c>
      <c r="T292" s="6">
        <f t="shared" si="93"/>
        <v>11.763352502793827</v>
      </c>
      <c r="U292" s="6">
        <f>VLOOKUP($AT292,kkk,U$4,0)</f>
        <v>16.36</v>
      </c>
      <c r="V292" s="6">
        <f t="shared" si="94"/>
        <v>11.134042157966244</v>
      </c>
      <c r="W292" s="6">
        <f t="shared" si="95"/>
        <v>12.392662847621411</v>
      </c>
      <c r="X292" s="6" t="e">
        <f t="shared" si="108"/>
        <v>#N/A</v>
      </c>
      <c r="Y292" s="6" t="e">
        <f t="shared" si="109"/>
        <v>#N/A</v>
      </c>
      <c r="Z292" s="6">
        <f>VLOOKUP($AT292,kkk,Z$4,0)</f>
        <v>8.4700000000000006</v>
      </c>
      <c r="AA292" s="6">
        <f>VLOOKUP($AT292,kkk,AA$4,0)</f>
        <v>26.52</v>
      </c>
      <c r="AB292" s="6">
        <f>VLOOKUP($AT292,kkk,AB$4,0)</f>
        <v>3.5</v>
      </c>
      <c r="AC292" s="6">
        <f>VLOOKUP($AT292,kkk,AC$4,0)</f>
        <v>3.91</v>
      </c>
      <c r="AG292">
        <f t="shared" si="96"/>
        <v>7.6666666666667998E-3</v>
      </c>
      <c r="AH292">
        <f t="shared" si="97"/>
        <v>0</v>
      </c>
      <c r="AI292">
        <f t="shared" si="98"/>
        <v>-0.21499999999999928</v>
      </c>
      <c r="AJ292">
        <f t="shared" si="99"/>
        <v>-1.258620689655167</v>
      </c>
      <c r="AK292">
        <f t="shared" si="100"/>
        <v>-8.99999999999994E-2</v>
      </c>
      <c r="AL292">
        <f t="shared" si="101"/>
        <v>7.999999999999563E-2</v>
      </c>
      <c r="AM292">
        <f t="shared" si="102"/>
        <v>0</v>
      </c>
      <c r="AN292">
        <f t="shared" si="103"/>
        <v>-1.2161125000000002</v>
      </c>
      <c r="AO292">
        <f t="shared" si="104"/>
        <v>-1.0984405138249222</v>
      </c>
      <c r="AQ292">
        <f t="shared" si="105"/>
        <v>11.134042157966244</v>
      </c>
      <c r="AR292">
        <f t="shared" si="106"/>
        <v>12.392662847621411</v>
      </c>
      <c r="AT292" t="str">
        <f t="shared" si="107"/>
        <v>45538C</v>
      </c>
    </row>
    <row r="293" spans="1:46" x14ac:dyDescent="0.3">
      <c r="A293" s="17">
        <v>45538</v>
      </c>
      <c r="B293" s="18" t="s">
        <v>21</v>
      </c>
      <c r="C293" s="6">
        <v>8.2299999999999986</v>
      </c>
      <c r="D293" s="6">
        <v>38.888888888888893</v>
      </c>
      <c r="E293" s="6">
        <v>27.666666666666671</v>
      </c>
      <c r="F293" s="6">
        <v>55.866666666666667</v>
      </c>
      <c r="G293" s="6">
        <v>3.84</v>
      </c>
      <c r="H293" s="6">
        <v>3.4688888888888889</v>
      </c>
      <c r="I293" s="6">
        <v>143.66666666666671</v>
      </c>
      <c r="J293" s="6">
        <v>9.7808577056231822</v>
      </c>
      <c r="K293" s="6">
        <v>9.2572409487907212E-3</v>
      </c>
      <c r="L293" s="6">
        <v>9.0543756466790179E-2</v>
      </c>
      <c r="M293" s="6">
        <v>15.861614062277431</v>
      </c>
      <c r="N293" s="6">
        <v>2.5888860716262131E-3</v>
      </c>
      <c r="O293" s="6">
        <v>5225</v>
      </c>
      <c r="P293" s="6">
        <v>96.568362342455529</v>
      </c>
      <c r="Q293" s="6">
        <v>36586.810909090913</v>
      </c>
      <c r="R293" s="6">
        <v>11431.996943813539</v>
      </c>
      <c r="S293" s="6">
        <v>15.246722294859261</v>
      </c>
      <c r="T293" s="6">
        <f t="shared" si="93"/>
        <v>11.889656079004276</v>
      </c>
      <c r="U293" s="6" t="e">
        <f>VLOOKUP($AT293,kkk,U$4,0)</f>
        <v>#N/A</v>
      </c>
      <c r="V293" s="6">
        <f t="shared" si="94"/>
        <v>11.202874469808872</v>
      </c>
      <c r="W293" s="6">
        <f t="shared" si="95"/>
        <v>12.576437688199677</v>
      </c>
      <c r="X293" s="6" t="e">
        <f t="shared" si="108"/>
        <v>#N/A</v>
      </c>
      <c r="Y293" s="6" t="e">
        <f t="shared" si="109"/>
        <v>#N/A</v>
      </c>
      <c r="Z293" s="6" t="e">
        <f>VLOOKUP($AT293,kkk,Z$4,0)</f>
        <v>#N/A</v>
      </c>
      <c r="AA293" s="6" t="e">
        <f>VLOOKUP($AT293,kkk,AA$4,0)</f>
        <v>#N/A</v>
      </c>
      <c r="AB293" s="6" t="e">
        <f>VLOOKUP($AT293,kkk,AB$4,0)</f>
        <v>#N/A</v>
      </c>
      <c r="AC293" s="6" t="e">
        <f>VLOOKUP($AT293,kkk,AC$4,0)</f>
        <v>#N/A</v>
      </c>
      <c r="AG293">
        <f t="shared" si="96"/>
        <v>-1.599999999999966E-2</v>
      </c>
      <c r="AH293">
        <f t="shared" si="97"/>
        <v>0</v>
      </c>
      <c r="AI293">
        <f t="shared" si="98"/>
        <v>-1.2138888888888921</v>
      </c>
      <c r="AJ293">
        <f t="shared" si="99"/>
        <v>-1.3735632183908049</v>
      </c>
      <c r="AK293">
        <f t="shared" si="100"/>
        <v>-8.99999999999994E-2</v>
      </c>
      <c r="AL293">
        <f t="shared" si="101"/>
        <v>0.344444444444445</v>
      </c>
      <c r="AM293">
        <f t="shared" si="102"/>
        <v>0</v>
      </c>
      <c r="AN293">
        <f t="shared" si="103"/>
        <v>0.36298386363636381</v>
      </c>
      <c r="AO293">
        <f t="shared" si="104"/>
        <v>-1.1017154112463636</v>
      </c>
      <c r="AQ293">
        <f t="shared" si="105"/>
        <v>11.202874469808872</v>
      </c>
      <c r="AR293">
        <f t="shared" si="106"/>
        <v>12.576437688199677</v>
      </c>
      <c r="AT293" t="str">
        <f t="shared" si="107"/>
        <v>45538D</v>
      </c>
    </row>
    <row r="294" spans="1:46" x14ac:dyDescent="0.3">
      <c r="A294" s="17">
        <v>45539</v>
      </c>
      <c r="B294" s="18" t="s">
        <v>22</v>
      </c>
      <c r="C294" s="6">
        <v>8.3683333333333341</v>
      </c>
      <c r="D294" s="6">
        <v>38.125</v>
      </c>
      <c r="E294" s="6">
        <v>27.274999999999999</v>
      </c>
      <c r="F294" s="6">
        <v>55.994999999999997</v>
      </c>
      <c r="G294" s="6">
        <v>3.97</v>
      </c>
      <c r="H294" s="6">
        <v>3.4925000000000002</v>
      </c>
      <c r="I294" s="6">
        <v>145.25</v>
      </c>
      <c r="J294" s="6">
        <v>8.9110914731207895</v>
      </c>
      <c r="K294" s="6">
        <v>1.524336644711167E-2</v>
      </c>
      <c r="L294" s="6">
        <v>0.13583503276851239</v>
      </c>
      <c r="M294" s="6">
        <v>15.600254480100491</v>
      </c>
      <c r="N294" s="6">
        <v>2.5895783120761149E-3</v>
      </c>
      <c r="O294" s="6">
        <v>5225</v>
      </c>
      <c r="P294" s="6">
        <v>98.284588021760698</v>
      </c>
      <c r="Q294" s="6">
        <v>69205.64</v>
      </c>
      <c r="R294" s="6">
        <v>10151.967000000001</v>
      </c>
      <c r="S294" s="6">
        <v>14.262305145038921</v>
      </c>
      <c r="T294" s="6">
        <f t="shared" si="93"/>
        <v>17.201324449088801</v>
      </c>
      <c r="U294" s="6">
        <f>VLOOKUP($AT294,kkk,U$4,0)</f>
        <v>19.89</v>
      </c>
      <c r="V294" s="6">
        <f t="shared" si="94"/>
        <v>16.403910655985356</v>
      </c>
      <c r="W294" s="6">
        <f t="shared" si="95"/>
        <v>17.99873824219225</v>
      </c>
      <c r="X294" s="6">
        <f t="shared" si="108"/>
        <v>19.989999999999998</v>
      </c>
      <c r="Y294" s="6">
        <f t="shared" si="109"/>
        <v>20.32</v>
      </c>
      <c r="Z294" s="6">
        <f>VLOOKUP($AT294,kkk,Z$4,0)</f>
        <v>8.32</v>
      </c>
      <c r="AA294" s="6">
        <f>VLOOKUP($AT294,kkk,AA$4,0)</f>
        <v>27.31</v>
      </c>
      <c r="AB294" s="6">
        <f>VLOOKUP($AT294,kkk,AB$4,0)</f>
        <v>3.51</v>
      </c>
      <c r="AC294" s="6">
        <f>VLOOKUP($AT294,kkk,AC$4,0)</f>
        <v>4.05</v>
      </c>
      <c r="AG294">
        <f t="shared" si="96"/>
        <v>-4.3666666666666742E-2</v>
      </c>
      <c r="AH294">
        <f t="shared" si="97"/>
        <v>0</v>
      </c>
      <c r="AI294">
        <f t="shared" si="98"/>
        <v>-0.88749999999999818</v>
      </c>
      <c r="AJ294">
        <f t="shared" si="99"/>
        <v>-1.5948275862068917</v>
      </c>
      <c r="AK294">
        <f t="shared" si="100"/>
        <v>-0.48000000000000043</v>
      </c>
      <c r="AL294">
        <f t="shared" si="101"/>
        <v>0.46250000000000124</v>
      </c>
      <c r="AM294">
        <f t="shared" si="102"/>
        <v>0</v>
      </c>
      <c r="AN294">
        <f t="shared" si="103"/>
        <v>4.4403375</v>
      </c>
      <c r="AO294">
        <f t="shared" si="104"/>
        <v>0.63781705375842179</v>
      </c>
      <c r="AQ294">
        <f t="shared" si="105"/>
        <v>16.403910655985356</v>
      </c>
      <c r="AR294">
        <f t="shared" si="106"/>
        <v>17.99873824219225</v>
      </c>
      <c r="AT294" t="str">
        <f t="shared" si="107"/>
        <v>45539A</v>
      </c>
    </row>
    <row r="295" spans="1:46" x14ac:dyDescent="0.3">
      <c r="A295" s="17">
        <v>45539</v>
      </c>
      <c r="B295" s="18" t="s">
        <v>19</v>
      </c>
      <c r="C295" s="6">
        <v>8.3087499999999999</v>
      </c>
      <c r="D295" s="6">
        <v>38</v>
      </c>
      <c r="E295" s="6">
        <v>26.642499999999998</v>
      </c>
      <c r="F295" s="6">
        <v>55.256666666666668</v>
      </c>
      <c r="G295" s="6">
        <v>4.05</v>
      </c>
      <c r="H295" s="6">
        <v>3.503333333333333</v>
      </c>
      <c r="I295" s="6">
        <v>146</v>
      </c>
      <c r="J295" s="6">
        <v>9.0863803375685848</v>
      </c>
      <c r="K295" s="6">
        <v>1.1551644874528489E-2</v>
      </c>
      <c r="L295" s="6">
        <v>0.1049626388544906</v>
      </c>
      <c r="M295" s="6">
        <v>13.543708744395969</v>
      </c>
      <c r="N295" s="6">
        <v>2.5970244160457489E-3</v>
      </c>
      <c r="O295" s="6">
        <v>5225</v>
      </c>
      <c r="P295" s="6">
        <v>115.7147644136288</v>
      </c>
      <c r="Q295" s="6">
        <v>51676.763870967741</v>
      </c>
      <c r="R295" s="6">
        <v>11829.323870967741</v>
      </c>
      <c r="S295" s="6">
        <v>14.29149756729773</v>
      </c>
      <c r="T295" s="6">
        <f t="shared" si="93"/>
        <v>13.802421996770851</v>
      </c>
      <c r="U295" s="6">
        <f>VLOOKUP($AT295,kkk,U$4,0)</f>
        <v>17.64</v>
      </c>
      <c r="V295" s="6">
        <f t="shared" si="94"/>
        <v>13.641502456540966</v>
      </c>
      <c r="W295" s="6">
        <f t="shared" si="95"/>
        <v>13.963341537000737</v>
      </c>
      <c r="X295" s="6">
        <f t="shared" si="108"/>
        <v>14.5</v>
      </c>
      <c r="Y295" s="6">
        <f t="shared" si="109"/>
        <v>14.06</v>
      </c>
      <c r="Z295" s="6">
        <f>VLOOKUP($AT295,kkk,Z$4,0)</f>
        <v>8.32</v>
      </c>
      <c r="AA295" s="6">
        <f>VLOOKUP($AT295,kkk,AA$4,0)</f>
        <v>27.45</v>
      </c>
      <c r="AB295" s="6">
        <f>VLOOKUP($AT295,kkk,AB$4,0)</f>
        <v>3.53</v>
      </c>
      <c r="AC295" s="6">
        <f>VLOOKUP($AT295,kkk,AC$4,0)</f>
        <v>4.05</v>
      </c>
      <c r="AG295">
        <f t="shared" si="96"/>
        <v>-3.1749999999999903E-2</v>
      </c>
      <c r="AH295">
        <f t="shared" si="97"/>
        <v>0</v>
      </c>
      <c r="AI295">
        <f t="shared" si="98"/>
        <v>-0.36041666666666455</v>
      </c>
      <c r="AJ295">
        <f t="shared" si="99"/>
        <v>-0.32183908045977144</v>
      </c>
      <c r="AK295">
        <f t="shared" si="100"/>
        <v>-0.7199999999999992</v>
      </c>
      <c r="AL295">
        <f t="shared" si="101"/>
        <v>0.51666666666666528</v>
      </c>
      <c r="AM295">
        <f t="shared" si="102"/>
        <v>0</v>
      </c>
      <c r="AN295">
        <f t="shared" si="103"/>
        <v>2.2492279838709672</v>
      </c>
      <c r="AO295">
        <f t="shared" si="104"/>
        <v>0.28723932486283132</v>
      </c>
      <c r="AQ295">
        <f t="shared" si="105"/>
        <v>13.641502456540966</v>
      </c>
      <c r="AR295">
        <f t="shared" si="106"/>
        <v>13.963341537000737</v>
      </c>
      <c r="AT295" t="str">
        <f t="shared" si="107"/>
        <v>45539B</v>
      </c>
    </row>
    <row r="296" spans="1:46" x14ac:dyDescent="0.3">
      <c r="A296" s="17">
        <v>45539</v>
      </c>
      <c r="B296" s="18" t="s">
        <v>20</v>
      </c>
      <c r="C296" s="6">
        <v>8.2528571428571436</v>
      </c>
      <c r="D296" s="6">
        <v>38.166666666666657</v>
      </c>
      <c r="E296" s="6">
        <v>26.884166666666669</v>
      </c>
      <c r="F296" s="6">
        <v>54.89</v>
      </c>
      <c r="G296" s="6">
        <v>4.05</v>
      </c>
      <c r="H296" s="6">
        <v>3.496666666666667</v>
      </c>
      <c r="I296" s="6">
        <v>146.83333333333329</v>
      </c>
      <c r="J296" s="6">
        <v>9.2725658278871652</v>
      </c>
      <c r="K296" s="6">
        <v>6.776983479268292E-3</v>
      </c>
      <c r="L296" s="6">
        <v>6.2840025426019047E-2</v>
      </c>
      <c r="M296" s="6">
        <v>13.316839305879711</v>
      </c>
      <c r="N296" s="6">
        <v>2.5991725911272698E-3</v>
      </c>
      <c r="O296" s="6">
        <v>5225</v>
      </c>
      <c r="P296" s="6">
        <v>120.26983412186139</v>
      </c>
      <c r="Q296" s="6">
        <v>33019.040000000001</v>
      </c>
      <c r="R296" s="6">
        <v>15395.52</v>
      </c>
      <c r="S296" s="6">
        <v>14.277385212149049</v>
      </c>
      <c r="T296" s="6">
        <f t="shared" si="93"/>
        <v>11.409288913104836</v>
      </c>
      <c r="U296" s="6">
        <f>VLOOKUP($AT296,kkk,U$4,0)</f>
        <v>13.39</v>
      </c>
      <c r="V296" s="6">
        <f t="shared" si="94"/>
        <v>11.564461326897939</v>
      </c>
      <c r="W296" s="6">
        <f t="shared" si="95"/>
        <v>11.254116499311733</v>
      </c>
      <c r="X296" s="6" t="e">
        <f t="shared" si="108"/>
        <v>#N/A</v>
      </c>
      <c r="Y296" s="6" t="e">
        <f t="shared" si="109"/>
        <v>#N/A</v>
      </c>
      <c r="Z296" s="6">
        <f>VLOOKUP($AT296,kkk,Z$4,0)</f>
        <v>8.5</v>
      </c>
      <c r="AA296" s="6">
        <f>VLOOKUP($AT296,kkk,AA$4,0)</f>
        <v>26.89</v>
      </c>
      <c r="AB296" s="6">
        <f>VLOOKUP($AT296,kkk,AB$4,0)</f>
        <v>3.51</v>
      </c>
      <c r="AC296" s="6">
        <f>VLOOKUP($AT296,kkk,AC$4,0)</f>
        <v>4.05</v>
      </c>
      <c r="AG296">
        <f t="shared" si="96"/>
        <v>-2.0571428571428643E-2</v>
      </c>
      <c r="AH296">
        <f t="shared" si="97"/>
        <v>0</v>
      </c>
      <c r="AI296">
        <f t="shared" si="98"/>
        <v>-0.56180555555555678</v>
      </c>
      <c r="AJ296">
        <f t="shared" si="99"/>
        <v>0.31034482758620641</v>
      </c>
      <c r="AK296">
        <f t="shared" si="100"/>
        <v>-0.7199999999999992</v>
      </c>
      <c r="AL296">
        <f t="shared" si="101"/>
        <v>0.48333333333333561</v>
      </c>
      <c r="AM296">
        <f t="shared" si="102"/>
        <v>0</v>
      </c>
      <c r="AN296">
        <f t="shared" si="103"/>
        <v>-8.2987500000000186E-2</v>
      </c>
      <c r="AO296">
        <f t="shared" si="104"/>
        <v>-8.5131655774329573E-2</v>
      </c>
      <c r="AQ296">
        <f t="shared" si="105"/>
        <v>11.564461326897939</v>
      </c>
      <c r="AR296">
        <f t="shared" si="106"/>
        <v>11.254116499311733</v>
      </c>
      <c r="AT296" t="str">
        <f t="shared" si="107"/>
        <v>45539C</v>
      </c>
    </row>
    <row r="297" spans="1:46" x14ac:dyDescent="0.3">
      <c r="A297" s="17">
        <v>45539</v>
      </c>
      <c r="B297" s="18" t="s">
        <v>21</v>
      </c>
      <c r="C297" s="6">
        <v>8.2457142857142856</v>
      </c>
      <c r="D297" s="6">
        <v>38</v>
      </c>
      <c r="E297" s="6">
        <v>27.36363636363636</v>
      </c>
      <c r="F297" s="6">
        <v>55.006666666666668</v>
      </c>
      <c r="G297" s="6">
        <v>4.05</v>
      </c>
      <c r="H297" s="6">
        <v>3.4872727272727269</v>
      </c>
      <c r="I297" s="6">
        <v>145.3636363636364</v>
      </c>
      <c r="J297" s="6">
        <v>8.4588456559306735</v>
      </c>
      <c r="K297" s="6">
        <v>1.014764082673294E-2</v>
      </c>
      <c r="L297" s="6">
        <v>8.5837327525154647E-2</v>
      </c>
      <c r="M297" s="6">
        <v>13.293139820223541</v>
      </c>
      <c r="N297" s="6">
        <v>2.5944845404221209E-3</v>
      </c>
      <c r="O297" s="6">
        <v>5224.9999999999991</v>
      </c>
      <c r="P297" s="6">
        <v>110.73916734025821</v>
      </c>
      <c r="Q297" s="6">
        <v>49857.275409836067</v>
      </c>
      <c r="R297" s="6">
        <v>15421.031579405741</v>
      </c>
      <c r="S297" s="6">
        <v>14.87845890960158</v>
      </c>
      <c r="T297" s="6">
        <f t="shared" si="93"/>
        <v>14.575324226023991</v>
      </c>
      <c r="U297" s="6" t="e">
        <f>VLOOKUP($AT297,kkk,U$4,0)</f>
        <v>#N/A</v>
      </c>
      <c r="V297" s="6">
        <f t="shared" si="94"/>
        <v>14.629921927173415</v>
      </c>
      <c r="W297" s="6">
        <f t="shared" si="95"/>
        <v>14.520726524874565</v>
      </c>
      <c r="X297" s="6" t="e">
        <f t="shared" si="108"/>
        <v>#N/A</v>
      </c>
      <c r="Y297" s="6" t="e">
        <f t="shared" si="109"/>
        <v>#N/A</v>
      </c>
      <c r="Z297" s="6" t="e">
        <f>VLOOKUP($AT297,kkk,Z$4,0)</f>
        <v>#N/A</v>
      </c>
      <c r="AA297" s="6" t="e">
        <f>VLOOKUP($AT297,kkk,AA$4,0)</f>
        <v>#N/A</v>
      </c>
      <c r="AB297" s="6" t="e">
        <f>VLOOKUP($AT297,kkk,AB$4,0)</f>
        <v>#N/A</v>
      </c>
      <c r="AC297" s="6" t="e">
        <f>VLOOKUP($AT297,kkk,AC$4,0)</f>
        <v>#N/A</v>
      </c>
      <c r="AG297">
        <f t="shared" si="96"/>
        <v>-1.9142857142857041E-2</v>
      </c>
      <c r="AH297">
        <f t="shared" si="97"/>
        <v>0</v>
      </c>
      <c r="AI297">
        <f t="shared" si="98"/>
        <v>-0.96136363636363242</v>
      </c>
      <c r="AJ297">
        <f t="shared" si="99"/>
        <v>0.10919540229884926</v>
      </c>
      <c r="AK297">
        <f t="shared" si="100"/>
        <v>-0.7199999999999992</v>
      </c>
      <c r="AL297">
        <f t="shared" si="101"/>
        <v>0.43636363636363473</v>
      </c>
      <c r="AM297">
        <f t="shared" si="102"/>
        <v>0</v>
      </c>
      <c r="AN297">
        <f t="shared" si="103"/>
        <v>2.0217919262295081</v>
      </c>
      <c r="AO297">
        <f t="shared" si="104"/>
        <v>1.5423086881386538</v>
      </c>
      <c r="AQ297">
        <f t="shared" si="105"/>
        <v>14.629921927173415</v>
      </c>
      <c r="AR297">
        <f t="shared" si="106"/>
        <v>14.520726524874565</v>
      </c>
      <c r="AT297" t="str">
        <f t="shared" si="107"/>
        <v>45539D</v>
      </c>
    </row>
    <row r="298" spans="1:46" s="38" customFormat="1" x14ac:dyDescent="0.3">
      <c r="A298" s="35">
        <v>45540</v>
      </c>
      <c r="B298" s="36" t="s">
        <v>22</v>
      </c>
      <c r="C298" s="37">
        <v>8.4416666666666664</v>
      </c>
      <c r="D298" s="37">
        <v>38.444444444444443</v>
      </c>
      <c r="E298" s="37">
        <v>27.137777777777782</v>
      </c>
      <c r="F298" s="37">
        <v>55.064999999999998</v>
      </c>
      <c r="G298" s="37">
        <v>4.05</v>
      </c>
      <c r="H298" s="37">
        <v>3.5244444444444438</v>
      </c>
      <c r="I298" s="37">
        <v>146.2222222222222</v>
      </c>
      <c r="J298" s="37">
        <v>7.8176807699622257</v>
      </c>
      <c r="K298" s="37">
        <v>1.032369275779609E-2</v>
      </c>
      <c r="L298" s="37">
        <v>8.0707334347620813E-2</v>
      </c>
      <c r="M298" s="37">
        <v>13.301458577129139</v>
      </c>
      <c r="N298" s="6">
        <v>2.5961276800237649E-3</v>
      </c>
      <c r="O298" s="37">
        <v>5225</v>
      </c>
      <c r="P298" s="37">
        <v>114.1051667204527</v>
      </c>
      <c r="Q298" s="37">
        <v>49227.600000000013</v>
      </c>
      <c r="R298" s="37">
        <v>11236.800999999999</v>
      </c>
      <c r="S298" s="37">
        <v>13.28697624031499</v>
      </c>
      <c r="T298" s="37">
        <f t="shared" si="93"/>
        <v>15.548830747773014</v>
      </c>
      <c r="U298" s="37">
        <f>VLOOKUP($AT298,kkk,U$4,0)</f>
        <v>16.13</v>
      </c>
      <c r="V298" s="37">
        <f t="shared" si="94"/>
        <v>15.553141092600603</v>
      </c>
      <c r="W298" s="37">
        <f t="shared" si="95"/>
        <v>15.544520402945427</v>
      </c>
      <c r="X298" s="37">
        <f t="shared" si="108"/>
        <v>15.74</v>
      </c>
      <c r="Y298" s="37">
        <f t="shared" si="109"/>
        <v>15.97</v>
      </c>
      <c r="Z298" s="37">
        <f>VLOOKUP($AT298,kkk,Z$4,0)</f>
        <v>8.4</v>
      </c>
      <c r="AA298" s="37">
        <f>VLOOKUP($AT298,kkk,AA$4,0)</f>
        <v>27.73</v>
      </c>
      <c r="AB298" s="37">
        <f>VLOOKUP($AT298,kkk,AB$4,0)</f>
        <v>3.5</v>
      </c>
      <c r="AC298" s="37">
        <f>VLOOKUP($AT298,kkk,AC$4,0)</f>
        <v>4.05</v>
      </c>
      <c r="AG298" s="38">
        <f t="shared" si="96"/>
        <v>-5.8333333333333216E-2</v>
      </c>
      <c r="AH298" s="38">
        <f t="shared" si="97"/>
        <v>0</v>
      </c>
      <c r="AI298" s="38">
        <f t="shared" si="98"/>
        <v>-0.77314814814815058</v>
      </c>
      <c r="AJ298" s="38">
        <f t="shared" si="99"/>
        <v>8.6206896551768233E-3</v>
      </c>
      <c r="AK298" s="38">
        <f t="shared" si="100"/>
        <v>-0.7199999999999992</v>
      </c>
      <c r="AL298" s="38">
        <f t="shared" si="101"/>
        <v>0.62222222222221957</v>
      </c>
      <c r="AM298" s="38">
        <f t="shared" si="102"/>
        <v>0</v>
      </c>
      <c r="AN298" s="38">
        <f t="shared" si="103"/>
        <v>1.9430825000000014</v>
      </c>
      <c r="AO298" s="38">
        <f t="shared" si="104"/>
        <v>2.8246384600755494</v>
      </c>
      <c r="AQ298" s="38">
        <f t="shared" si="105"/>
        <v>15.553141092600603</v>
      </c>
      <c r="AR298" s="38">
        <f t="shared" si="106"/>
        <v>15.544520402945427</v>
      </c>
      <c r="AT298" s="38" t="str">
        <f t="shared" si="107"/>
        <v>45540A</v>
      </c>
    </row>
    <row r="299" spans="1:46" s="38" customFormat="1" x14ac:dyDescent="0.3">
      <c r="A299" s="35">
        <v>45540</v>
      </c>
      <c r="B299" s="36" t="s">
        <v>19</v>
      </c>
      <c r="C299" s="37">
        <v>8.4985714285714291</v>
      </c>
      <c r="D299" s="37">
        <v>37.6</v>
      </c>
      <c r="E299" s="37">
        <v>27.158999999999999</v>
      </c>
      <c r="F299" s="37">
        <v>54.363333333333337</v>
      </c>
      <c r="G299" s="37">
        <v>4.05</v>
      </c>
      <c r="H299" s="37">
        <v>3.5</v>
      </c>
      <c r="I299" s="37">
        <v>138.30000000000001</v>
      </c>
      <c r="J299" s="37">
        <v>9.0092940465881419</v>
      </c>
      <c r="K299" s="37">
        <v>4.2064273619083622E-3</v>
      </c>
      <c r="L299" s="37">
        <v>3.7896940989046467E-2</v>
      </c>
      <c r="M299" s="37">
        <v>13.31681505146639</v>
      </c>
      <c r="N299" s="6">
        <v>2.5992813522092259E-3</v>
      </c>
      <c r="O299" s="37">
        <v>5225</v>
      </c>
      <c r="P299" s="37">
        <v>120.2700434870864</v>
      </c>
      <c r="Q299" s="37">
        <v>19378.950212765962</v>
      </c>
      <c r="R299" s="37">
        <v>11638.70558577128</v>
      </c>
      <c r="S299" s="37">
        <v>13.316815880908081</v>
      </c>
      <c r="T299" s="37">
        <f t="shared" si="93"/>
        <v>9.9537142163584935</v>
      </c>
      <c r="U299" s="37">
        <f>VLOOKUP($AT299,kkk,U$4,0)</f>
        <v>14.98</v>
      </c>
      <c r="V299" s="37">
        <f t="shared" si="94"/>
        <v>10.562909618657342</v>
      </c>
      <c r="W299" s="37">
        <f t="shared" si="95"/>
        <v>9.3445188140596454</v>
      </c>
      <c r="X299" s="37">
        <f t="shared" si="108"/>
        <v>11.37</v>
      </c>
      <c r="Y299" s="37">
        <f t="shared" si="109"/>
        <v>10.14</v>
      </c>
      <c r="Z299" s="37">
        <f>VLOOKUP($AT299,kkk,Z$4,0)</f>
        <v>8.35</v>
      </c>
      <c r="AA299" s="37">
        <f>VLOOKUP($AT299,kkk,AA$4,0)</f>
        <v>26.5</v>
      </c>
      <c r="AB299" s="37">
        <f>VLOOKUP($AT299,kkk,AB$4,0)</f>
        <v>3.46</v>
      </c>
      <c r="AC299" s="37">
        <f>VLOOKUP($AT299,kkk,AC$4,0)</f>
        <v>4</v>
      </c>
      <c r="AG299" s="38">
        <f t="shared" si="96"/>
        <v>-6.9714285714285756E-2</v>
      </c>
      <c r="AH299" s="38">
        <f t="shared" si="97"/>
        <v>0</v>
      </c>
      <c r="AI299" s="38">
        <f t="shared" si="98"/>
        <v>-0.79083333333333172</v>
      </c>
      <c r="AJ299" s="38">
        <f t="shared" si="99"/>
        <v>1.2183908045976957</v>
      </c>
      <c r="AK299" s="38">
        <f t="shared" si="100"/>
        <v>-0.7199999999999992</v>
      </c>
      <c r="AL299" s="38">
        <f t="shared" si="101"/>
        <v>0.50000000000000044</v>
      </c>
      <c r="AM299" s="38">
        <f t="shared" si="102"/>
        <v>0</v>
      </c>
      <c r="AN299" s="38">
        <f t="shared" si="103"/>
        <v>-1.7879987234042551</v>
      </c>
      <c r="AO299" s="38">
        <f t="shared" si="104"/>
        <v>0.441411906823717</v>
      </c>
      <c r="AQ299" s="38">
        <f t="shared" si="105"/>
        <v>10.562909618657342</v>
      </c>
      <c r="AR299" s="38">
        <f t="shared" si="106"/>
        <v>9.3445188140596454</v>
      </c>
      <c r="AT299" s="38" t="str">
        <f t="shared" si="107"/>
        <v>45540B</v>
      </c>
    </row>
    <row r="300" spans="1:46" s="38" customFormat="1" x14ac:dyDescent="0.3">
      <c r="A300" s="35">
        <v>45540</v>
      </c>
      <c r="B300" s="36" t="s">
        <v>20</v>
      </c>
      <c r="C300" s="37">
        <v>8.4150000000000009</v>
      </c>
      <c r="D300" s="37">
        <v>37.222222222222221</v>
      </c>
      <c r="E300" s="37">
        <v>26.992222222222221</v>
      </c>
      <c r="F300" s="37">
        <v>54.1</v>
      </c>
      <c r="G300" s="37">
        <v>4.05</v>
      </c>
      <c r="H300" s="37">
        <v>3.5133333333333341</v>
      </c>
      <c r="I300" s="37">
        <v>139.11111111111109</v>
      </c>
      <c r="J300" s="37">
        <v>9.8998882965443631</v>
      </c>
      <c r="K300" s="37">
        <v>4.6513364087792802E-3</v>
      </c>
      <c r="L300" s="37">
        <v>4.6047710876564681E-2</v>
      </c>
      <c r="M300" s="37">
        <v>13.316815058942961</v>
      </c>
      <c r="N300" s="6">
        <v>2.599299785135744E-3</v>
      </c>
      <c r="O300" s="37">
        <v>5225</v>
      </c>
      <c r="P300" s="37">
        <v>120.2700437472238</v>
      </c>
      <c r="Q300" s="37">
        <v>21395.24</v>
      </c>
      <c r="R300" s="37">
        <v>15919.275</v>
      </c>
      <c r="S300" s="37">
        <v>13.31681585409007</v>
      </c>
      <c r="T300" s="37">
        <f t="shared" si="93"/>
        <v>9.4090070522207796</v>
      </c>
      <c r="U300" s="37">
        <f>VLOOKUP($AT300,kkk,U$4,0)</f>
        <v>11.36</v>
      </c>
      <c r="V300" s="37">
        <f t="shared" si="94"/>
        <v>10.245213948772502</v>
      </c>
      <c r="W300" s="37">
        <f t="shared" si="95"/>
        <v>8.5728001556690554</v>
      </c>
      <c r="X300" s="37" t="e">
        <f t="shared" si="108"/>
        <v>#N/A</v>
      </c>
      <c r="Y300" s="37" t="e">
        <f t="shared" si="109"/>
        <v>#N/A</v>
      </c>
      <c r="Z300" s="37">
        <f>VLOOKUP($AT300,kkk,Z$4,0)</f>
        <v>8.5</v>
      </c>
      <c r="AA300" s="37">
        <f>VLOOKUP($AT300,kkk,AA$4,0)</f>
        <v>25.43</v>
      </c>
      <c r="AB300" s="37">
        <f>VLOOKUP($AT300,kkk,AB$4,0)</f>
        <v>3.47</v>
      </c>
      <c r="AC300" s="37">
        <f>VLOOKUP($AT300,kkk,AC$4,0)</f>
        <v>4</v>
      </c>
      <c r="AG300" s="38">
        <f t="shared" si="96"/>
        <v>-5.3000000000000116E-2</v>
      </c>
      <c r="AH300" s="38">
        <f t="shared" si="97"/>
        <v>0</v>
      </c>
      <c r="AI300" s="38">
        <f t="shared" si="98"/>
        <v>-0.65185185185185013</v>
      </c>
      <c r="AJ300" s="38">
        <f t="shared" si="99"/>
        <v>1.6724137931034464</v>
      </c>
      <c r="AK300" s="38">
        <f t="shared" si="100"/>
        <v>-0.7199999999999992</v>
      </c>
      <c r="AL300" s="38">
        <f t="shared" si="101"/>
        <v>0.56666666666667087</v>
      </c>
      <c r="AM300" s="38">
        <f t="shared" si="102"/>
        <v>0</v>
      </c>
      <c r="AN300" s="38">
        <f t="shared" si="103"/>
        <v>-1.5359625000000001</v>
      </c>
      <c r="AO300" s="38">
        <f t="shared" si="104"/>
        <v>-1.3397765930887253</v>
      </c>
      <c r="AQ300" s="38">
        <f t="shared" si="105"/>
        <v>10.245213948772502</v>
      </c>
      <c r="AR300" s="38">
        <f t="shared" si="106"/>
        <v>8.5728001556690554</v>
      </c>
      <c r="AT300" s="38" t="str">
        <f t="shared" si="107"/>
        <v>45540C</v>
      </c>
    </row>
    <row r="301" spans="1:46" s="38" customFormat="1" x14ac:dyDescent="0.3">
      <c r="A301" s="35">
        <v>45540</v>
      </c>
      <c r="B301" s="36" t="s">
        <v>21</v>
      </c>
      <c r="C301" s="37">
        <v>8.3833333333333329</v>
      </c>
      <c r="D301" s="37">
        <v>37.125</v>
      </c>
      <c r="E301" s="37">
        <v>26.962499999999999</v>
      </c>
      <c r="F301" s="37">
        <v>54.813333333333333</v>
      </c>
      <c r="G301" s="37">
        <v>4.05</v>
      </c>
      <c r="H301" s="37">
        <v>3.48</v>
      </c>
      <c r="I301" s="37">
        <v>141.875</v>
      </c>
      <c r="J301" s="37">
        <v>9.3758380548842908</v>
      </c>
      <c r="K301" s="37">
        <v>4.1369331028707074E-3</v>
      </c>
      <c r="L301" s="37">
        <v>3.8787214816405721E-2</v>
      </c>
      <c r="M301" s="37">
        <v>13.31681517417471</v>
      </c>
      <c r="N301" s="6">
        <v>2.599628673831554E-3</v>
      </c>
      <c r="O301" s="37">
        <v>5225</v>
      </c>
      <c r="P301" s="37">
        <v>120.27004279379859</v>
      </c>
      <c r="Q301" s="37">
        <v>19374.82857142857</v>
      </c>
      <c r="R301" s="37">
        <v>16215.154264536</v>
      </c>
      <c r="S301" s="37">
        <v>13.31681903418529</v>
      </c>
      <c r="T301" s="37">
        <f t="shared" si="93"/>
        <v>9.4910337867177965</v>
      </c>
      <c r="U301" s="37" t="e">
        <f>VLOOKUP($AT301,kkk,U$4,0)</f>
        <v>#N/A</v>
      </c>
      <c r="V301" s="37">
        <f t="shared" si="94"/>
        <v>9.7122981545338885</v>
      </c>
      <c r="W301" s="37">
        <f t="shared" si="95"/>
        <v>9.2697694189017028</v>
      </c>
      <c r="X301" s="37" t="e">
        <f t="shared" si="108"/>
        <v>#N/A</v>
      </c>
      <c r="Y301" s="37" t="e">
        <f t="shared" si="109"/>
        <v>#N/A</v>
      </c>
      <c r="Z301" s="37" t="e">
        <f>VLOOKUP($AT301,kkk,Z$4,0)</f>
        <v>#N/A</v>
      </c>
      <c r="AA301" s="37" t="e">
        <f>VLOOKUP($AT301,kkk,AA$4,0)</f>
        <v>#N/A</v>
      </c>
      <c r="AB301" s="37" t="e">
        <f>VLOOKUP($AT301,kkk,AB$4,0)</f>
        <v>#N/A</v>
      </c>
      <c r="AC301" s="37" t="e">
        <f>VLOOKUP($AT301,kkk,AC$4,0)</f>
        <v>#N/A</v>
      </c>
      <c r="AG301" s="38">
        <f t="shared" si="96"/>
        <v>-4.6666666666666502E-2</v>
      </c>
      <c r="AH301" s="38">
        <f t="shared" si="97"/>
        <v>0</v>
      </c>
      <c r="AI301" s="38">
        <f t="shared" si="98"/>
        <v>-0.62708333333333144</v>
      </c>
      <c r="AJ301" s="38">
        <f t="shared" si="99"/>
        <v>0.4425287356321857</v>
      </c>
      <c r="AK301" s="38">
        <f t="shared" si="100"/>
        <v>-0.7199999999999992</v>
      </c>
      <c r="AL301" s="38">
        <f t="shared" si="101"/>
        <v>0.40000000000000036</v>
      </c>
      <c r="AM301" s="38">
        <f t="shared" si="102"/>
        <v>0</v>
      </c>
      <c r="AN301" s="38">
        <f t="shared" si="103"/>
        <v>-1.7885139285714291</v>
      </c>
      <c r="AO301" s="38">
        <f t="shared" si="104"/>
        <v>-0.29167610976858072</v>
      </c>
      <c r="AQ301" s="38">
        <f t="shared" si="105"/>
        <v>9.7122981545338885</v>
      </c>
      <c r="AR301" s="38">
        <f t="shared" si="106"/>
        <v>9.2697694189017028</v>
      </c>
      <c r="AT301" s="38" t="str">
        <f t="shared" si="107"/>
        <v>45540D</v>
      </c>
    </row>
    <row r="302" spans="1:46" x14ac:dyDescent="0.3">
      <c r="A302" s="17">
        <v>45541</v>
      </c>
      <c r="B302" s="18" t="s">
        <v>22</v>
      </c>
      <c r="C302" s="6">
        <v>8.4774999999999991</v>
      </c>
      <c r="D302" s="6">
        <v>38.142857142857153</v>
      </c>
      <c r="E302" s="6">
        <v>25.89</v>
      </c>
      <c r="F302" s="6">
        <v>56.24</v>
      </c>
      <c r="G302" s="6">
        <v>3.94</v>
      </c>
      <c r="H302" s="6">
        <v>3.4457142857142862</v>
      </c>
      <c r="I302" s="6">
        <v>145.42857142857139</v>
      </c>
      <c r="J302" s="6">
        <v>9.5118660003303717</v>
      </c>
      <c r="K302" s="6">
        <v>1.0545507591730049E-2</v>
      </c>
      <c r="L302" s="6">
        <v>0.1003074551180029</v>
      </c>
      <c r="M302" s="6">
        <v>15.15272951232914</v>
      </c>
      <c r="N302" s="6">
        <v>1.2733953692861431</v>
      </c>
      <c r="O302" s="6">
        <v>5225</v>
      </c>
      <c r="P302" s="6">
        <v>102.3012265500145</v>
      </c>
      <c r="Q302" s="6">
        <v>38256.160000000003</v>
      </c>
      <c r="R302" s="6">
        <v>11140.244000000001</v>
      </c>
      <c r="S302" s="6">
        <v>13.270801972908799</v>
      </c>
      <c r="T302" s="6">
        <f t="shared" si="93"/>
        <v>12.584297917251323</v>
      </c>
      <c r="U302" s="6">
        <f>VLOOKUP($AT302,kkk,U$4,0)</f>
        <v>12.05</v>
      </c>
      <c r="V302" s="6">
        <f t="shared" si="94"/>
        <v>11.575677227596149</v>
      </c>
      <c r="W302" s="6">
        <f t="shared" si="95"/>
        <v>13.592918606906498</v>
      </c>
      <c r="X302" s="6">
        <f t="shared" si="108"/>
        <v>12.17</v>
      </c>
      <c r="Y302" s="6">
        <f t="shared" si="109"/>
        <v>11.87</v>
      </c>
      <c r="Z302" s="6">
        <f>VLOOKUP($AT302,kkk,Z$4,0)</f>
        <v>8.1999999999999993</v>
      </c>
      <c r="AA302" s="6">
        <f>VLOOKUP($AT302,kkk,AA$4,0)</f>
        <v>25.74</v>
      </c>
      <c r="AB302" s="6">
        <f>VLOOKUP($AT302,kkk,AB$4,0)</f>
        <v>3.42</v>
      </c>
      <c r="AC302" s="6">
        <f>VLOOKUP($AT302,kkk,AC$4,0)</f>
        <v>3.89</v>
      </c>
      <c r="AG302">
        <f t="shared" si="96"/>
        <v>-6.5499999999999767E-2</v>
      </c>
      <c r="AH302">
        <f t="shared" si="97"/>
        <v>0</v>
      </c>
      <c r="AI302">
        <f t="shared" si="98"/>
        <v>0.26666666666666694</v>
      </c>
      <c r="AJ302">
        <f t="shared" si="99"/>
        <v>-2.0172413793103479</v>
      </c>
      <c r="AK302">
        <f t="shared" si="100"/>
        <v>-0.38999999999999962</v>
      </c>
      <c r="AL302">
        <f t="shared" si="101"/>
        <v>0.22857142857143131</v>
      </c>
      <c r="AM302">
        <f t="shared" si="102"/>
        <v>0</v>
      </c>
      <c r="AN302">
        <f t="shared" si="103"/>
        <v>0.57165250000000012</v>
      </c>
      <c r="AO302">
        <f t="shared" si="104"/>
        <v>-0.56373200066074247</v>
      </c>
      <c r="AQ302">
        <f t="shared" si="105"/>
        <v>11.575677227596149</v>
      </c>
      <c r="AR302">
        <f t="shared" si="106"/>
        <v>13.592918606906498</v>
      </c>
      <c r="AT302" t="str">
        <f t="shared" si="107"/>
        <v>45541A</v>
      </c>
    </row>
    <row r="303" spans="1:46" x14ac:dyDescent="0.3">
      <c r="A303" s="17">
        <v>45541</v>
      </c>
      <c r="B303" s="18" t="s">
        <v>19</v>
      </c>
      <c r="C303" s="6">
        <v>8.1960000000000015</v>
      </c>
      <c r="D303" s="6">
        <v>37.571428571428569</v>
      </c>
      <c r="E303" s="6">
        <v>26.074285714285711</v>
      </c>
      <c r="F303" s="6">
        <v>56.56</v>
      </c>
      <c r="G303" s="6">
        <v>3.89</v>
      </c>
      <c r="H303" s="6">
        <v>3.4057142857142861</v>
      </c>
      <c r="I303" s="6">
        <v>142.71428571428569</v>
      </c>
      <c r="J303" s="6">
        <v>8.6925589868952429</v>
      </c>
      <c r="K303" s="6">
        <v>4.7860134448429797E-3</v>
      </c>
      <c r="L303" s="6">
        <v>4.1602704181371311E-2</v>
      </c>
      <c r="M303" s="6">
        <v>17.95519648463787</v>
      </c>
      <c r="N303" s="6">
        <v>2.859334495942643</v>
      </c>
      <c r="O303" s="6">
        <v>5225</v>
      </c>
      <c r="P303" s="6">
        <v>93.961497513402335</v>
      </c>
      <c r="Q303" s="6">
        <v>17683.59453416149</v>
      </c>
      <c r="R303" s="6">
        <v>11112.37490062112</v>
      </c>
      <c r="S303" s="6">
        <v>14.611227168023779</v>
      </c>
      <c r="T303" s="6">
        <f t="shared" si="93"/>
        <v>14.027191098241193</v>
      </c>
      <c r="U303" s="6">
        <f>VLOOKUP($AT303,kkk,U$4,0)</f>
        <v>14.94</v>
      </c>
      <c r="V303" s="6">
        <f t="shared" si="94"/>
        <v>12.742708339620501</v>
      </c>
      <c r="W303" s="6">
        <f t="shared" si="95"/>
        <v>15.311673856861884</v>
      </c>
      <c r="X303" s="6">
        <f t="shared" si="108"/>
        <v>16.7</v>
      </c>
      <c r="Y303" s="6">
        <f t="shared" si="109"/>
        <v>16.28</v>
      </c>
      <c r="Z303" s="6">
        <f>VLOOKUP($AT303,kkk,Z$4,0)</f>
        <v>8</v>
      </c>
      <c r="AA303" s="6">
        <f>VLOOKUP($AT303,kkk,AA$4,0)</f>
        <v>26.98</v>
      </c>
      <c r="AB303" s="6">
        <f>VLOOKUP($AT303,kkk,AB$4,0)</f>
        <v>3.25</v>
      </c>
      <c r="AC303" s="6">
        <f>VLOOKUP($AT303,kkk,AC$4,0)</f>
        <v>3.7</v>
      </c>
      <c r="AG303">
        <f t="shared" si="96"/>
        <v>-9.2000000000002306E-3</v>
      </c>
      <c r="AH303">
        <f t="shared" si="97"/>
        <v>0</v>
      </c>
      <c r="AI303">
        <f t="shared" si="98"/>
        <v>0.1130952380952414</v>
      </c>
      <c r="AJ303">
        <f t="shared" si="99"/>
        <v>-2.568965517241383</v>
      </c>
      <c r="AK303">
        <f t="shared" si="100"/>
        <v>-0.24000000000000021</v>
      </c>
      <c r="AL303">
        <f t="shared" si="101"/>
        <v>2.8571428571431138E-2</v>
      </c>
      <c r="AM303">
        <f t="shared" si="102"/>
        <v>0</v>
      </c>
      <c r="AN303">
        <f t="shared" si="103"/>
        <v>-1.9999181832298141</v>
      </c>
      <c r="AO303">
        <f t="shared" si="104"/>
        <v>1.0748820262095151</v>
      </c>
      <c r="AQ303">
        <f t="shared" si="105"/>
        <v>12.742708339620501</v>
      </c>
      <c r="AR303">
        <f t="shared" si="106"/>
        <v>15.311673856861884</v>
      </c>
      <c r="AT303" t="str">
        <f t="shared" si="107"/>
        <v>45541B</v>
      </c>
    </row>
    <row r="304" spans="1:46" x14ac:dyDescent="0.3">
      <c r="A304" s="17">
        <v>45541</v>
      </c>
      <c r="B304" s="18" t="s">
        <v>20</v>
      </c>
      <c r="C304" s="6">
        <v>8.163333333333334</v>
      </c>
      <c r="D304" s="6">
        <v>37.777777777777779</v>
      </c>
      <c r="E304" s="6">
        <v>25.946666666666669</v>
      </c>
      <c r="F304" s="6">
        <v>56.56</v>
      </c>
      <c r="G304" s="6">
        <v>3.89</v>
      </c>
      <c r="H304" s="6">
        <v>3.411111111111111</v>
      </c>
      <c r="I304" s="6">
        <v>143.55555555555549</v>
      </c>
      <c r="J304" s="6">
        <v>8.9499566757631737</v>
      </c>
      <c r="K304" s="6">
        <v>5.6427765433372896E-3</v>
      </c>
      <c r="L304" s="6">
        <v>5.0502605593881429E-2</v>
      </c>
      <c r="M304" s="6">
        <v>18.657310934833561</v>
      </c>
      <c r="N304" s="6">
        <v>2.61899480705079</v>
      </c>
      <c r="O304" s="6">
        <v>5225</v>
      </c>
      <c r="P304" s="6">
        <v>94.677010738711289</v>
      </c>
      <c r="Q304" s="6">
        <v>26815.52</v>
      </c>
      <c r="R304" s="6">
        <v>15167.98</v>
      </c>
      <c r="S304" s="6">
        <v>15.203608294931991</v>
      </c>
      <c r="T304" s="6">
        <f t="shared" si="93"/>
        <v>16.002818158019856</v>
      </c>
      <c r="U304" s="6">
        <f>VLOOKUP($AT304,kkk,U$4,0)</f>
        <v>16.91</v>
      </c>
      <c r="V304" s="6">
        <f t="shared" si="94"/>
        <v>14.718335399399162</v>
      </c>
      <c r="W304" s="6">
        <f t="shared" si="95"/>
        <v>17.287300916640547</v>
      </c>
      <c r="X304" s="6" t="e">
        <f t="shared" si="108"/>
        <v>#N/A</v>
      </c>
      <c r="Y304" s="6" t="e">
        <f t="shared" si="109"/>
        <v>#N/A</v>
      </c>
      <c r="Z304" s="6">
        <f>VLOOKUP($AT304,kkk,Z$4,0)</f>
        <v>8.1999999999999993</v>
      </c>
      <c r="AA304" s="6">
        <f>VLOOKUP($AT304,kkk,AA$4,0)</f>
        <v>27.12</v>
      </c>
      <c r="AB304" s="6">
        <f>VLOOKUP($AT304,kkk,AB$4,0)</f>
        <v>3.3</v>
      </c>
      <c r="AC304" s="6">
        <f>VLOOKUP($AT304,kkk,AC$4,0)</f>
        <v>3.7</v>
      </c>
      <c r="AG304">
        <f t="shared" si="96"/>
        <v>-2.6666666666667286E-3</v>
      </c>
      <c r="AH304">
        <f t="shared" si="97"/>
        <v>0</v>
      </c>
      <c r="AI304">
        <f t="shared" si="98"/>
        <v>0.21944444444444322</v>
      </c>
      <c r="AJ304">
        <f t="shared" si="99"/>
        <v>-2.568965517241383</v>
      </c>
      <c r="AK304">
        <f t="shared" si="100"/>
        <v>-0.24000000000000021</v>
      </c>
      <c r="AL304">
        <f t="shared" si="101"/>
        <v>5.5555555555555358E-2</v>
      </c>
      <c r="AM304">
        <f t="shared" si="102"/>
        <v>0</v>
      </c>
      <c r="AN304">
        <f t="shared" si="103"/>
        <v>-0.85842750000000023</v>
      </c>
      <c r="AO304">
        <f t="shared" si="104"/>
        <v>0.56008664847365353</v>
      </c>
      <c r="AQ304">
        <f t="shared" si="105"/>
        <v>14.718335399399162</v>
      </c>
      <c r="AR304">
        <f t="shared" si="106"/>
        <v>17.287300916640547</v>
      </c>
      <c r="AT304" t="str">
        <f t="shared" si="107"/>
        <v>45541C</v>
      </c>
    </row>
    <row r="305" spans="1:46" x14ac:dyDescent="0.3">
      <c r="A305" s="17">
        <v>45541</v>
      </c>
      <c r="B305" s="18" t="s">
        <v>21</v>
      </c>
      <c r="C305" s="6">
        <v>8.0359999999999996</v>
      </c>
      <c r="D305" s="6">
        <v>37.5</v>
      </c>
      <c r="E305" s="6">
        <v>26.15</v>
      </c>
      <c r="F305" s="6">
        <v>56.56</v>
      </c>
      <c r="G305" s="6">
        <v>3.89</v>
      </c>
      <c r="H305" s="6">
        <v>3.29</v>
      </c>
      <c r="I305" s="6">
        <v>144.75</v>
      </c>
      <c r="J305" s="6">
        <v>8.846804405266834</v>
      </c>
      <c r="K305" s="6">
        <v>5.5942307322247873E-3</v>
      </c>
      <c r="L305" s="6">
        <v>4.9491065085925358E-2</v>
      </c>
      <c r="M305" s="6">
        <v>21.379617285203469</v>
      </c>
      <c r="N305" s="6">
        <v>2.5881408177691801E-3</v>
      </c>
      <c r="O305" s="6">
        <v>5225</v>
      </c>
      <c r="P305" s="6">
        <v>81.289133657147417</v>
      </c>
      <c r="Q305" s="6">
        <v>26511.200000000001</v>
      </c>
      <c r="R305" s="6">
        <v>14986.71903191489</v>
      </c>
      <c r="S305" s="6">
        <v>18.261263914768222</v>
      </c>
      <c r="T305" s="6">
        <f t="shared" si="93"/>
        <v>18.121198095038473</v>
      </c>
      <c r="U305" s="6" t="e">
        <f>VLOOKUP($AT305,kkk,U$4,0)</f>
        <v>#N/A</v>
      </c>
      <c r="V305" s="6">
        <f t="shared" si="94"/>
        <v>16.836715336417782</v>
      </c>
      <c r="W305" s="6">
        <f t="shared" si="95"/>
        <v>19.405680853659167</v>
      </c>
      <c r="X305" s="6" t="e">
        <f t="shared" si="108"/>
        <v>#N/A</v>
      </c>
      <c r="Y305" s="6" t="e">
        <f t="shared" si="109"/>
        <v>#N/A</v>
      </c>
      <c r="Z305" s="6" t="e">
        <f>VLOOKUP($AT305,kkk,Z$4,0)</f>
        <v>#N/A</v>
      </c>
      <c r="AA305" s="6" t="e">
        <f>VLOOKUP($AT305,kkk,AA$4,0)</f>
        <v>#N/A</v>
      </c>
      <c r="AB305" s="6" t="e">
        <f>VLOOKUP($AT305,kkk,AB$4,0)</f>
        <v>#N/A</v>
      </c>
      <c r="AC305" s="6" t="e">
        <f>VLOOKUP($AT305,kkk,AC$4,0)</f>
        <v>#N/A</v>
      </c>
      <c r="AG305">
        <f t="shared" si="96"/>
        <v>2.2800000000000153E-2</v>
      </c>
      <c r="AH305">
        <f t="shared" si="97"/>
        <v>0</v>
      </c>
      <c r="AI305">
        <f t="shared" si="98"/>
        <v>5.0000000000001897E-2</v>
      </c>
      <c r="AJ305">
        <f t="shared" si="99"/>
        <v>-2.568965517241383</v>
      </c>
      <c r="AK305">
        <f t="shared" si="100"/>
        <v>-0.24000000000000021</v>
      </c>
      <c r="AL305">
        <f t="shared" si="101"/>
        <v>-0.54999999999999949</v>
      </c>
      <c r="AM305">
        <f t="shared" si="102"/>
        <v>0</v>
      </c>
      <c r="AN305">
        <f t="shared" si="103"/>
        <v>-0.89646750000000019</v>
      </c>
      <c r="AO305">
        <f t="shared" si="104"/>
        <v>0.76639118946633289</v>
      </c>
      <c r="AQ305">
        <f t="shared" si="105"/>
        <v>16.836715336417782</v>
      </c>
      <c r="AR305">
        <f t="shared" si="106"/>
        <v>19.405680853659167</v>
      </c>
      <c r="AT305" t="str">
        <f t="shared" si="107"/>
        <v>45541D</v>
      </c>
    </row>
    <row r="306" spans="1:46" x14ac:dyDescent="0.3">
      <c r="A306" s="17">
        <v>45544</v>
      </c>
      <c r="B306" s="18" t="s">
        <v>19</v>
      </c>
      <c r="C306" s="6">
        <v>8.4783333333333335</v>
      </c>
      <c r="D306" s="6">
        <v>38</v>
      </c>
      <c r="E306" s="6">
        <v>28.911111111111111</v>
      </c>
      <c r="F306" s="6">
        <v>56.2</v>
      </c>
      <c r="G306" s="6">
        <v>3.7</v>
      </c>
      <c r="H306" s="6">
        <v>3.6066666666666669</v>
      </c>
      <c r="I306" s="6">
        <v>135.11111111111109</v>
      </c>
      <c r="J306" s="6">
        <v>9.0993281181457206</v>
      </c>
      <c r="K306" s="6">
        <v>8.6606729888137493E-4</v>
      </c>
      <c r="L306" s="6">
        <v>7.8806305249178085E-3</v>
      </c>
      <c r="M306" s="6">
        <v>13.334124253194711</v>
      </c>
      <c r="N306" s="6">
        <v>6.792993874890092</v>
      </c>
      <c r="O306" s="6">
        <v>5225</v>
      </c>
      <c r="P306" s="6">
        <v>120.4263387564164</v>
      </c>
      <c r="Q306" s="6">
        <v>2613.2800000000011</v>
      </c>
      <c r="R306" s="6">
        <v>8542.7604193548395</v>
      </c>
      <c r="S306" s="6">
        <v>13.31135891381305</v>
      </c>
      <c r="T306" s="6">
        <f t="shared" si="93"/>
        <v>5.8522083790288821</v>
      </c>
      <c r="U306" s="6">
        <f>VLOOKUP($AT306,kkk,U$4,0)</f>
        <v>17.36</v>
      </c>
      <c r="V306" s="6">
        <f t="shared" si="94"/>
        <v>4.8780704479943973</v>
      </c>
      <c r="W306" s="6">
        <f t="shared" si="95"/>
        <v>6.826346310063367</v>
      </c>
      <c r="X306" s="6">
        <f t="shared" si="108"/>
        <v>12.95</v>
      </c>
      <c r="Y306" s="6">
        <f t="shared" si="109"/>
        <v>7</v>
      </c>
      <c r="Z306" s="6">
        <f>VLOOKUP($AT306,kkk,Z$4,0)</f>
        <v>8.64</v>
      </c>
      <c r="AA306" s="6">
        <f>VLOOKUP($AT306,kkk,AA$4,0)</f>
        <v>26.75</v>
      </c>
      <c r="AB306" s="6">
        <f>VLOOKUP($AT306,kkk,AB$4,0)</f>
        <v>3.85</v>
      </c>
      <c r="AC306" s="6">
        <f>VLOOKUP($AT306,kkk,AC$4,0)</f>
        <v>4.1900000000000004</v>
      </c>
      <c r="AG306">
        <f t="shared" si="96"/>
        <v>-6.5666666666666637E-2</v>
      </c>
      <c r="AH306">
        <f t="shared" si="97"/>
        <v>0</v>
      </c>
      <c r="AI306">
        <f t="shared" si="98"/>
        <v>-2.2509259259259258</v>
      </c>
      <c r="AJ306">
        <f t="shared" si="99"/>
        <v>-1.94827586206897</v>
      </c>
      <c r="AK306">
        <f t="shared" si="100"/>
        <v>0.32999999999999957</v>
      </c>
      <c r="AL306">
        <f t="shared" si="101"/>
        <v>1.033333333333335</v>
      </c>
      <c r="AM306">
        <f t="shared" si="102"/>
        <v>0</v>
      </c>
      <c r="AN306">
        <f t="shared" si="103"/>
        <v>-3.8837074999999999</v>
      </c>
      <c r="AO306">
        <f t="shared" si="104"/>
        <v>0.26134376370855961</v>
      </c>
      <c r="AQ306">
        <f t="shared" si="105"/>
        <v>4.8780704479943973</v>
      </c>
      <c r="AR306">
        <f t="shared" si="106"/>
        <v>6.826346310063367</v>
      </c>
      <c r="AT306" t="str">
        <f t="shared" si="107"/>
        <v>45544B</v>
      </c>
    </row>
    <row r="307" spans="1:46" x14ac:dyDescent="0.3">
      <c r="A307" s="17">
        <v>45544</v>
      </c>
      <c r="B307" s="18" t="s">
        <v>20</v>
      </c>
      <c r="C307" s="6">
        <v>8.4671428571428571</v>
      </c>
      <c r="D307" s="6">
        <v>38.090909090909093</v>
      </c>
      <c r="E307" s="6">
        <v>28.75454545454545</v>
      </c>
      <c r="F307" s="6">
        <v>56.2</v>
      </c>
      <c r="G307" s="6">
        <v>3.98</v>
      </c>
      <c r="H307" s="6">
        <v>3.5981818181818181</v>
      </c>
      <c r="I307" s="6">
        <v>135</v>
      </c>
      <c r="J307" s="6">
        <v>9.1624942060429877</v>
      </c>
      <c r="K307" s="6">
        <v>1.7463427183722199E-3</v>
      </c>
      <c r="L307" s="6">
        <v>1.600085503885083E-2</v>
      </c>
      <c r="M307" s="6">
        <v>13.32322470445308</v>
      </c>
      <c r="N307" s="6">
        <v>2.5173975130948691</v>
      </c>
      <c r="O307" s="6">
        <v>5225</v>
      </c>
      <c r="P307" s="6">
        <v>120.3279293863549</v>
      </c>
      <c r="Q307" s="6">
        <v>7485.44</v>
      </c>
      <c r="R307" s="6">
        <v>12263.478999999999</v>
      </c>
      <c r="S307" s="6">
        <v>13.31681523641952</v>
      </c>
      <c r="T307" s="6">
        <f t="shared" si="93"/>
        <v>6.0393717103585987</v>
      </c>
      <c r="U307" s="6" t="e">
        <f>VLOOKUP($AT307,kkk,U$4,0)</f>
        <v>#N/A</v>
      </c>
      <c r="V307" s="6">
        <f t="shared" si="94"/>
        <v>5.0652337793241138</v>
      </c>
      <c r="W307" s="6">
        <f t="shared" si="95"/>
        <v>7.0135096413930835</v>
      </c>
      <c r="X307" s="6" t="e">
        <f t="shared" si="108"/>
        <v>#N/A</v>
      </c>
      <c r="Y307" s="6" t="e">
        <f t="shared" si="109"/>
        <v>#N/A</v>
      </c>
      <c r="Z307" s="6" t="e">
        <f>VLOOKUP($AT307,kkk,Z$4,0)</f>
        <v>#N/A</v>
      </c>
      <c r="AA307" s="6" t="e">
        <f>VLOOKUP($AT307,kkk,AA$4,0)</f>
        <v>#N/A</v>
      </c>
      <c r="AB307" s="6" t="e">
        <f>VLOOKUP($AT307,kkk,AB$4,0)</f>
        <v>#N/A</v>
      </c>
      <c r="AC307" s="6" t="e">
        <f>VLOOKUP($AT307,kkk,AC$4,0)</f>
        <v>#N/A</v>
      </c>
      <c r="AG307">
        <f t="shared" si="96"/>
        <v>-6.3428571428571348E-2</v>
      </c>
      <c r="AH307">
        <f t="shared" si="97"/>
        <v>0</v>
      </c>
      <c r="AI307">
        <f t="shared" si="98"/>
        <v>-2.1204545454545416</v>
      </c>
      <c r="AJ307">
        <f t="shared" si="99"/>
        <v>-1.94827586206897</v>
      </c>
      <c r="AK307">
        <f t="shared" si="100"/>
        <v>-0.50999999999999968</v>
      </c>
      <c r="AL307">
        <f t="shared" si="101"/>
        <v>0.99090909090909118</v>
      </c>
      <c r="AM307">
        <f t="shared" si="102"/>
        <v>0</v>
      </c>
      <c r="AN307">
        <f t="shared" si="103"/>
        <v>-3.2746875000000006</v>
      </c>
      <c r="AO307">
        <f t="shared" si="104"/>
        <v>0.13501158791402545</v>
      </c>
      <c r="AQ307">
        <f t="shared" si="105"/>
        <v>5.0652337793241138</v>
      </c>
      <c r="AR307">
        <f t="shared" si="106"/>
        <v>7.0135096413930835</v>
      </c>
      <c r="AT307" t="str">
        <f t="shared" si="107"/>
        <v>45544C</v>
      </c>
    </row>
    <row r="308" spans="1:46" x14ac:dyDescent="0.3">
      <c r="A308" s="17">
        <v>45544</v>
      </c>
      <c r="B308" s="18" t="s">
        <v>21</v>
      </c>
      <c r="C308" s="6">
        <v>8.5299999999999994</v>
      </c>
      <c r="D308" s="6">
        <v>38.636363636363633</v>
      </c>
      <c r="E308" s="6">
        <v>29.063636363636359</v>
      </c>
      <c r="F308" s="6">
        <v>56.603333333333332</v>
      </c>
      <c r="G308" s="6">
        <v>4.085</v>
      </c>
      <c r="H308" s="6">
        <v>3.6309090909090909</v>
      </c>
      <c r="I308" s="6">
        <v>136.81818181818181</v>
      </c>
      <c r="J308" s="6">
        <v>8.378539402840806</v>
      </c>
      <c r="K308" s="6">
        <v>4.3589305756914143E-3</v>
      </c>
      <c r="L308" s="6">
        <v>3.6521471582678072E-2</v>
      </c>
      <c r="M308" s="6">
        <v>13.3168158920018</v>
      </c>
      <c r="N308" s="6">
        <v>2.6574349290557991E-3</v>
      </c>
      <c r="O308" s="6">
        <v>5225</v>
      </c>
      <c r="P308" s="6">
        <v>120.2700428350494</v>
      </c>
      <c r="Q308" s="6">
        <v>17244</v>
      </c>
      <c r="R308" s="6">
        <v>11535.262433628321</v>
      </c>
      <c r="S308" s="6">
        <v>13.31681519500164</v>
      </c>
      <c r="T308" s="6">
        <f t="shared" si="93"/>
        <v>7.9604534615791165</v>
      </c>
      <c r="U308" s="6" t="e">
        <f>VLOOKUP($AT308,kkk,U$4,0)</f>
        <v>#N/A</v>
      </c>
      <c r="V308" s="6">
        <f t="shared" si="94"/>
        <v>6.6386143811193481</v>
      </c>
      <c r="W308" s="6">
        <f t="shared" si="95"/>
        <v>9.2822925420388849</v>
      </c>
      <c r="X308" s="6" t="e">
        <f t="shared" si="108"/>
        <v>#N/A</v>
      </c>
      <c r="Y308" s="6" t="e">
        <f t="shared" si="109"/>
        <v>#N/A</v>
      </c>
      <c r="Z308" s="6" t="e">
        <f>VLOOKUP($AT308,kkk,Z$4,0)</f>
        <v>#N/A</v>
      </c>
      <c r="AA308" s="6" t="e">
        <f>VLOOKUP($AT308,kkk,AA$4,0)</f>
        <v>#N/A</v>
      </c>
      <c r="AB308" s="6" t="e">
        <f>VLOOKUP($AT308,kkk,AB$4,0)</f>
        <v>#N/A</v>
      </c>
      <c r="AC308" s="6" t="e">
        <f>VLOOKUP($AT308,kkk,AC$4,0)</f>
        <v>#N/A</v>
      </c>
      <c r="AG308">
        <f t="shared" si="96"/>
        <v>-7.5999999999999804E-2</v>
      </c>
      <c r="AH308">
        <f t="shared" si="97"/>
        <v>0</v>
      </c>
      <c r="AI308">
        <f t="shared" si="98"/>
        <v>-2.3780303030302985</v>
      </c>
      <c r="AJ308">
        <f t="shared" si="99"/>
        <v>-2.6436781609195372</v>
      </c>
      <c r="AK308">
        <f t="shared" si="100"/>
        <v>-0.82499999999999973</v>
      </c>
      <c r="AL308">
        <f t="shared" si="101"/>
        <v>1.1545454545454548</v>
      </c>
      <c r="AM308">
        <f t="shared" si="102"/>
        <v>0</v>
      </c>
      <c r="AN308">
        <f t="shared" si="103"/>
        <v>-2.0548675000000003</v>
      </c>
      <c r="AO308">
        <f t="shared" si="104"/>
        <v>1.7029211943183888</v>
      </c>
      <c r="AQ308">
        <f t="shared" si="105"/>
        <v>6.6386143811193481</v>
      </c>
      <c r="AR308">
        <f t="shared" si="106"/>
        <v>9.2822925420388849</v>
      </c>
      <c r="AT308" t="str">
        <f t="shared" si="107"/>
        <v>45544D</v>
      </c>
    </row>
    <row r="309" spans="1:46" x14ac:dyDescent="0.3">
      <c r="A309" s="17">
        <v>45547</v>
      </c>
      <c r="B309" s="18" t="s">
        <v>19</v>
      </c>
      <c r="C309" s="6">
        <v>8.5350000000000001</v>
      </c>
      <c r="D309" s="6">
        <v>38.833333333333343</v>
      </c>
      <c r="E309" s="6">
        <v>26.783333333333331</v>
      </c>
      <c r="F309" s="6">
        <v>56.59</v>
      </c>
      <c r="G309" s="6">
        <v>4.2300000000000004</v>
      </c>
      <c r="H309" s="6">
        <v>3.7</v>
      </c>
      <c r="I309" s="6">
        <v>139.66666666666671</v>
      </c>
      <c r="J309" s="6">
        <v>8.6313760261825703</v>
      </c>
      <c r="K309" s="6">
        <v>2.3157709350262101E-3</v>
      </c>
      <c r="L309" s="6">
        <v>1.9988289730715619E-2</v>
      </c>
      <c r="M309" s="6">
        <v>13.33216816946612</v>
      </c>
      <c r="N309" s="6">
        <v>6.0263248508275042</v>
      </c>
      <c r="O309" s="6">
        <v>5225</v>
      </c>
      <c r="P309" s="6">
        <v>120.4086984668411</v>
      </c>
      <c r="Q309" s="6">
        <v>7715.2000000000007</v>
      </c>
      <c r="R309" s="6">
        <v>8304.2209473684215</v>
      </c>
      <c r="S309" s="6">
        <v>13.316815253697399</v>
      </c>
      <c r="T309" s="6">
        <f t="shared" si="93"/>
        <v>7.6963536301580486</v>
      </c>
      <c r="U309" s="6">
        <f>VLOOKUP($AT309,kkk,U$4,0)</f>
        <v>10.71</v>
      </c>
      <c r="V309" s="6">
        <f t="shared" si="94"/>
        <v>6.3860088025718387</v>
      </c>
      <c r="W309" s="6">
        <f t="shared" si="95"/>
        <v>9.0066984577442586</v>
      </c>
      <c r="X309" s="6">
        <f t="shared" si="108"/>
        <v>7.75</v>
      </c>
      <c r="Y309" s="6">
        <f t="shared" si="109"/>
        <v>7</v>
      </c>
      <c r="Z309" s="6">
        <f>VLOOKUP($AT309,kkk,Z$4,0)</f>
        <v>8.36</v>
      </c>
      <c r="AA309" s="6">
        <f>VLOOKUP($AT309,kkk,AA$4,0)</f>
        <v>27.63</v>
      </c>
      <c r="AB309" s="6">
        <f>VLOOKUP($AT309,kkk,AB$4,0)</f>
        <v>3.49</v>
      </c>
      <c r="AC309" s="6">
        <f>VLOOKUP($AT309,kkk,AC$4,0)</f>
        <v>3.99</v>
      </c>
      <c r="AG309">
        <f t="shared" si="96"/>
        <v>-7.6999999999999957E-2</v>
      </c>
      <c r="AH309">
        <f t="shared" si="97"/>
        <v>0</v>
      </c>
      <c r="AI309">
        <f t="shared" si="98"/>
        <v>-0.47777777777777553</v>
      </c>
      <c r="AJ309">
        <f t="shared" si="99"/>
        <v>-2.6206896551724195</v>
      </c>
      <c r="AK309">
        <f t="shared" si="100"/>
        <v>-1.2600000000000011</v>
      </c>
      <c r="AL309">
        <f t="shared" si="101"/>
        <v>1.5000000000000013</v>
      </c>
      <c r="AM309">
        <f t="shared" si="102"/>
        <v>0</v>
      </c>
      <c r="AN309">
        <f t="shared" si="103"/>
        <v>-3.2459675000000003</v>
      </c>
      <c r="AO309">
        <f t="shared" si="104"/>
        <v>1.1972479476348603</v>
      </c>
      <c r="AQ309">
        <f t="shared" si="105"/>
        <v>6.3860088025718387</v>
      </c>
      <c r="AR309">
        <f t="shared" si="106"/>
        <v>9.0066984577442586</v>
      </c>
      <c r="AT309" t="str">
        <f t="shared" si="107"/>
        <v>45547B</v>
      </c>
    </row>
    <row r="310" spans="1:46" x14ac:dyDescent="0.3">
      <c r="A310" s="17">
        <v>45547</v>
      </c>
      <c r="B310" s="18" t="s">
        <v>20</v>
      </c>
      <c r="C310" s="6">
        <v>8.456666666666667</v>
      </c>
      <c r="D310" s="6">
        <v>38.333333333333343</v>
      </c>
      <c r="E310" s="6">
        <v>27.133333333333329</v>
      </c>
      <c r="F310" s="6">
        <v>56.586666666666673</v>
      </c>
      <c r="G310" s="6">
        <v>4.2300000000000004</v>
      </c>
      <c r="H310" s="6">
        <v>3.6828571428571428</v>
      </c>
      <c r="I310" s="6">
        <v>139.14285714285711</v>
      </c>
      <c r="J310" s="6">
        <v>9.5237482500123001</v>
      </c>
      <c r="K310" s="6">
        <v>1.9880587532866739E-3</v>
      </c>
      <c r="L310" s="6">
        <v>1.8933771072535601E-2</v>
      </c>
      <c r="M310" s="6">
        <v>13.33260025664417</v>
      </c>
      <c r="N310" s="6">
        <v>6.1958180076604563</v>
      </c>
      <c r="O310" s="6">
        <v>5225</v>
      </c>
      <c r="P310" s="6">
        <v>120.41259997065529</v>
      </c>
      <c r="Q310" s="6">
        <v>8466.1600000000017</v>
      </c>
      <c r="R310" s="6">
        <v>12700.803</v>
      </c>
      <c r="S310" s="6">
        <v>13.31681529502479</v>
      </c>
      <c r="T310" s="6">
        <f t="shared" si="93"/>
        <v>6.1966433037596893</v>
      </c>
      <c r="U310" s="6">
        <f>VLOOKUP($AT310,kkk,U$4,0)</f>
        <v>7.4</v>
      </c>
      <c r="V310" s="6">
        <f t="shared" si="94"/>
        <v>4.8891720393918687</v>
      </c>
      <c r="W310" s="6">
        <f t="shared" si="95"/>
        <v>7.5041145681275108</v>
      </c>
      <c r="X310" s="6" t="e">
        <f t="shared" si="108"/>
        <v>#N/A</v>
      </c>
      <c r="Y310" s="6" t="e">
        <f t="shared" si="109"/>
        <v>#N/A</v>
      </c>
      <c r="Z310" s="6">
        <f>VLOOKUP($AT310,kkk,Z$4,0)</f>
        <v>8.32</v>
      </c>
      <c r="AA310" s="6">
        <f>VLOOKUP($AT310,kkk,AA$4,0)</f>
        <v>26.43</v>
      </c>
      <c r="AB310" s="6">
        <f>VLOOKUP($AT310,kkk,AB$4,0)</f>
        <v>3.41</v>
      </c>
      <c r="AC310" s="6">
        <f>VLOOKUP($AT310,kkk,AC$4,0)</f>
        <v>3.99</v>
      </c>
      <c r="AG310">
        <f t="shared" si="96"/>
        <v>-6.133333333333333E-2</v>
      </c>
      <c r="AH310">
        <f t="shared" si="97"/>
        <v>0</v>
      </c>
      <c r="AI310">
        <f t="shared" si="98"/>
        <v>-0.76944444444444038</v>
      </c>
      <c r="AJ310">
        <f t="shared" si="99"/>
        <v>-2.6149425287356425</v>
      </c>
      <c r="AK310">
        <f t="shared" si="100"/>
        <v>-1.2600000000000011</v>
      </c>
      <c r="AL310">
        <f t="shared" si="101"/>
        <v>1.4142857142857146</v>
      </c>
      <c r="AM310">
        <f t="shared" si="102"/>
        <v>0</v>
      </c>
      <c r="AN310">
        <f t="shared" si="103"/>
        <v>-3.1520975</v>
      </c>
      <c r="AO310">
        <f t="shared" si="104"/>
        <v>-0.5874965000245993</v>
      </c>
      <c r="AQ310">
        <f t="shared" si="105"/>
        <v>4.8891720393918687</v>
      </c>
      <c r="AR310">
        <f t="shared" si="106"/>
        <v>7.5041145681275108</v>
      </c>
      <c r="AT310" t="str">
        <f t="shared" si="107"/>
        <v>45547C</v>
      </c>
    </row>
    <row r="311" spans="1:46" x14ac:dyDescent="0.3">
      <c r="A311" s="17">
        <v>45547</v>
      </c>
      <c r="B311" s="18" t="s">
        <v>21</v>
      </c>
      <c r="C311" s="6">
        <v>8.4266666666666676</v>
      </c>
      <c r="D311" s="6">
        <v>37.555555555555557</v>
      </c>
      <c r="E311" s="6">
        <v>27.644444444444449</v>
      </c>
      <c r="F311" s="6">
        <v>56.825000000000003</v>
      </c>
      <c r="G311" s="6">
        <v>4.2300000000000004</v>
      </c>
      <c r="H311" s="6">
        <v>3.56</v>
      </c>
      <c r="I311" s="6">
        <v>135.28571428571431</v>
      </c>
      <c r="J311" s="6">
        <v>8.863346074572009</v>
      </c>
      <c r="K311" s="6">
        <v>1.3043213939774E-3</v>
      </c>
      <c r="L311" s="6">
        <v>1.156065190728988E-2</v>
      </c>
      <c r="M311" s="6">
        <v>13.32743565532073</v>
      </c>
      <c r="N311" s="6">
        <v>4.168435760434563</v>
      </c>
      <c r="O311" s="6">
        <v>5225</v>
      </c>
      <c r="P311" s="6">
        <v>120.3659332025603</v>
      </c>
      <c r="Q311" s="6">
        <v>5822.9652631578956</v>
      </c>
      <c r="R311" s="6">
        <v>12866.54168064584</v>
      </c>
      <c r="S311" s="6">
        <v>13.31681521962572</v>
      </c>
      <c r="T311" s="6">
        <f t="shared" si="93"/>
        <v>5.962929635965712</v>
      </c>
      <c r="U311" s="6" t="e">
        <f>VLOOKUP($AT311,kkk,U$4,0)</f>
        <v>#N/A</v>
      </c>
      <c r="V311" s="6">
        <f t="shared" si="94"/>
        <v>4.4499986014829513</v>
      </c>
      <c r="W311" s="6">
        <f t="shared" si="95"/>
        <v>7.4758606704484727</v>
      </c>
      <c r="X311" s="6" t="e">
        <f t="shared" si="108"/>
        <v>#N/A</v>
      </c>
      <c r="Y311" s="6" t="e">
        <f t="shared" si="109"/>
        <v>#N/A</v>
      </c>
      <c r="Z311" s="6" t="e">
        <f>VLOOKUP($AT311,kkk,Z$4,0)</f>
        <v>#N/A</v>
      </c>
      <c r="AA311" s="6" t="e">
        <f>VLOOKUP($AT311,kkk,AA$4,0)</f>
        <v>#N/A</v>
      </c>
      <c r="AB311" s="6" t="e">
        <f>VLOOKUP($AT311,kkk,AB$4,0)</f>
        <v>#N/A</v>
      </c>
      <c r="AC311" s="6" t="e">
        <f>VLOOKUP($AT311,kkk,AC$4,0)</f>
        <v>#N/A</v>
      </c>
      <c r="AG311">
        <f t="shared" si="96"/>
        <v>-5.5333333333333456E-2</v>
      </c>
      <c r="AH311">
        <f t="shared" si="97"/>
        <v>0</v>
      </c>
      <c r="AI311">
        <f t="shared" si="98"/>
        <v>-1.1953703703703737</v>
      </c>
      <c r="AJ311">
        <f t="shared" si="99"/>
        <v>-3.0258620689655218</v>
      </c>
      <c r="AK311">
        <f t="shared" si="100"/>
        <v>-1.2600000000000011</v>
      </c>
      <c r="AL311">
        <f t="shared" si="101"/>
        <v>0.80000000000000071</v>
      </c>
      <c r="AM311">
        <f t="shared" si="102"/>
        <v>0</v>
      </c>
      <c r="AN311">
        <f t="shared" si="103"/>
        <v>-3.4824968421052636</v>
      </c>
      <c r="AO311">
        <f t="shared" si="104"/>
        <v>0.73330785085598293</v>
      </c>
      <c r="AQ311">
        <f t="shared" si="105"/>
        <v>4.4499986014829513</v>
      </c>
      <c r="AR311">
        <f t="shared" si="106"/>
        <v>7.4758606704484727</v>
      </c>
      <c r="AT311" t="str">
        <f t="shared" si="107"/>
        <v>45547D</v>
      </c>
    </row>
    <row r="312" spans="1:46" x14ac:dyDescent="0.3">
      <c r="A312" s="17">
        <v>45548</v>
      </c>
      <c r="B312" s="18" t="s">
        <v>22</v>
      </c>
      <c r="C312" s="6">
        <v>8.3514285714285723</v>
      </c>
      <c r="D312" s="6">
        <v>38.5</v>
      </c>
      <c r="E312" s="6">
        <v>26.734000000000002</v>
      </c>
      <c r="F312" s="6">
        <v>57.07</v>
      </c>
      <c r="G312" s="6">
        <v>3.99</v>
      </c>
      <c r="H312" s="6">
        <v>3.4260000000000002</v>
      </c>
      <c r="I312" s="6">
        <v>138.69999999999999</v>
      </c>
      <c r="J312" s="6">
        <v>8.7223962610005135</v>
      </c>
      <c r="K312" s="6">
        <v>1.356087311157503E-2</v>
      </c>
      <c r="L312" s="6">
        <v>0.1182833089243044</v>
      </c>
      <c r="M312" s="6">
        <v>18.311210699721919</v>
      </c>
      <c r="N312" s="6">
        <v>2.5868943278766739E-3</v>
      </c>
      <c r="O312" s="6">
        <v>5225</v>
      </c>
      <c r="P312" s="6">
        <v>90.016516546176462</v>
      </c>
      <c r="Q312" s="6">
        <v>62915.72</v>
      </c>
      <c r="R312" s="6">
        <v>9958.7019999999993</v>
      </c>
      <c r="S312" s="6">
        <v>15.0923904981367</v>
      </c>
      <c r="T312" s="6">
        <f t="shared" si="93"/>
        <v>18.614263115734026</v>
      </c>
      <c r="U312" s="6" t="e">
        <f>VLOOKUP($AT312,kkk,U$4,0)</f>
        <v>#N/A</v>
      </c>
      <c r="V312" s="6">
        <f t="shared" si="94"/>
        <v>16.890125184699542</v>
      </c>
      <c r="W312" s="6">
        <f t="shared" si="95"/>
        <v>20.338401046768507</v>
      </c>
      <c r="X312" s="6">
        <f t="shared" si="108"/>
        <v>14.4</v>
      </c>
      <c r="Y312" s="6">
        <f t="shared" si="109"/>
        <v>13.49</v>
      </c>
      <c r="Z312" s="6" t="e">
        <f>VLOOKUP($AT312,kkk,Z$4,0)</f>
        <v>#N/A</v>
      </c>
      <c r="AA312" s="6" t="e">
        <f>VLOOKUP($AT312,kkk,AA$4,0)</f>
        <v>#N/A</v>
      </c>
      <c r="AB312" s="6" t="e">
        <f>VLOOKUP($AT312,kkk,AB$4,0)</f>
        <v>#N/A</v>
      </c>
      <c r="AC312" s="6" t="e">
        <f>VLOOKUP($AT312,kkk,AC$4,0)</f>
        <v>#N/A</v>
      </c>
      <c r="AG312">
        <f t="shared" si="96"/>
        <v>-4.0285714285714397E-2</v>
      </c>
      <c r="AH312">
        <f t="shared" si="97"/>
        <v>0</v>
      </c>
      <c r="AI312">
        <f t="shared" si="98"/>
        <v>-0.43666666666666742</v>
      </c>
      <c r="AJ312">
        <f t="shared" si="99"/>
        <v>-3.4482758620689657</v>
      </c>
      <c r="AK312">
        <f t="shared" si="100"/>
        <v>-0.54000000000000048</v>
      </c>
      <c r="AL312">
        <f t="shared" si="101"/>
        <v>0.13000000000000123</v>
      </c>
      <c r="AM312">
        <f t="shared" si="102"/>
        <v>0</v>
      </c>
      <c r="AN312">
        <f t="shared" si="103"/>
        <v>3.6540974999999998</v>
      </c>
      <c r="AO312">
        <f t="shared" si="104"/>
        <v>1.0152074779989739</v>
      </c>
      <c r="AQ312">
        <f t="shared" si="105"/>
        <v>16.890125184699542</v>
      </c>
      <c r="AR312">
        <f t="shared" si="106"/>
        <v>20.338401046768507</v>
      </c>
      <c r="AT312" t="str">
        <f t="shared" si="107"/>
        <v>45548A</v>
      </c>
    </row>
    <row r="313" spans="1:46" x14ac:dyDescent="0.3">
      <c r="A313" s="17">
        <v>45548</v>
      </c>
      <c r="B313" s="18" t="s">
        <v>19</v>
      </c>
      <c r="C313" s="6">
        <v>8.125</v>
      </c>
      <c r="D313" s="6">
        <v>37.444444444444443</v>
      </c>
      <c r="E313" s="6">
        <v>26.248888888888889</v>
      </c>
      <c r="F313" s="6">
        <v>56.643333333333338</v>
      </c>
      <c r="G313" s="6">
        <v>3.66</v>
      </c>
      <c r="H313" s="6">
        <v>3.3066666666666671</v>
      </c>
      <c r="I313" s="6">
        <v>141.2222222222222</v>
      </c>
      <c r="J313" s="6">
        <v>10.607316250710349</v>
      </c>
      <c r="K313" s="6">
        <v>1.1154791014937651E-2</v>
      </c>
      <c r="L313" s="6">
        <v>0.1183223960060259</v>
      </c>
      <c r="M313" s="6">
        <v>21.04415305126896</v>
      </c>
      <c r="N313" s="6">
        <v>1.4004011283054301</v>
      </c>
      <c r="O313" s="6">
        <v>5225</v>
      </c>
      <c r="P313" s="6">
        <v>81.305593322370285</v>
      </c>
      <c r="Q313" s="6">
        <v>58749.572566801617</v>
      </c>
      <c r="R313" s="6">
        <v>14040.62591052632</v>
      </c>
      <c r="S313" s="6">
        <v>18.364133669861261</v>
      </c>
      <c r="T313" s="6">
        <f t="shared" si="93"/>
        <v>18.777531946359723</v>
      </c>
      <c r="U313" s="6">
        <f>VLOOKUP($AT313,kkk,U$4,0)</f>
        <v>13.64</v>
      </c>
      <c r="V313" s="6">
        <f t="shared" si="94"/>
        <v>17.421210107279258</v>
      </c>
      <c r="W313" s="6">
        <f t="shared" si="95"/>
        <v>20.133853785440184</v>
      </c>
      <c r="X313" s="6">
        <f t="shared" si="108"/>
        <v>13.68</v>
      </c>
      <c r="Y313" s="6">
        <f t="shared" si="109"/>
        <v>12.3</v>
      </c>
      <c r="Z313" s="6">
        <f>VLOOKUP($AT313,kkk,Z$4,0)</f>
        <v>7.7</v>
      </c>
      <c r="AA313" s="6">
        <f>VLOOKUP($AT313,kkk,AA$4,0)</f>
        <v>26.54</v>
      </c>
      <c r="AB313" s="6">
        <f>VLOOKUP($AT313,kkk,AB$4,0)</f>
        <v>3.28</v>
      </c>
      <c r="AC313" s="6">
        <f>VLOOKUP($AT313,kkk,AC$4,0)</f>
        <v>3.6</v>
      </c>
      <c r="AG313">
        <f t="shared" si="96"/>
        <v>5.0000000000000712E-3</v>
      </c>
      <c r="AH313">
        <f t="shared" si="97"/>
        <v>0</v>
      </c>
      <c r="AI313">
        <f t="shared" si="98"/>
        <v>-3.2407407407406552E-2</v>
      </c>
      <c r="AJ313">
        <f t="shared" si="99"/>
        <v>-2.7126436781609269</v>
      </c>
      <c r="AK313">
        <f t="shared" si="100"/>
        <v>0.44999999999999968</v>
      </c>
      <c r="AL313">
        <f t="shared" si="101"/>
        <v>-0.46666666666666412</v>
      </c>
      <c r="AM313">
        <f t="shared" si="102"/>
        <v>0</v>
      </c>
      <c r="AN313">
        <f t="shared" si="103"/>
        <v>3.133329070850202</v>
      </c>
      <c r="AO313">
        <f t="shared" si="104"/>
        <v>-2.7546325014206978</v>
      </c>
      <c r="AQ313">
        <f t="shared" si="105"/>
        <v>17.421210107279258</v>
      </c>
      <c r="AR313">
        <f t="shared" si="106"/>
        <v>20.133853785440184</v>
      </c>
      <c r="AT313" t="str">
        <f t="shared" si="107"/>
        <v>45548B</v>
      </c>
    </row>
    <row r="314" spans="1:46" x14ac:dyDescent="0.3">
      <c r="A314" s="17">
        <v>45548</v>
      </c>
      <c r="B314" s="18" t="s">
        <v>20</v>
      </c>
      <c r="C314" s="6">
        <v>8.0416666666666661</v>
      </c>
      <c r="D314" s="6">
        <v>37.555555555555557</v>
      </c>
      <c r="E314" s="6">
        <v>26.793333333333329</v>
      </c>
      <c r="F314" s="6">
        <v>56.43</v>
      </c>
      <c r="G314" s="6">
        <v>3.66</v>
      </c>
      <c r="H314" s="6">
        <v>3.275555555555556</v>
      </c>
      <c r="I314" s="6">
        <v>142.2222222222222</v>
      </c>
      <c r="J314" s="6">
        <v>10.841567883408681</v>
      </c>
      <c r="K314" s="6">
        <v>4.7131676046940144E-3</v>
      </c>
      <c r="L314" s="6">
        <v>5.109812653217282E-2</v>
      </c>
      <c r="M314" s="6">
        <v>20.582008125957319</v>
      </c>
      <c r="N314" s="6">
        <v>3.713457263653837</v>
      </c>
      <c r="O314" s="6">
        <v>5225</v>
      </c>
      <c r="P314" s="6">
        <v>81.334279332794921</v>
      </c>
      <c r="Q314" s="6">
        <v>22719.759999999998</v>
      </c>
      <c r="R314" s="6">
        <v>15654.906000000001</v>
      </c>
      <c r="S314" s="6">
        <v>18.129668933560769</v>
      </c>
      <c r="T314" s="6">
        <f t="shared" si="93"/>
        <v>13.136257649369849</v>
      </c>
      <c r="U314" s="6">
        <f>VLOOKUP($AT314,kkk,U$4,0)</f>
        <v>14.34</v>
      </c>
      <c r="V314" s="6">
        <f t="shared" si="94"/>
        <v>11.963843856266402</v>
      </c>
      <c r="W314" s="6">
        <f t="shared" si="95"/>
        <v>14.308671442473297</v>
      </c>
      <c r="X314" s="6" t="e">
        <f t="shared" si="108"/>
        <v>#N/A</v>
      </c>
      <c r="Y314" s="6" t="e">
        <f t="shared" si="109"/>
        <v>#N/A</v>
      </c>
      <c r="Z314" s="6">
        <f>VLOOKUP($AT314,kkk,Z$4,0)</f>
        <v>8.08</v>
      </c>
      <c r="AA314" s="6">
        <f>VLOOKUP($AT314,kkk,AA$4,0)</f>
        <v>25.8</v>
      </c>
      <c r="AB314" s="6">
        <f>VLOOKUP($AT314,kkk,AB$4,0)</f>
        <v>3.33</v>
      </c>
      <c r="AC314" s="6">
        <f>VLOOKUP($AT314,kkk,AC$4,0)</f>
        <v>3.6</v>
      </c>
      <c r="AG314">
        <f t="shared" si="96"/>
        <v>2.1666666666666858E-2</v>
      </c>
      <c r="AH314">
        <f t="shared" si="97"/>
        <v>0</v>
      </c>
      <c r="AI314">
        <f t="shared" si="98"/>
        <v>-0.48611111111110716</v>
      </c>
      <c r="AJ314">
        <f t="shared" si="99"/>
        <v>-2.3448275862068955</v>
      </c>
      <c r="AK314">
        <f t="shared" si="100"/>
        <v>0.44999999999999968</v>
      </c>
      <c r="AL314">
        <f t="shared" si="101"/>
        <v>-0.62222222222221957</v>
      </c>
      <c r="AM314">
        <f t="shared" si="102"/>
        <v>0</v>
      </c>
      <c r="AN314">
        <f t="shared" si="103"/>
        <v>-1.3703975000000006</v>
      </c>
      <c r="AO314">
        <f t="shared" si="104"/>
        <v>-3.2231357668173608</v>
      </c>
      <c r="AQ314">
        <f t="shared" si="105"/>
        <v>11.963843856266402</v>
      </c>
      <c r="AR314">
        <f t="shared" si="106"/>
        <v>14.308671442473297</v>
      </c>
      <c r="AT314" t="str">
        <f t="shared" si="107"/>
        <v>45548C</v>
      </c>
    </row>
    <row r="315" spans="1:46" x14ac:dyDescent="0.3">
      <c r="A315" s="17">
        <v>45548</v>
      </c>
      <c r="B315" s="18" t="s">
        <v>21</v>
      </c>
      <c r="C315" s="6">
        <v>7.9242857142857144</v>
      </c>
      <c r="D315" s="6">
        <v>37.888888888888893</v>
      </c>
      <c r="E315" s="6">
        <v>27.144444444444449</v>
      </c>
      <c r="F315" s="6">
        <v>56.663333333333327</v>
      </c>
      <c r="G315" s="6">
        <v>3.63</v>
      </c>
      <c r="H315" s="6">
        <v>3.2622222222222219</v>
      </c>
      <c r="I315" s="6">
        <v>142.66666666666671</v>
      </c>
      <c r="J315" s="6">
        <v>10.64084091335258</v>
      </c>
      <c r="K315" s="6">
        <v>3.9953758198967172E-3</v>
      </c>
      <c r="L315" s="6">
        <v>4.2514158488576613E-2</v>
      </c>
      <c r="M315" s="6">
        <v>23.314188514000382</v>
      </c>
      <c r="N315" s="6">
        <v>3.1621200210211402</v>
      </c>
      <c r="O315" s="6">
        <v>5225</v>
      </c>
      <c r="P315" s="6">
        <v>81.368062920078444</v>
      </c>
      <c r="Q315" s="6">
        <v>20034.907216494841</v>
      </c>
      <c r="R315" s="6">
        <v>15987.31332127078</v>
      </c>
      <c r="S315" s="6">
        <v>20.032920236763079</v>
      </c>
      <c r="T315" s="6">
        <f t="shared" si="93"/>
        <v>15.528903800675387</v>
      </c>
      <c r="U315" s="6" t="e">
        <f>VLOOKUP($AT315,kkk,U$4,0)</f>
        <v>#N/A</v>
      </c>
      <c r="V315" s="6">
        <f t="shared" si="94"/>
        <v>14.155340582284587</v>
      </c>
      <c r="W315" s="6">
        <f t="shared" si="95"/>
        <v>16.902467019066187</v>
      </c>
      <c r="X315" s="6" t="e">
        <f t="shared" si="108"/>
        <v>#N/A</v>
      </c>
      <c r="Y315" s="6" t="e">
        <f t="shared" si="109"/>
        <v>#N/A</v>
      </c>
      <c r="Z315" s="6" t="e">
        <f>VLOOKUP($AT315,kkk,Z$4,0)</f>
        <v>#N/A</v>
      </c>
      <c r="AA315" s="6" t="e">
        <f>VLOOKUP($AT315,kkk,AA$4,0)</f>
        <v>#N/A</v>
      </c>
      <c r="AB315" s="6" t="e">
        <f>VLOOKUP($AT315,kkk,AB$4,0)</f>
        <v>#N/A</v>
      </c>
      <c r="AC315" s="6" t="e">
        <f>VLOOKUP($AT315,kkk,AC$4,0)</f>
        <v>#N/A</v>
      </c>
      <c r="AG315">
        <f t="shared" si="96"/>
        <v>4.51428571428572E-2</v>
      </c>
      <c r="AH315">
        <f t="shared" si="97"/>
        <v>0</v>
      </c>
      <c r="AI315">
        <f t="shared" si="98"/>
        <v>-0.77870370370370701</v>
      </c>
      <c r="AJ315">
        <f t="shared" si="99"/>
        <v>-2.7471264367815973</v>
      </c>
      <c r="AK315">
        <f t="shared" si="100"/>
        <v>0.54000000000000048</v>
      </c>
      <c r="AL315">
        <f t="shared" si="101"/>
        <v>-0.68888888888888999</v>
      </c>
      <c r="AM315">
        <f t="shared" si="102"/>
        <v>0</v>
      </c>
      <c r="AN315">
        <f t="shared" si="103"/>
        <v>-1.7060040979381452</v>
      </c>
      <c r="AO315">
        <f t="shared" si="104"/>
        <v>-2.8216818267051593</v>
      </c>
      <c r="AQ315">
        <f t="shared" si="105"/>
        <v>14.155340582284587</v>
      </c>
      <c r="AR315">
        <f t="shared" si="106"/>
        <v>16.902467019066187</v>
      </c>
      <c r="AT315" t="str">
        <f t="shared" si="107"/>
        <v>45548D</v>
      </c>
    </row>
    <row r="316" spans="1:46" s="38" customFormat="1" x14ac:dyDescent="0.3">
      <c r="A316" s="35">
        <v>45549</v>
      </c>
      <c r="B316" s="36" t="s">
        <v>22</v>
      </c>
      <c r="C316" s="37">
        <v>7.9457142857142857</v>
      </c>
      <c r="D316" s="37">
        <v>38.384615384615387</v>
      </c>
      <c r="E316" s="37">
        <v>25.95384615384615</v>
      </c>
      <c r="F316" s="37">
        <v>57.13</v>
      </c>
      <c r="G316" s="37">
        <v>3.6</v>
      </c>
      <c r="H316" s="37">
        <v>3.3169230769230769</v>
      </c>
      <c r="I316" s="37">
        <v>148.53846153846149</v>
      </c>
      <c r="J316" s="37">
        <v>9.7940038040588853</v>
      </c>
      <c r="K316" s="37">
        <v>8.0335093084681359E-3</v>
      </c>
      <c r="L316" s="37">
        <v>7.8680220727079392E-2</v>
      </c>
      <c r="M316" s="37">
        <v>27.07121016527385</v>
      </c>
      <c r="N316" s="6">
        <v>4.6307710048449593</v>
      </c>
      <c r="O316" s="37">
        <v>5225</v>
      </c>
      <c r="P316" s="37">
        <v>81.449030778463381</v>
      </c>
      <c r="Q316" s="37">
        <v>34334.160000000003</v>
      </c>
      <c r="R316" s="37">
        <v>10830.041999999999</v>
      </c>
      <c r="S316" s="37">
        <v>20.775142837511691</v>
      </c>
      <c r="T316" s="37">
        <f t="shared" si="93"/>
        <v>23.071432304124631</v>
      </c>
      <c r="U316" s="37">
        <f>VLOOKUP($AT316,kkk,U$4,0)</f>
        <v>22.96</v>
      </c>
      <c r="V316" s="37">
        <f t="shared" si="94"/>
        <v>21.295570235159111</v>
      </c>
      <c r="W316" s="37">
        <f t="shared" si="95"/>
        <v>24.847294373090151</v>
      </c>
      <c r="X316" s="37">
        <f t="shared" si="108"/>
        <v>23.31</v>
      </c>
      <c r="Y316" s="37">
        <f t="shared" si="109"/>
        <v>22.73</v>
      </c>
      <c r="Z316" s="37">
        <f>VLOOKUP($AT316,kkk,Z$4,0)</f>
        <v>7.7</v>
      </c>
      <c r="AA316" s="37">
        <f>VLOOKUP($AT316,kkk,AA$4,0)</f>
        <v>26.77</v>
      </c>
      <c r="AB316" s="37">
        <f>VLOOKUP($AT316,kkk,AB$4,0)</f>
        <v>3.23</v>
      </c>
      <c r="AC316" s="37">
        <f>VLOOKUP($AT316,kkk,AC$4,0)</f>
        <v>3.51</v>
      </c>
      <c r="AG316" s="38">
        <f t="shared" si="96"/>
        <v>4.0857142857142925E-2</v>
      </c>
      <c r="AH316" s="38">
        <f t="shared" si="97"/>
        <v>0</v>
      </c>
      <c r="AI316" s="38">
        <f t="shared" si="98"/>
        <v>0.21346153846154201</v>
      </c>
      <c r="AJ316" s="38">
        <f t="shared" si="99"/>
        <v>-3.5517241379310382</v>
      </c>
      <c r="AK316" s="38">
        <f t="shared" si="100"/>
        <v>0.62999999999999978</v>
      </c>
      <c r="AL316" s="38">
        <f t="shared" si="101"/>
        <v>-0.4153846153846153</v>
      </c>
      <c r="AM316" s="38">
        <f t="shared" si="102"/>
        <v>0</v>
      </c>
      <c r="AN316" s="38">
        <f t="shared" si="103"/>
        <v>8.1402500000000141E-2</v>
      </c>
      <c r="AO316" s="38">
        <f t="shared" si="104"/>
        <v>-1.1280076081177697</v>
      </c>
      <c r="AQ316" s="38">
        <f t="shared" si="105"/>
        <v>21.295570235159111</v>
      </c>
      <c r="AR316" s="38">
        <f t="shared" si="106"/>
        <v>24.847294373090151</v>
      </c>
      <c r="AT316" s="38" t="str">
        <f t="shared" si="107"/>
        <v>45549A</v>
      </c>
    </row>
    <row r="317" spans="1:46" s="38" customFormat="1" x14ac:dyDescent="0.3">
      <c r="A317" s="35">
        <v>45549</v>
      </c>
      <c r="B317" s="36" t="s">
        <v>19</v>
      </c>
      <c r="C317" s="37">
        <v>7.87</v>
      </c>
      <c r="D317" s="37">
        <v>38</v>
      </c>
      <c r="E317" s="37">
        <v>26.533750000000001</v>
      </c>
      <c r="F317" s="37">
        <v>55.676666666666669</v>
      </c>
      <c r="G317" s="37">
        <v>3.51</v>
      </c>
      <c r="H317" s="37">
        <v>3.2625000000000002</v>
      </c>
      <c r="I317" s="37">
        <v>145.875</v>
      </c>
      <c r="J317" s="37">
        <v>9.050918145512675</v>
      </c>
      <c r="K317" s="37">
        <v>4.1143383463699626E-3</v>
      </c>
      <c r="L317" s="37">
        <v>3.7238539595938508E-2</v>
      </c>
      <c r="M317" s="37">
        <v>22.741038784953339</v>
      </c>
      <c r="N317" s="6">
        <v>2.5865040839733542E-3</v>
      </c>
      <c r="O317" s="37">
        <v>5225</v>
      </c>
      <c r="P317" s="37">
        <v>81.310226782556271</v>
      </c>
      <c r="Q317" s="37">
        <v>17866.190663129979</v>
      </c>
      <c r="R317" s="37">
        <v>11757.38818744474</v>
      </c>
      <c r="S317" s="37">
        <v>22.275244010025631</v>
      </c>
      <c r="T317" s="37">
        <f t="shared" si="93"/>
        <v>19.067502177836037</v>
      </c>
      <c r="U317" s="37">
        <f>VLOOKUP($AT317,kkk,U$4,0)</f>
        <v>23.18</v>
      </c>
      <c r="V317" s="37">
        <f t="shared" si="94"/>
        <v>18.544513672088907</v>
      </c>
      <c r="W317" s="37">
        <f t="shared" si="95"/>
        <v>19.590490683583166</v>
      </c>
      <c r="X317" s="37">
        <f t="shared" ref="X317:X338" si="110">VLOOKUP($AT317,iii,3,0)</f>
        <v>22.16</v>
      </c>
      <c r="Y317" s="37">
        <f t="shared" ref="Y317:Y338" si="111">VLOOKUP($AT317,iii,2,0)</f>
        <v>21.21</v>
      </c>
      <c r="Z317" s="37">
        <f>VLOOKUP($AT317,kkk,Z$4,0)</f>
        <v>8.1</v>
      </c>
      <c r="AA317" s="37">
        <f>VLOOKUP($AT317,kkk,AA$4,0)</f>
        <v>26.9</v>
      </c>
      <c r="AB317" s="37">
        <f>VLOOKUP($AT317,kkk,AB$4,0)</f>
        <v>3.38</v>
      </c>
      <c r="AC317" s="37">
        <f>VLOOKUP($AT317,kkk,AC$4,0)</f>
        <v>3.82</v>
      </c>
      <c r="AG317" s="38">
        <f t="shared" si="96"/>
        <v>5.600000000000005E-2</v>
      </c>
      <c r="AH317" s="38">
        <f t="shared" si="97"/>
        <v>0</v>
      </c>
      <c r="AI317" s="38">
        <f t="shared" si="98"/>
        <v>-0.26979166666666704</v>
      </c>
      <c r="AJ317" s="38">
        <f t="shared" si="99"/>
        <v>-1.045977011494257</v>
      </c>
      <c r="AK317" s="38">
        <f t="shared" si="100"/>
        <v>0.9000000000000008</v>
      </c>
      <c r="AL317" s="38">
        <f t="shared" si="101"/>
        <v>-0.68749999999999867</v>
      </c>
      <c r="AM317" s="38">
        <f t="shared" si="102"/>
        <v>0</v>
      </c>
      <c r="AN317" s="38">
        <f t="shared" si="103"/>
        <v>-1.9770936671087529</v>
      </c>
      <c r="AO317" s="38">
        <f t="shared" si="104"/>
        <v>0.35816370897465077</v>
      </c>
      <c r="AQ317" s="38">
        <f t="shared" si="105"/>
        <v>18.544513672088907</v>
      </c>
      <c r="AR317" s="38">
        <f t="shared" si="106"/>
        <v>19.590490683583166</v>
      </c>
      <c r="AT317" s="38" t="str">
        <f t="shared" si="107"/>
        <v>45549B</v>
      </c>
    </row>
    <row r="318" spans="1:46" s="38" customFormat="1" x14ac:dyDescent="0.3">
      <c r="A318" s="35">
        <v>45549</v>
      </c>
      <c r="B318" s="36" t="s">
        <v>20</v>
      </c>
      <c r="C318" s="37">
        <v>7.7874999999999996</v>
      </c>
      <c r="D318" s="37">
        <v>37.714285714285722</v>
      </c>
      <c r="E318" s="37">
        <v>26.7</v>
      </c>
      <c r="F318" s="37">
        <v>54.95</v>
      </c>
      <c r="G318" s="37">
        <v>3.51</v>
      </c>
      <c r="H318" s="37">
        <v>3.234285714285714</v>
      </c>
      <c r="I318" s="37">
        <v>142.14285714285711</v>
      </c>
      <c r="J318" s="37">
        <v>9.060330569964961</v>
      </c>
      <c r="K318" s="37">
        <v>3.9052352835361182E-3</v>
      </c>
      <c r="L318" s="37">
        <v>3.5382722622328069E-2</v>
      </c>
      <c r="M318" s="37">
        <v>20.651133667628532</v>
      </c>
      <c r="N318" s="6">
        <v>2.5838393169830979E-3</v>
      </c>
      <c r="O318" s="37">
        <v>5225</v>
      </c>
      <c r="P318" s="37">
        <v>81.277845152532464</v>
      </c>
      <c r="Q318" s="37">
        <v>19671.52</v>
      </c>
      <c r="R318" s="37">
        <v>15157.736999999999</v>
      </c>
      <c r="S318" s="37">
        <v>23.50278128982718</v>
      </c>
      <c r="T318" s="37">
        <f t="shared" si="93"/>
        <v>17.972805666655916</v>
      </c>
      <c r="U318" s="37">
        <f>VLOOKUP($AT318,kkk,U$4,0)</f>
        <v>22.04</v>
      </c>
      <c r="V318" s="37">
        <f t="shared" si="94"/>
        <v>18.076253942517983</v>
      </c>
      <c r="W318" s="37">
        <f t="shared" si="95"/>
        <v>17.869357390793848</v>
      </c>
      <c r="X318" s="37" t="e">
        <f t="shared" si="110"/>
        <v>#N/A</v>
      </c>
      <c r="Y318" s="37" t="e">
        <f t="shared" si="111"/>
        <v>#N/A</v>
      </c>
      <c r="Z318" s="37">
        <f>VLOOKUP($AT318,kkk,Z$4,0)</f>
        <v>8.3000000000000007</v>
      </c>
      <c r="AA318" s="37">
        <f>VLOOKUP($AT318,kkk,AA$4,0)</f>
        <v>27.23</v>
      </c>
      <c r="AB318" s="37">
        <f>VLOOKUP($AT318,kkk,AB$4,0)</f>
        <v>3.44</v>
      </c>
      <c r="AC318" s="37">
        <f>VLOOKUP($AT318,kkk,AC$4,0)</f>
        <v>3.82</v>
      </c>
      <c r="AG318" s="38">
        <f t="shared" si="96"/>
        <v>7.2500000000000148E-2</v>
      </c>
      <c r="AH318" s="38">
        <f t="shared" si="97"/>
        <v>0</v>
      </c>
      <c r="AI318" s="38">
        <f t="shared" si="98"/>
        <v>-0.40833333333333205</v>
      </c>
      <c r="AJ318" s="38">
        <f t="shared" si="99"/>
        <v>0.20689655172413352</v>
      </c>
      <c r="AK318" s="38">
        <f t="shared" si="100"/>
        <v>0.9000000000000008</v>
      </c>
      <c r="AL318" s="38">
        <f t="shared" si="101"/>
        <v>-0.82857142857142974</v>
      </c>
      <c r="AM318" s="38">
        <f t="shared" si="102"/>
        <v>0</v>
      </c>
      <c r="AN318" s="38">
        <f t="shared" si="103"/>
        <v>-1.7514275000000001</v>
      </c>
      <c r="AO318" s="38">
        <f t="shared" si="104"/>
        <v>0.33933886007007885</v>
      </c>
      <c r="AQ318" s="38">
        <f t="shared" si="105"/>
        <v>18.076253942517983</v>
      </c>
      <c r="AR318" s="38">
        <f t="shared" si="106"/>
        <v>17.869357390793848</v>
      </c>
      <c r="AT318" s="38" t="str">
        <f t="shared" si="107"/>
        <v>45549C</v>
      </c>
    </row>
    <row r="319" spans="1:46" s="38" customFormat="1" x14ac:dyDescent="0.3">
      <c r="A319" s="35">
        <v>45549</v>
      </c>
      <c r="B319" s="36" t="s">
        <v>21</v>
      </c>
      <c r="C319" s="37">
        <v>7.9750000000000014</v>
      </c>
      <c r="D319" s="37">
        <v>37.888888888888893</v>
      </c>
      <c r="E319" s="37">
        <v>27.011111111111109</v>
      </c>
      <c r="F319" s="37">
        <v>54.95</v>
      </c>
      <c r="G319" s="37">
        <v>3.51</v>
      </c>
      <c r="H319" s="37">
        <v>3.2977777777777781</v>
      </c>
      <c r="I319" s="37">
        <v>144</v>
      </c>
      <c r="J319" s="37">
        <v>8.6554608292538919</v>
      </c>
      <c r="K319" s="37">
        <v>6.0082342241046917E-3</v>
      </c>
      <c r="L319" s="37">
        <v>5.2004035979720808E-2</v>
      </c>
      <c r="M319" s="37">
        <v>18.636629379326919</v>
      </c>
      <c r="N319" s="6">
        <v>2.5828460065432132E-3</v>
      </c>
      <c r="O319" s="37">
        <v>5225</v>
      </c>
      <c r="P319" s="37">
        <v>81.246632279718057</v>
      </c>
      <c r="Q319" s="37">
        <v>30882.013770491809</v>
      </c>
      <c r="R319" s="37">
        <v>15450.92746216898</v>
      </c>
      <c r="S319" s="37">
        <v>21.034467758002151</v>
      </c>
      <c r="T319" s="37">
        <f t="shared" si="93"/>
        <v>18.226702447060102</v>
      </c>
      <c r="U319" s="37" t="e">
        <f>VLOOKUP($AT319,kkk,U$4,0)</f>
        <v>#N/A</v>
      </c>
      <c r="V319" s="37">
        <f t="shared" si="94"/>
        <v>18.33015072292217</v>
      </c>
      <c r="W319" s="37">
        <f t="shared" si="95"/>
        <v>18.123254171198035</v>
      </c>
      <c r="X319" s="37" t="e">
        <f t="shared" si="110"/>
        <v>#N/A</v>
      </c>
      <c r="Y319" s="37" t="e">
        <f t="shared" si="111"/>
        <v>#N/A</v>
      </c>
      <c r="Z319" s="37" t="e">
        <f>VLOOKUP($AT319,kkk,Z$4,0)</f>
        <v>#N/A</v>
      </c>
      <c r="AA319" s="37" t="e">
        <f>VLOOKUP($AT319,kkk,AA$4,0)</f>
        <v>#N/A</v>
      </c>
      <c r="AB319" s="37" t="e">
        <f>VLOOKUP($AT319,kkk,AB$4,0)</f>
        <v>#N/A</v>
      </c>
      <c r="AC319" s="37" t="e">
        <f>VLOOKUP($AT319,kkk,AC$4,0)</f>
        <v>#N/A</v>
      </c>
      <c r="AG319" s="38">
        <f t="shared" si="96"/>
        <v>3.4999999999999788E-2</v>
      </c>
      <c r="AH319" s="38">
        <f t="shared" si="97"/>
        <v>0</v>
      </c>
      <c r="AI319" s="38">
        <f t="shared" si="98"/>
        <v>-0.66759259259259041</v>
      </c>
      <c r="AJ319" s="38">
        <f t="shared" si="99"/>
        <v>0.20689655172413352</v>
      </c>
      <c r="AK319" s="38">
        <f t="shared" si="100"/>
        <v>0.9000000000000008</v>
      </c>
      <c r="AL319" s="38">
        <f t="shared" si="101"/>
        <v>-0.51111111111110885</v>
      </c>
      <c r="AM319" s="38">
        <f t="shared" si="102"/>
        <v>0</v>
      </c>
      <c r="AN319" s="38">
        <f t="shared" si="103"/>
        <v>-0.35011577868852417</v>
      </c>
      <c r="AO319" s="38">
        <f t="shared" si="104"/>
        <v>1.149078341492217</v>
      </c>
      <c r="AQ319" s="38">
        <f t="shared" si="105"/>
        <v>18.33015072292217</v>
      </c>
      <c r="AR319" s="38">
        <f t="shared" si="106"/>
        <v>18.123254171198035</v>
      </c>
      <c r="AT319" s="38" t="str">
        <f t="shared" si="107"/>
        <v>45549D</v>
      </c>
    </row>
    <row r="320" spans="1:46" s="34" customFormat="1" x14ac:dyDescent="0.3">
      <c r="A320" s="31">
        <v>45551</v>
      </c>
      <c r="B320" s="32" t="s">
        <v>19</v>
      </c>
      <c r="C320" s="33">
        <v>8.254999999999999</v>
      </c>
      <c r="D320" s="33">
        <v>37.5</v>
      </c>
      <c r="E320" s="33">
        <v>27.38333333333334</v>
      </c>
      <c r="F320" s="33">
        <v>55.87</v>
      </c>
      <c r="G320" s="33">
        <v>3.82</v>
      </c>
      <c r="H320" s="33">
        <v>3.62</v>
      </c>
      <c r="I320" s="33">
        <v>139</v>
      </c>
      <c r="J320" s="33">
        <v>9.981160328064469</v>
      </c>
      <c r="K320" s="33">
        <v>2.878629815375483E-3</v>
      </c>
      <c r="L320" s="33">
        <v>2.873206571240932E-2</v>
      </c>
      <c r="M320" s="33">
        <v>13.33048879497175</v>
      </c>
      <c r="N320" s="6">
        <v>5.366252050371215</v>
      </c>
      <c r="O320" s="33">
        <v>5225</v>
      </c>
      <c r="P320" s="33">
        <v>120.393504655295</v>
      </c>
      <c r="Q320" s="33">
        <v>10071.6</v>
      </c>
      <c r="R320" s="33">
        <v>7467.6187441860466</v>
      </c>
      <c r="S320" s="33">
        <v>13.319774003497029</v>
      </c>
      <c r="T320" s="33">
        <f t="shared" si="93"/>
        <v>6.1917700316744968</v>
      </c>
      <c r="U320" s="33">
        <f>VLOOKUP($AT320,kkk,U$4,0)</f>
        <v>12.2</v>
      </c>
      <c r="V320" s="33">
        <f t="shared" si="94"/>
        <v>5.5021148592607059</v>
      </c>
      <c r="W320" s="33">
        <f t="shared" si="95"/>
        <v>6.8814252040882877</v>
      </c>
      <c r="X320" s="33">
        <f t="shared" si="110"/>
        <v>7.98</v>
      </c>
      <c r="Y320" s="33">
        <f t="shared" si="111"/>
        <v>7.35</v>
      </c>
      <c r="Z320" s="33">
        <f>VLOOKUP($AT320,kkk,Z$4,0)</f>
        <v>8.5</v>
      </c>
      <c r="AA320" s="33">
        <f>VLOOKUP($AT320,kkk,AA$4,0)</f>
        <v>27.78</v>
      </c>
      <c r="AB320" s="33">
        <f>VLOOKUP($AT320,kkk,AB$4,0)</f>
        <v>3.74</v>
      </c>
      <c r="AC320" s="33">
        <f>VLOOKUP($AT320,kkk,AC$4,0)</f>
        <v>4.28</v>
      </c>
      <c r="AG320" s="34">
        <f t="shared" si="96"/>
        <v>-2.0999999999999731E-2</v>
      </c>
      <c r="AH320" s="34">
        <f t="shared" si="97"/>
        <v>0</v>
      </c>
      <c r="AI320" s="34">
        <f t="shared" si="98"/>
        <v>-0.97777777777778263</v>
      </c>
      <c r="AJ320" s="34">
        <f t="shared" si="99"/>
        <v>-1.3793103448275814</v>
      </c>
      <c r="AK320" s="34">
        <f t="shared" si="100"/>
        <v>-2.9999999999999357E-2</v>
      </c>
      <c r="AL320" s="34">
        <f t="shared" si="101"/>
        <v>1.100000000000001</v>
      </c>
      <c r="AM320" s="34">
        <f t="shared" si="102"/>
        <v>0</v>
      </c>
      <c r="AN320" s="34">
        <f t="shared" si="103"/>
        <v>-2.9514175000000007</v>
      </c>
      <c r="AO320" s="34">
        <f t="shared" si="104"/>
        <v>-1.5023206561289371</v>
      </c>
      <c r="AQ320" s="34">
        <f t="shared" si="105"/>
        <v>5.5021148592607059</v>
      </c>
      <c r="AR320" s="34">
        <f t="shared" si="106"/>
        <v>6.8814252040882877</v>
      </c>
      <c r="AT320" s="34" t="str">
        <f t="shared" si="107"/>
        <v>45551B</v>
      </c>
    </row>
    <row r="321" spans="1:46" s="34" customFormat="1" x14ac:dyDescent="0.3">
      <c r="A321" s="31">
        <v>45551</v>
      </c>
      <c r="B321" s="32" t="s">
        <v>20</v>
      </c>
      <c r="C321" s="33">
        <v>8.2840000000000007</v>
      </c>
      <c r="D321" s="33">
        <v>37.555555555555557</v>
      </c>
      <c r="E321" s="33">
        <v>27.344444444444441</v>
      </c>
      <c r="F321" s="33">
        <v>55.87</v>
      </c>
      <c r="G321" s="33">
        <v>4</v>
      </c>
      <c r="H321" s="33">
        <v>3.64</v>
      </c>
      <c r="I321" s="33">
        <v>140.44444444444451</v>
      </c>
      <c r="J321" s="33">
        <v>10.282400649033381</v>
      </c>
      <c r="K321" s="33">
        <v>5.0740825571260273E-3</v>
      </c>
      <c r="L321" s="33">
        <v>5.2173749778641643E-2</v>
      </c>
      <c r="M321" s="33">
        <v>13.322097332912151</v>
      </c>
      <c r="N321" s="6">
        <v>2.074858438473318</v>
      </c>
      <c r="O321" s="33">
        <v>5225</v>
      </c>
      <c r="P321" s="33">
        <v>120.31774322329569</v>
      </c>
      <c r="Q321" s="33">
        <v>24453.68</v>
      </c>
      <c r="R321" s="33">
        <v>10677.677</v>
      </c>
      <c r="S321" s="33">
        <v>13.316815517175611</v>
      </c>
      <c r="T321" s="33">
        <f t="shared" si="93"/>
        <v>7.3665226170612348</v>
      </c>
      <c r="U321" s="33">
        <f>VLOOKUP($AT321,kkk,U$4,0)</f>
        <v>7.61</v>
      </c>
      <c r="V321" s="33">
        <f t="shared" si="94"/>
        <v>6.6768674446474439</v>
      </c>
      <c r="W321" s="33">
        <f t="shared" si="95"/>
        <v>8.0561777894750257</v>
      </c>
      <c r="X321" s="33" t="e">
        <f t="shared" si="110"/>
        <v>#N/A</v>
      </c>
      <c r="Y321" s="33" t="e">
        <f t="shared" si="111"/>
        <v>#N/A</v>
      </c>
      <c r="Z321" s="33">
        <f>VLOOKUP($AT321,kkk,Z$4,0)</f>
        <v>8.1999999999999993</v>
      </c>
      <c r="AA321" s="33">
        <f>VLOOKUP($AT321,kkk,AA$4,0)</f>
        <v>25.9</v>
      </c>
      <c r="AB321" s="33">
        <f>VLOOKUP($AT321,kkk,AB$4,0)</f>
        <v>3.46</v>
      </c>
      <c r="AC321" s="33">
        <f>VLOOKUP($AT321,kkk,AC$4,0)</f>
        <v>4.1399999999999997</v>
      </c>
      <c r="AG321" s="34">
        <f t="shared" si="96"/>
        <v>-2.680000000000007E-2</v>
      </c>
      <c r="AH321" s="34">
        <f t="shared" si="97"/>
        <v>0</v>
      </c>
      <c r="AI321" s="34">
        <f t="shared" si="98"/>
        <v>-0.9453703703703672</v>
      </c>
      <c r="AJ321" s="34">
        <f t="shared" si="99"/>
        <v>-1.3793103448275814</v>
      </c>
      <c r="AK321" s="34">
        <f t="shared" si="100"/>
        <v>-0.56999999999999973</v>
      </c>
      <c r="AL321" s="34">
        <f t="shared" si="101"/>
        <v>1.2000000000000011</v>
      </c>
      <c r="AM321" s="34">
        <f t="shared" si="102"/>
        <v>0</v>
      </c>
      <c r="AN321" s="34">
        <f t="shared" si="103"/>
        <v>-1.1536575000000002</v>
      </c>
      <c r="AO321" s="34">
        <f t="shared" si="104"/>
        <v>-2.1048012980667608</v>
      </c>
      <c r="AQ321" s="34">
        <f t="shared" si="105"/>
        <v>6.6768674446474439</v>
      </c>
      <c r="AR321" s="34">
        <f t="shared" si="106"/>
        <v>8.0561777894750257</v>
      </c>
      <c r="AT321" s="34" t="str">
        <f t="shared" si="107"/>
        <v>45551C</v>
      </c>
    </row>
    <row r="322" spans="1:46" s="34" customFormat="1" x14ac:dyDescent="0.3">
      <c r="A322" s="31">
        <v>45551</v>
      </c>
      <c r="B322" s="32" t="s">
        <v>21</v>
      </c>
      <c r="C322" s="33">
        <v>8.3857142857142843</v>
      </c>
      <c r="D322" s="33">
        <v>38.1</v>
      </c>
      <c r="E322" s="33">
        <v>27.711111111111109</v>
      </c>
      <c r="F322" s="33">
        <v>56.383333333333333</v>
      </c>
      <c r="G322" s="33">
        <v>4</v>
      </c>
      <c r="H322" s="33">
        <v>3.657777777777778</v>
      </c>
      <c r="I322" s="33">
        <v>144.2222222222222</v>
      </c>
      <c r="J322" s="33">
        <v>9.688676163406484</v>
      </c>
      <c r="K322" s="33">
        <v>5.7328929017465696E-3</v>
      </c>
      <c r="L322" s="33">
        <v>5.5544142804514217E-2</v>
      </c>
      <c r="M322" s="33">
        <v>13.32379034556088</v>
      </c>
      <c r="N322" s="6">
        <v>2.7340070835405972</v>
      </c>
      <c r="O322" s="33">
        <v>5225</v>
      </c>
      <c r="P322" s="33">
        <v>120.33291482412351</v>
      </c>
      <c r="Q322" s="33">
        <v>28232.0864</v>
      </c>
      <c r="R322" s="33">
        <v>10606.9992772327</v>
      </c>
      <c r="S322" s="33">
        <v>13.316815311409741</v>
      </c>
      <c r="T322" s="33">
        <f t="shared" si="93"/>
        <v>8.3395924261761358</v>
      </c>
      <c r="U322" s="33" t="e">
        <f>VLOOKUP($AT322,kkk,U$4,0)</f>
        <v>#N/A</v>
      </c>
      <c r="V322" s="33">
        <f t="shared" si="94"/>
        <v>7.2074085181301601</v>
      </c>
      <c r="W322" s="33">
        <f t="shared" si="95"/>
        <v>9.4717763342221133</v>
      </c>
      <c r="X322" s="33" t="e">
        <f t="shared" si="110"/>
        <v>#N/A</v>
      </c>
      <c r="Y322" s="33" t="e">
        <f t="shared" si="111"/>
        <v>#N/A</v>
      </c>
      <c r="Z322" s="33" t="e">
        <f>VLOOKUP($AT322,kkk,Z$4,0)</f>
        <v>#N/A</v>
      </c>
      <c r="AA322" s="33" t="e">
        <f>VLOOKUP($AT322,kkk,AA$4,0)</f>
        <v>#N/A</v>
      </c>
      <c r="AB322" s="33" t="e">
        <f>VLOOKUP($AT322,kkk,AB$4,0)</f>
        <v>#N/A</v>
      </c>
      <c r="AC322" s="33" t="e">
        <f>VLOOKUP($AT322,kkk,AC$4,0)</f>
        <v>#N/A</v>
      </c>
      <c r="AG322" s="34">
        <f t="shared" si="96"/>
        <v>-4.7142857142856799E-2</v>
      </c>
      <c r="AH322" s="34">
        <f t="shared" si="97"/>
        <v>0</v>
      </c>
      <c r="AI322" s="34">
        <f t="shared" si="98"/>
        <v>-1.2509259259259231</v>
      </c>
      <c r="AJ322" s="34">
        <f t="shared" si="99"/>
        <v>-2.2643678160919527</v>
      </c>
      <c r="AK322" s="34">
        <f t="shared" si="100"/>
        <v>-0.56999999999999973</v>
      </c>
      <c r="AL322" s="34">
        <f t="shared" si="101"/>
        <v>1.2888888888888905</v>
      </c>
      <c r="AM322" s="34">
        <f t="shared" si="102"/>
        <v>0</v>
      </c>
      <c r="AN322" s="34">
        <f t="shared" si="103"/>
        <v>-0.68135670000000026</v>
      </c>
      <c r="AO322" s="34">
        <f t="shared" si="104"/>
        <v>-0.91735232681296708</v>
      </c>
      <c r="AQ322" s="34">
        <f t="shared" si="105"/>
        <v>7.2074085181301601</v>
      </c>
      <c r="AR322" s="34">
        <f t="shared" si="106"/>
        <v>9.4717763342221133</v>
      </c>
      <c r="AT322" s="34" t="str">
        <f t="shared" si="107"/>
        <v>45551D</v>
      </c>
    </row>
    <row r="323" spans="1:46" x14ac:dyDescent="0.3">
      <c r="A323" s="17">
        <v>45552</v>
      </c>
      <c r="B323" s="18" t="s">
        <v>22</v>
      </c>
      <c r="C323" s="6">
        <v>8.3633333333333315</v>
      </c>
      <c r="D323" s="6">
        <v>38.799999999999997</v>
      </c>
      <c r="E323" s="6">
        <v>26.58</v>
      </c>
      <c r="F323" s="6">
        <v>57.405000000000001</v>
      </c>
      <c r="G323" s="6">
        <v>4.28</v>
      </c>
      <c r="H323" s="6">
        <v>3.5533333333333328</v>
      </c>
      <c r="I323" s="6">
        <v>149.66666666666671</v>
      </c>
      <c r="J323" s="6">
        <v>7.5032468465075812</v>
      </c>
      <c r="K323" s="6">
        <v>3.9549308219374206E-3</v>
      </c>
      <c r="L323" s="6">
        <v>2.967482221785759E-2</v>
      </c>
      <c r="M323" s="6">
        <v>19.21568602549678</v>
      </c>
      <c r="N323" s="6">
        <v>3.016973686139659</v>
      </c>
      <c r="O323" s="6">
        <v>5225</v>
      </c>
      <c r="P323" s="6">
        <v>120.47468884952021</v>
      </c>
      <c r="Q323" s="6">
        <v>18281.560000000001</v>
      </c>
      <c r="R323" s="6">
        <v>7238.5479999999998</v>
      </c>
      <c r="S323" s="6">
        <v>13.31681963526894</v>
      </c>
      <c r="T323" s="6">
        <f t="shared" si="93"/>
        <v>15.641573964665525</v>
      </c>
      <c r="U323" s="6">
        <f>VLOOKUP($AT323,kkk,U$4,0)</f>
        <v>14.21</v>
      </c>
      <c r="V323" s="6">
        <f t="shared" si="94"/>
        <v>13.628642930182766</v>
      </c>
      <c r="W323" s="6">
        <f t="shared" si="95"/>
        <v>17.654504999148283</v>
      </c>
      <c r="X323" s="6">
        <f t="shared" si="110"/>
        <v>14.55</v>
      </c>
      <c r="Y323" s="6">
        <f t="shared" si="111"/>
        <v>13.39</v>
      </c>
      <c r="Z323" s="6">
        <f>VLOOKUP($AT323,kkk,Z$4,0)</f>
        <v>8.02</v>
      </c>
      <c r="AA323" s="6">
        <f>VLOOKUP($AT323,kkk,AA$4,0)</f>
        <v>27.38</v>
      </c>
      <c r="AB323" s="6">
        <f>VLOOKUP($AT323,kkk,AB$4,0)</f>
        <v>3.23</v>
      </c>
      <c r="AC323" s="6">
        <f>VLOOKUP($AT323,kkk,AC$4,0)</f>
        <v>4.1399999999999997</v>
      </c>
      <c r="AG323">
        <f t="shared" si="96"/>
        <v>-4.2666666666666235E-2</v>
      </c>
      <c r="AH323">
        <f t="shared" si="97"/>
        <v>0</v>
      </c>
      <c r="AI323">
        <f t="shared" si="98"/>
        <v>-0.30833333333333124</v>
      </c>
      <c r="AJ323">
        <f t="shared" si="99"/>
        <v>-4.0258620689655187</v>
      </c>
      <c r="AK323">
        <f t="shared" si="100"/>
        <v>-1.4100000000000004</v>
      </c>
      <c r="AL323">
        <f t="shared" si="101"/>
        <v>0.76666666666666439</v>
      </c>
      <c r="AM323">
        <f t="shared" si="102"/>
        <v>0</v>
      </c>
      <c r="AN323">
        <f t="shared" si="103"/>
        <v>-1.9251725000000002</v>
      </c>
      <c r="AO323">
        <f t="shared" si="104"/>
        <v>3.4535063069848384</v>
      </c>
      <c r="AQ323">
        <f t="shared" si="105"/>
        <v>13.628642930182766</v>
      </c>
      <c r="AR323">
        <f t="shared" si="106"/>
        <v>17.654504999148283</v>
      </c>
      <c r="AT323" t="str">
        <f t="shared" si="107"/>
        <v>45552A</v>
      </c>
    </row>
    <row r="324" spans="1:46" x14ac:dyDescent="0.3">
      <c r="A324" s="17">
        <v>45552</v>
      </c>
      <c r="B324" s="18" t="s">
        <v>19</v>
      </c>
      <c r="C324" s="6">
        <v>8.0657142857142841</v>
      </c>
      <c r="D324" s="6">
        <v>37.4</v>
      </c>
      <c r="E324" s="6">
        <v>26.513999999999999</v>
      </c>
      <c r="F324" s="6">
        <v>56.774999999999999</v>
      </c>
      <c r="G324" s="6">
        <v>4.28</v>
      </c>
      <c r="H324" s="6">
        <v>3.2719999999999998</v>
      </c>
      <c r="I324" s="6">
        <v>141.4</v>
      </c>
      <c r="J324" s="6">
        <v>7.9390954304401431</v>
      </c>
      <c r="K324" s="6">
        <v>2.282187653623043E-3</v>
      </c>
      <c r="L324" s="6">
        <v>1.8118505572285611E-2</v>
      </c>
      <c r="M324" s="6">
        <v>20.808220273656421</v>
      </c>
      <c r="N324" s="6">
        <v>2.6042284562609389E-3</v>
      </c>
      <c r="O324" s="6">
        <v>5225</v>
      </c>
      <c r="P324" s="6">
        <v>103.7368946557278</v>
      </c>
      <c r="Q324" s="6">
        <v>10669.72</v>
      </c>
      <c r="R324" s="6">
        <v>10346.12556</v>
      </c>
      <c r="S324" s="6">
        <v>17.906573266066051</v>
      </c>
      <c r="T324" s="6">
        <f t="shared" ref="T324:T338" si="112">AVERAGE(AQ324:AR324)</f>
        <v>15.05033883109305</v>
      </c>
      <c r="U324" s="6">
        <f>VLOOKUP($AT324,kkk,U$4,0)</f>
        <v>16.16</v>
      </c>
      <c r="V324" s="6">
        <f t="shared" ref="V324:V338" si="113">M324+SUM(AG324:AO324)+$T$1+R324/$Z$1</f>
        <v>13.580511244886155</v>
      </c>
      <c r="W324" s="6">
        <f t="shared" ref="W324:W338" si="114">M324+SUM(AG324:AO324)+$T$1+R324/$Z$1-AJ324-AM324</f>
        <v>16.520166417299947</v>
      </c>
      <c r="X324" s="6">
        <f t="shared" si="110"/>
        <v>18.72</v>
      </c>
      <c r="Y324" s="6">
        <f t="shared" si="111"/>
        <v>18</v>
      </c>
      <c r="Z324" s="6">
        <f>VLOOKUP($AT324,kkk,Z$4,0)</f>
        <v>7.75</v>
      </c>
      <c r="AA324" s="6">
        <f>VLOOKUP($AT324,kkk,AA$4,0)</f>
        <v>25.94</v>
      </c>
      <c r="AB324" s="6">
        <f>VLOOKUP($AT324,kkk,AB$4,0)</f>
        <v>3.19</v>
      </c>
      <c r="AC324" s="6">
        <f>VLOOKUP($AT324,kkk,AC$4,0)</f>
        <v>3.81</v>
      </c>
      <c r="AG324">
        <f t="shared" ref="AG324:AG341" si="115">C$3*(C$1-C324)/C$2</f>
        <v>1.6857142857143261E-2</v>
      </c>
      <c r="AH324">
        <f t="shared" ref="AH324:AH341" si="116">D$3*(D$1-D324)/D$2</f>
        <v>0</v>
      </c>
      <c r="AI324">
        <f t="shared" ref="AI324:AI341" si="117">E$3*(E$1-E324)/E$2</f>
        <v>-0.25333333333333208</v>
      </c>
      <c r="AJ324">
        <f t="shared" ref="AJ324:AJ341" si="118">F$3*(F$1-F324)/F$2</f>
        <v>-2.9396551724137905</v>
      </c>
      <c r="AK324">
        <f t="shared" ref="AK324:AK341" si="119">G$3*(G$1-G324)/G$2</f>
        <v>-1.4100000000000004</v>
      </c>
      <c r="AL324">
        <f t="shared" ref="AL324:AL341" si="120">H$3*(H$1-H324)/H$2</f>
        <v>-0.64000000000000068</v>
      </c>
      <c r="AM324">
        <f t="shared" ref="AM324:AM341" si="121">I$3*(I$1-I324)/I$2</f>
        <v>0</v>
      </c>
      <c r="AN324">
        <f t="shared" ref="AN324:AN341" si="122">(Q324-$M$1)/$M$2</f>
        <v>-2.8766525000000001</v>
      </c>
      <c r="AO324">
        <f t="shared" ref="AO324:AO341" si="123">(J324-$Q$1)/$Q$2</f>
        <v>2.5818091391197147</v>
      </c>
      <c r="AQ324">
        <f t="shared" ref="AQ324:AQ341" si="124">M324+SUM(AG324:AO324)+$T$1+R324/$Z$1</f>
        <v>13.580511244886155</v>
      </c>
      <c r="AR324">
        <f t="shared" ref="AR324:AR341" si="125">M324+SUM(AG324:AO324)+$T$1+R324/$Z$1-AJ324-AM324</f>
        <v>16.520166417299947</v>
      </c>
      <c r="AT324" t="str">
        <f t="shared" ref="AT324:AT341" si="126">A324&amp;B324</f>
        <v>45552B</v>
      </c>
    </row>
    <row r="325" spans="1:46" x14ac:dyDescent="0.3">
      <c r="A325" s="17">
        <v>45552</v>
      </c>
      <c r="B325" s="18" t="s">
        <v>20</v>
      </c>
      <c r="C325" s="6">
        <v>7.9433333333333316</v>
      </c>
      <c r="D325" s="6">
        <v>37.299999999999997</v>
      </c>
      <c r="E325" s="6">
        <v>26.952999999999999</v>
      </c>
      <c r="F325" s="6">
        <v>56.15</v>
      </c>
      <c r="G325" s="6">
        <v>3.91</v>
      </c>
      <c r="H325" s="6">
        <v>3.23</v>
      </c>
      <c r="I325" s="6">
        <v>141.1</v>
      </c>
      <c r="J325" s="6">
        <v>8.4154556958991442</v>
      </c>
      <c r="K325" s="6">
        <v>4.0497896742020768E-3</v>
      </c>
      <c r="L325" s="6">
        <v>3.4080825580957402E-2</v>
      </c>
      <c r="M325" s="6">
        <v>21.010881373242938</v>
      </c>
      <c r="N325" s="6">
        <v>2.5839771852848568E-3</v>
      </c>
      <c r="O325" s="6">
        <v>5225</v>
      </c>
      <c r="P325" s="6">
        <v>81.283419742236489</v>
      </c>
      <c r="Q325" s="6">
        <v>19907.36</v>
      </c>
      <c r="R325" s="6">
        <v>15536.86</v>
      </c>
      <c r="S325" s="6">
        <v>20.137713865665209</v>
      </c>
      <c r="T325" s="6">
        <f t="shared" si="112"/>
        <v>17.201262165352698</v>
      </c>
      <c r="U325" s="6">
        <f>VLOOKUP($AT325,kkk,U$4,0)</f>
        <v>20.32</v>
      </c>
      <c r="V325" s="6">
        <f t="shared" si="113"/>
        <v>16.270227682594079</v>
      </c>
      <c r="W325" s="6">
        <f t="shared" si="114"/>
        <v>18.132296648111318</v>
      </c>
      <c r="X325" s="6" t="e">
        <f t="shared" si="110"/>
        <v>#N/A</v>
      </c>
      <c r="Y325" s="6" t="e">
        <f t="shared" si="111"/>
        <v>#N/A</v>
      </c>
      <c r="Z325" s="6">
        <f>VLOOKUP($AT325,kkk,Z$4,0)</f>
        <v>7.8</v>
      </c>
      <c r="AA325" s="6">
        <f>VLOOKUP($AT325,kkk,AA$4,0)</f>
        <v>26.5</v>
      </c>
      <c r="AB325" s="6">
        <f>VLOOKUP($AT325,kkk,AB$4,0)</f>
        <v>3.2</v>
      </c>
      <c r="AC325" s="6">
        <f>VLOOKUP($AT325,kkk,AC$4,0)</f>
        <v>3.81</v>
      </c>
      <c r="AG325">
        <f t="shared" si="115"/>
        <v>4.1333333333333756E-2</v>
      </c>
      <c r="AH325">
        <f t="shared" si="116"/>
        <v>0</v>
      </c>
      <c r="AI325">
        <f t="shared" si="117"/>
        <v>-0.61916666666666553</v>
      </c>
      <c r="AJ325">
        <f t="shared" si="118"/>
        <v>-1.8620689655172384</v>
      </c>
      <c r="AK325">
        <f t="shared" si="119"/>
        <v>-0.30000000000000027</v>
      </c>
      <c r="AL325">
        <f t="shared" si="120"/>
        <v>-0.84999999999999964</v>
      </c>
      <c r="AM325">
        <f t="shared" si="121"/>
        <v>0</v>
      </c>
      <c r="AN325">
        <f t="shared" si="122"/>
        <v>-1.7219475000000002</v>
      </c>
      <c r="AO325">
        <f t="shared" si="123"/>
        <v>1.6290886082017124</v>
      </c>
      <c r="AQ325">
        <f t="shared" si="124"/>
        <v>16.270227682594079</v>
      </c>
      <c r="AR325">
        <f t="shared" si="125"/>
        <v>18.132296648111318</v>
      </c>
      <c r="AT325" t="str">
        <f t="shared" si="126"/>
        <v>45552C</v>
      </c>
    </row>
    <row r="326" spans="1:46" x14ac:dyDescent="0.3">
      <c r="A326" s="17">
        <v>45552</v>
      </c>
      <c r="B326" s="18" t="s">
        <v>21</v>
      </c>
      <c r="C326" s="6">
        <v>7.8542857142857141</v>
      </c>
      <c r="D326" s="6">
        <v>37.799999999999997</v>
      </c>
      <c r="E326" s="6">
        <v>26.82</v>
      </c>
      <c r="F326" s="6">
        <v>56.08</v>
      </c>
      <c r="G326" s="6">
        <v>3.91</v>
      </c>
      <c r="H326" s="6">
        <v>3.1960000000000002</v>
      </c>
      <c r="I326" s="6">
        <v>144.80000000000001</v>
      </c>
      <c r="J326" s="6">
        <v>7.7893722708982454</v>
      </c>
      <c r="K326" s="6">
        <v>5.5154570089895423E-3</v>
      </c>
      <c r="L326" s="6">
        <v>4.2961947887154517E-2</v>
      </c>
      <c r="M326" s="6">
        <v>24.443362738115461</v>
      </c>
      <c r="N326" s="6">
        <v>2.5856514406539521E-3</v>
      </c>
      <c r="O326" s="6">
        <v>5225</v>
      </c>
      <c r="P326" s="6">
        <v>81.336603177884456</v>
      </c>
      <c r="Q326" s="6">
        <v>27877.440059553352</v>
      </c>
      <c r="R326" s="6">
        <v>16004.89633935957</v>
      </c>
      <c r="S326" s="6">
        <v>22.90082186545413</v>
      </c>
      <c r="T326" s="6">
        <f t="shared" si="112"/>
        <v>22.9596626148202</v>
      </c>
      <c r="U326" s="6" t="e">
        <f>VLOOKUP($AT326,kkk,U$4,0)</f>
        <v>#N/A</v>
      </c>
      <c r="V326" s="6">
        <f t="shared" si="113"/>
        <v>22.088972959647787</v>
      </c>
      <c r="W326" s="6">
        <f t="shared" si="114"/>
        <v>23.830352269992613</v>
      </c>
      <c r="X326" s="6" t="e">
        <f t="shared" si="110"/>
        <v>#N/A</v>
      </c>
      <c r="Y326" s="6" t="e">
        <f t="shared" si="111"/>
        <v>#N/A</v>
      </c>
      <c r="Z326" s="6" t="e">
        <f>VLOOKUP($AT326,kkk,Z$4,0)</f>
        <v>#N/A</v>
      </c>
      <c r="AA326" s="6" t="e">
        <f>VLOOKUP($AT326,kkk,AA$4,0)</f>
        <v>#N/A</v>
      </c>
      <c r="AB326" s="6" t="e">
        <f>VLOOKUP($AT326,kkk,AB$4,0)</f>
        <v>#N/A</v>
      </c>
      <c r="AC326" s="6" t="e">
        <f>VLOOKUP($AT326,kkk,AC$4,0)</f>
        <v>#N/A</v>
      </c>
      <c r="AG326">
        <f t="shared" si="115"/>
        <v>5.9142857142857254E-2</v>
      </c>
      <c r="AH326">
        <f t="shared" si="116"/>
        <v>0</v>
      </c>
      <c r="AI326">
        <f t="shared" si="117"/>
        <v>-0.50833333333333286</v>
      </c>
      <c r="AJ326">
        <f t="shared" si="118"/>
        <v>-1.7413793103448243</v>
      </c>
      <c r="AK326">
        <f t="shared" si="119"/>
        <v>-0.30000000000000027</v>
      </c>
      <c r="AL326">
        <f t="shared" si="120"/>
        <v>-1.0199999999999987</v>
      </c>
      <c r="AM326">
        <f t="shared" si="121"/>
        <v>0</v>
      </c>
      <c r="AN326">
        <f t="shared" si="122"/>
        <v>-0.72568749255583131</v>
      </c>
      <c r="AO326">
        <f t="shared" si="123"/>
        <v>2.8812554582035101</v>
      </c>
      <c r="AQ326">
        <f t="shared" si="124"/>
        <v>22.088972959647787</v>
      </c>
      <c r="AR326">
        <f t="shared" si="125"/>
        <v>23.830352269992613</v>
      </c>
      <c r="AT326" t="str">
        <f t="shared" si="126"/>
        <v>45552D</v>
      </c>
    </row>
    <row r="327" spans="1:46" s="34" customFormat="1" x14ac:dyDescent="0.3">
      <c r="A327" s="31">
        <v>45553</v>
      </c>
      <c r="B327" s="32" t="s">
        <v>22</v>
      </c>
      <c r="C327" s="33">
        <v>7.8039999999999994</v>
      </c>
      <c r="D327" s="33">
        <v>39.142857142857153</v>
      </c>
      <c r="E327" s="33">
        <v>25.49428571428572</v>
      </c>
      <c r="F327" s="33">
        <v>56.01</v>
      </c>
      <c r="G327" s="33">
        <v>3.61</v>
      </c>
      <c r="H327" s="33">
        <v>3.2171428571428571</v>
      </c>
      <c r="I327" s="33">
        <v>152.28571428571431</v>
      </c>
      <c r="J327" s="33">
        <v>8.5264986242108876</v>
      </c>
      <c r="K327" s="33">
        <v>1.274688773383839E-2</v>
      </c>
      <c r="L327" s="33">
        <v>0.1086863207255437</v>
      </c>
      <c r="M327" s="33">
        <v>27.04768151796678</v>
      </c>
      <c r="N327" s="6">
        <v>2.587005796275299E-3</v>
      </c>
      <c r="O327" s="33">
        <v>5225</v>
      </c>
      <c r="P327" s="33">
        <v>81.376955281942429</v>
      </c>
      <c r="Q327" s="33">
        <v>50514.456800000007</v>
      </c>
      <c r="R327" s="33">
        <v>10726.474</v>
      </c>
      <c r="S327" s="33">
        <v>26.700216866203409</v>
      </c>
      <c r="T327" s="33">
        <f t="shared" si="112"/>
        <v>28.440431149101656</v>
      </c>
      <c r="U327" s="33">
        <f>VLOOKUP($AT327,kkk,U$4,0)</f>
        <v>26.84</v>
      </c>
      <c r="V327" s="33">
        <f t="shared" si="113"/>
        <v>27.630086321515449</v>
      </c>
      <c r="W327" s="33">
        <f t="shared" si="114"/>
        <v>29.250775976687859</v>
      </c>
      <c r="X327" s="33">
        <f t="shared" si="110"/>
        <v>25.85</v>
      </c>
      <c r="Y327" s="33">
        <f t="shared" si="111"/>
        <v>25</v>
      </c>
      <c r="Z327" s="33">
        <f>VLOOKUP($AT327,kkk,Z$4,0)</f>
        <v>8.07</v>
      </c>
      <c r="AA327" s="33">
        <f>VLOOKUP($AT327,kkk,AA$4,0)</f>
        <v>27.33</v>
      </c>
      <c r="AB327" s="33">
        <f>VLOOKUP($AT327,kkk,AB$4,0)</f>
        <v>3.48</v>
      </c>
      <c r="AC327" s="33">
        <f>VLOOKUP($AT327,kkk,AC$4,0)</f>
        <v>3.81</v>
      </c>
      <c r="AG327" s="34">
        <f t="shared" si="115"/>
        <v>6.9200000000000192E-2</v>
      </c>
      <c r="AH327" s="34">
        <f t="shared" si="116"/>
        <v>0</v>
      </c>
      <c r="AI327" s="34">
        <f t="shared" si="117"/>
        <v>0.59642857142856742</v>
      </c>
      <c r="AJ327" s="34">
        <f t="shared" si="118"/>
        <v>-1.6206896551724099</v>
      </c>
      <c r="AK327" s="34">
        <f t="shared" si="119"/>
        <v>0.60000000000000053</v>
      </c>
      <c r="AL327" s="34">
        <f t="shared" si="120"/>
        <v>-0.91428571428571415</v>
      </c>
      <c r="AM327" s="34">
        <f t="shared" si="121"/>
        <v>0</v>
      </c>
      <c r="AN327" s="34">
        <f t="shared" si="122"/>
        <v>2.1039396000000008</v>
      </c>
      <c r="AO327" s="34">
        <f t="shared" si="123"/>
        <v>1.4070027515782257</v>
      </c>
      <c r="AQ327" s="34">
        <f t="shared" si="124"/>
        <v>27.630086321515449</v>
      </c>
      <c r="AR327" s="34">
        <f t="shared" si="125"/>
        <v>29.250775976687859</v>
      </c>
      <c r="AT327" s="34" t="str">
        <f t="shared" si="126"/>
        <v>45553A</v>
      </c>
    </row>
    <row r="328" spans="1:46" s="34" customFormat="1" x14ac:dyDescent="0.3">
      <c r="A328" s="31">
        <v>45553</v>
      </c>
      <c r="B328" s="32" t="s">
        <v>19</v>
      </c>
      <c r="C328" s="33">
        <v>7.95</v>
      </c>
      <c r="D328" s="33">
        <v>37.666666666666657</v>
      </c>
      <c r="E328" s="33">
        <v>27.311666666666671</v>
      </c>
      <c r="F328" s="33">
        <v>54.87</v>
      </c>
      <c r="G328" s="33">
        <v>3.61</v>
      </c>
      <c r="H328" s="33">
        <v>3.4033333333333342</v>
      </c>
      <c r="I328" s="33">
        <v>149.33333333333329</v>
      </c>
      <c r="J328" s="33">
        <v>11.72223970206942</v>
      </c>
      <c r="K328" s="33">
        <v>1.0097197104746479E-2</v>
      </c>
      <c r="L328" s="33">
        <v>0.11836176478087961</v>
      </c>
      <c r="M328" s="33">
        <v>16.67283455165547</v>
      </c>
      <c r="N328" s="6">
        <v>2.582127872217756E-3</v>
      </c>
      <c r="O328" s="33">
        <v>5225</v>
      </c>
      <c r="P328" s="33">
        <v>81.868612902419912</v>
      </c>
      <c r="Q328" s="33">
        <v>33653.120000000003</v>
      </c>
      <c r="R328" s="33">
        <v>8833.9689444444448</v>
      </c>
      <c r="S328" s="33">
        <v>17.992097130695779</v>
      </c>
      <c r="T328" s="33">
        <f t="shared" si="112"/>
        <v>9.6998986697867515</v>
      </c>
      <c r="U328" s="33">
        <f>VLOOKUP($AT328,kkk,U$4,0)</f>
        <v>22.15</v>
      </c>
      <c r="V328" s="33">
        <f t="shared" si="113"/>
        <v>9.8723124628902035</v>
      </c>
      <c r="W328" s="33">
        <f t="shared" si="114"/>
        <v>9.5274848766833014</v>
      </c>
      <c r="X328" s="33">
        <f t="shared" si="110"/>
        <v>7.56</v>
      </c>
      <c r="Y328" s="33">
        <f t="shared" si="111"/>
        <v>7.48</v>
      </c>
      <c r="Z328" s="33">
        <f>VLOOKUP($AT328,kkk,Z$4,0)</f>
        <v>8</v>
      </c>
      <c r="AA328" s="33">
        <f>VLOOKUP($AT328,kkk,AA$4,0)</f>
        <v>28.05</v>
      </c>
      <c r="AB328" s="33">
        <f>VLOOKUP($AT328,kkk,AB$4,0)</f>
        <v>3.57</v>
      </c>
      <c r="AC328" s="33">
        <f>VLOOKUP($AT328,kkk,AC$4,0)</f>
        <v>3.95</v>
      </c>
      <c r="AG328" s="34">
        <f t="shared" si="115"/>
        <v>4.0000000000000036E-2</v>
      </c>
      <c r="AH328" s="34">
        <f t="shared" si="116"/>
        <v>0</v>
      </c>
      <c r="AI328" s="34">
        <f t="shared" si="117"/>
        <v>-0.91805555555555851</v>
      </c>
      <c r="AJ328" s="34">
        <f t="shared" si="118"/>
        <v>0.34482758620690146</v>
      </c>
      <c r="AK328" s="34">
        <f t="shared" si="119"/>
        <v>0.60000000000000053</v>
      </c>
      <c r="AL328" s="34">
        <f t="shared" si="120"/>
        <v>1.6666666666671492E-2</v>
      </c>
      <c r="AM328" s="34">
        <f t="shared" si="121"/>
        <v>0</v>
      </c>
      <c r="AN328" s="34">
        <f t="shared" si="122"/>
        <v>-3.7274999999999635E-3</v>
      </c>
      <c r="AO328" s="34">
        <f t="shared" si="123"/>
        <v>-4.9844794041388383</v>
      </c>
      <c r="AQ328" s="34">
        <f t="shared" si="124"/>
        <v>9.8723124628902035</v>
      </c>
      <c r="AR328" s="34">
        <f t="shared" si="125"/>
        <v>9.5274848766833014</v>
      </c>
      <c r="AT328" s="34" t="str">
        <f t="shared" si="126"/>
        <v>45553B</v>
      </c>
    </row>
    <row r="329" spans="1:46" s="34" customFormat="1" x14ac:dyDescent="0.3">
      <c r="A329" s="31">
        <v>45553</v>
      </c>
      <c r="B329" s="32" t="s">
        <v>20</v>
      </c>
      <c r="C329" s="33">
        <v>7.9599999999999991</v>
      </c>
      <c r="D329" s="33">
        <v>37.625</v>
      </c>
      <c r="E329" s="33">
        <v>27.233750000000001</v>
      </c>
      <c r="F329" s="33">
        <v>54.87</v>
      </c>
      <c r="G329" s="33">
        <v>3.61</v>
      </c>
      <c r="H329" s="33">
        <v>3.43</v>
      </c>
      <c r="I329" s="33">
        <v>147.875</v>
      </c>
      <c r="J329" s="33">
        <v>11.085855549235079</v>
      </c>
      <c r="K329" s="33">
        <v>4.5706143310248314E-3</v>
      </c>
      <c r="L329" s="33">
        <v>5.0669170245005023E-2</v>
      </c>
      <c r="M329" s="33">
        <v>14.84155579681301</v>
      </c>
      <c r="N329" s="6">
        <v>2.5836284467453991E-3</v>
      </c>
      <c r="O329" s="33">
        <v>5225</v>
      </c>
      <c r="P329" s="33">
        <v>86.733195638181954</v>
      </c>
      <c r="Q329" s="33">
        <v>20130.759999999998</v>
      </c>
      <c r="R329" s="33">
        <v>13213.558000000001</v>
      </c>
      <c r="S329" s="33">
        <v>16.362191054001251</v>
      </c>
      <c r="T329" s="33">
        <f t="shared" si="112"/>
        <v>8.1948057414463058</v>
      </c>
      <c r="U329" s="33">
        <f>VLOOKUP($AT329,kkk,U$4,0)</f>
        <v>7.5</v>
      </c>
      <c r="V329" s="33">
        <f t="shared" si="113"/>
        <v>8.367219534549756</v>
      </c>
      <c r="W329" s="33">
        <f t="shared" si="114"/>
        <v>8.0223919483428539</v>
      </c>
      <c r="X329" s="33" t="e">
        <f t="shared" si="110"/>
        <v>#N/A</v>
      </c>
      <c r="Y329" s="33" t="e">
        <f t="shared" si="111"/>
        <v>#N/A</v>
      </c>
      <c r="Z329" s="33">
        <f>VLOOKUP($AT329,kkk,Z$4,0)</f>
        <v>8.6</v>
      </c>
      <c r="AA329" s="33">
        <f>VLOOKUP($AT329,kkk,AA$4,0)</f>
        <v>27.38</v>
      </c>
      <c r="AB329" s="33">
        <f>VLOOKUP($AT329,kkk,AB$4,0)</f>
        <v>3.65</v>
      </c>
      <c r="AC329" s="33">
        <f>VLOOKUP($AT329,kkk,AC$4,0)</f>
        <v>3.78</v>
      </c>
      <c r="AG329" s="34">
        <f t="shared" si="115"/>
        <v>3.8000000000000256E-2</v>
      </c>
      <c r="AH329" s="34">
        <f t="shared" si="116"/>
        <v>0</v>
      </c>
      <c r="AI329" s="34">
        <f t="shared" si="117"/>
        <v>-0.8531249999999998</v>
      </c>
      <c r="AJ329" s="34">
        <f t="shared" si="118"/>
        <v>0.34482758620690146</v>
      </c>
      <c r="AK329" s="34">
        <f t="shared" si="119"/>
        <v>0.60000000000000053</v>
      </c>
      <c r="AL329" s="34">
        <f t="shared" si="120"/>
        <v>0.15000000000000127</v>
      </c>
      <c r="AM329" s="34">
        <f t="shared" si="121"/>
        <v>0</v>
      </c>
      <c r="AN329" s="34">
        <f t="shared" si="122"/>
        <v>-1.6940225000000004</v>
      </c>
      <c r="AO329" s="34">
        <f t="shared" si="123"/>
        <v>-3.7117110984701576</v>
      </c>
      <c r="AQ329" s="34">
        <f t="shared" si="124"/>
        <v>8.367219534549756</v>
      </c>
      <c r="AR329" s="34">
        <f t="shared" si="125"/>
        <v>8.0223919483428539</v>
      </c>
      <c r="AT329" s="34" t="str">
        <f t="shared" si="126"/>
        <v>45553C</v>
      </c>
    </row>
    <row r="330" spans="1:46" s="34" customFormat="1" x14ac:dyDescent="0.3">
      <c r="A330" s="31">
        <v>45553</v>
      </c>
      <c r="B330" s="32" t="s">
        <v>21</v>
      </c>
      <c r="C330" s="33">
        <v>8.2825000000000006</v>
      </c>
      <c r="D330" s="33">
        <v>37.700000000000003</v>
      </c>
      <c r="E330" s="33">
        <v>27.77</v>
      </c>
      <c r="F330" s="33">
        <v>55.316666666666663</v>
      </c>
      <c r="G330" s="33">
        <v>3.61</v>
      </c>
      <c r="H330" s="33">
        <v>3.5179999999999998</v>
      </c>
      <c r="I330" s="33">
        <v>149.19999999999999</v>
      </c>
      <c r="J330" s="33">
        <v>10.90785526587263</v>
      </c>
      <c r="K330" s="33">
        <v>3.438923224672207E-3</v>
      </c>
      <c r="L330" s="33">
        <v>3.7511276805172411E-2</v>
      </c>
      <c r="M330" s="33">
        <v>13.2971882431355</v>
      </c>
      <c r="N330" s="6">
        <v>3.834294634386568</v>
      </c>
      <c r="O330" s="33">
        <v>5225</v>
      </c>
      <c r="P330" s="33">
        <v>108.55527501638539</v>
      </c>
      <c r="Q330" s="33">
        <v>16253.72208530806</v>
      </c>
      <c r="R330" s="33">
        <v>14514.74984080397</v>
      </c>
      <c r="S330" s="33">
        <v>13.28568535376122</v>
      </c>
      <c r="T330" s="33">
        <f t="shared" si="112"/>
        <v>6.2280255239933293</v>
      </c>
      <c r="U330" s="33" t="e">
        <f>VLOOKUP($AT330,kkk,U$4,0)</f>
        <v>#N/A</v>
      </c>
      <c r="V330" s="33">
        <f t="shared" si="113"/>
        <v>6.0153818458324126</v>
      </c>
      <c r="W330" s="33">
        <f t="shared" si="114"/>
        <v>6.4406692021542451</v>
      </c>
      <c r="X330" s="33" t="e">
        <f t="shared" si="110"/>
        <v>#N/A</v>
      </c>
      <c r="Y330" s="33" t="e">
        <f t="shared" si="111"/>
        <v>#N/A</v>
      </c>
      <c r="Z330" s="33" t="e">
        <f>VLOOKUP($AT330,kkk,Z$4,0)</f>
        <v>#N/A</v>
      </c>
      <c r="AA330" s="33" t="e">
        <f>VLOOKUP($AT330,kkk,AA$4,0)</f>
        <v>#N/A</v>
      </c>
      <c r="AB330" s="33" t="e">
        <f>VLOOKUP($AT330,kkk,AB$4,0)</f>
        <v>#N/A</v>
      </c>
      <c r="AC330" s="33" t="e">
        <f>VLOOKUP($AT330,kkk,AC$4,0)</f>
        <v>#N/A</v>
      </c>
      <c r="AG330" s="34">
        <f t="shared" si="115"/>
        <v>-2.6500000000000058E-2</v>
      </c>
      <c r="AH330" s="34">
        <f t="shared" si="116"/>
        <v>0</v>
      </c>
      <c r="AI330" s="34">
        <f t="shared" si="117"/>
        <v>-1.2999999999999989</v>
      </c>
      <c r="AJ330" s="34">
        <f t="shared" si="118"/>
        <v>-0.42528735632183207</v>
      </c>
      <c r="AK330" s="34">
        <f t="shared" si="119"/>
        <v>0.60000000000000053</v>
      </c>
      <c r="AL330" s="34">
        <f t="shared" si="120"/>
        <v>0.58999999999999941</v>
      </c>
      <c r="AM330" s="34">
        <f t="shared" si="121"/>
        <v>0</v>
      </c>
      <c r="AN330" s="34">
        <f t="shared" si="122"/>
        <v>-2.1786522393364929</v>
      </c>
      <c r="AO330" s="34">
        <f t="shared" si="123"/>
        <v>-3.3557105317452596</v>
      </c>
      <c r="AQ330" s="34">
        <f t="shared" si="124"/>
        <v>6.0153818458324126</v>
      </c>
      <c r="AR330" s="34">
        <f t="shared" si="125"/>
        <v>6.4406692021542451</v>
      </c>
      <c r="AT330" s="34" t="str">
        <f t="shared" si="126"/>
        <v>45553D</v>
      </c>
    </row>
    <row r="331" spans="1:46" s="34" customFormat="1" x14ac:dyDescent="0.3">
      <c r="A331" s="31">
        <v>45554</v>
      </c>
      <c r="B331" s="32" t="s">
        <v>22</v>
      </c>
      <c r="C331" s="33">
        <v>8.557500000000001</v>
      </c>
      <c r="D331" s="33">
        <v>38.916666666666657</v>
      </c>
      <c r="E331" s="33">
        <v>27.819166666666661</v>
      </c>
      <c r="F331" s="33">
        <v>56.21</v>
      </c>
      <c r="G331" s="33">
        <v>3.95</v>
      </c>
      <c r="H331" s="33">
        <v>3.6266666666666669</v>
      </c>
      <c r="I331" s="33">
        <v>151.08333333333329</v>
      </c>
      <c r="J331" s="33">
        <v>9.8346011963285669</v>
      </c>
      <c r="K331" s="33">
        <v>9.2613646769797303E-3</v>
      </c>
      <c r="L331" s="33">
        <v>9.1081828131859985E-2</v>
      </c>
      <c r="M331" s="33">
        <v>13.318642425831611</v>
      </c>
      <c r="N331" s="6">
        <v>0.51865428824787951</v>
      </c>
      <c r="O331" s="33">
        <v>5225</v>
      </c>
      <c r="P331" s="33">
        <v>120.2819321704373</v>
      </c>
      <c r="Q331" s="33">
        <v>44188.44</v>
      </c>
      <c r="R331" s="33">
        <v>10197.050999999999</v>
      </c>
      <c r="S331" s="33">
        <v>13.316815366751589</v>
      </c>
      <c r="T331" s="33">
        <f t="shared" si="112"/>
        <v>10.005361398595941</v>
      </c>
      <c r="U331" s="33">
        <f>VLOOKUP($AT331,kkk,U$4,0)</f>
        <v>12.1</v>
      </c>
      <c r="V331" s="33">
        <f t="shared" si="113"/>
        <v>9.0226027779062843</v>
      </c>
      <c r="W331" s="33">
        <f t="shared" si="114"/>
        <v>10.988120019285596</v>
      </c>
      <c r="X331" s="33">
        <f t="shared" si="110"/>
        <v>12.1</v>
      </c>
      <c r="Y331" s="33">
        <f t="shared" si="111"/>
        <v>11.03</v>
      </c>
      <c r="Z331" s="33">
        <f>VLOOKUP($AT331,kkk,Z$4,0)</f>
        <v>8.49</v>
      </c>
      <c r="AA331" s="33">
        <f>VLOOKUP($AT331,kkk,AA$4,0)</f>
        <v>27.27</v>
      </c>
      <c r="AB331" s="33">
        <f>VLOOKUP($AT331,kkk,AB$4,0)</f>
        <v>3.52</v>
      </c>
      <c r="AC331" s="33">
        <f>VLOOKUP($AT331,kkk,AC$4,0)</f>
        <v>3.91</v>
      </c>
      <c r="AG331" s="34">
        <f t="shared" si="115"/>
        <v>-8.1500000000000128E-2</v>
      </c>
      <c r="AH331" s="34">
        <f t="shared" si="116"/>
        <v>0</v>
      </c>
      <c r="AI331" s="34">
        <f t="shared" si="117"/>
        <v>-1.3409722222222165</v>
      </c>
      <c r="AJ331" s="34">
        <f t="shared" si="118"/>
        <v>-1.9655172413793112</v>
      </c>
      <c r="AK331" s="34">
        <f t="shared" si="119"/>
        <v>-0.42000000000000037</v>
      </c>
      <c r="AL331" s="34">
        <f t="shared" si="120"/>
        <v>1.1333333333333351</v>
      </c>
      <c r="AM331" s="34">
        <f t="shared" si="121"/>
        <v>0</v>
      </c>
      <c r="AN331" s="34">
        <f t="shared" si="122"/>
        <v>1.3131875</v>
      </c>
      <c r="AO331" s="34">
        <f t="shared" si="123"/>
        <v>-1.2092023926571329</v>
      </c>
      <c r="AQ331" s="34">
        <f t="shared" si="124"/>
        <v>9.0226027779062843</v>
      </c>
      <c r="AR331" s="34">
        <f t="shared" si="125"/>
        <v>10.988120019285596</v>
      </c>
      <c r="AT331" s="34" t="str">
        <f t="shared" si="126"/>
        <v>45554A</v>
      </c>
    </row>
    <row r="332" spans="1:46" s="34" customFormat="1" x14ac:dyDescent="0.3">
      <c r="A332" s="31">
        <v>45554</v>
      </c>
      <c r="B332" s="32" t="s">
        <v>19</v>
      </c>
      <c r="C332" s="33">
        <v>8.5085714285714289</v>
      </c>
      <c r="D332" s="33">
        <v>37.9</v>
      </c>
      <c r="E332" s="33">
        <v>27.300999999999998</v>
      </c>
      <c r="F332" s="33">
        <v>53.89</v>
      </c>
      <c r="G332" s="33">
        <v>3.91</v>
      </c>
      <c r="H332" s="33">
        <v>3.56</v>
      </c>
      <c r="I332" s="33">
        <v>147.6</v>
      </c>
      <c r="J332" s="33">
        <v>9.4699732840067625</v>
      </c>
      <c r="K332" s="33">
        <v>5.9294016879958217E-3</v>
      </c>
      <c r="L332" s="33">
        <v>5.6151275575465037E-2</v>
      </c>
      <c r="M332" s="33">
        <v>13.316815068064029</v>
      </c>
      <c r="N332" s="6">
        <v>2.599240639256979E-3</v>
      </c>
      <c r="O332" s="33">
        <v>5225</v>
      </c>
      <c r="P332" s="33">
        <v>120.27004309948479</v>
      </c>
      <c r="Q332" s="33">
        <v>27904.522637362639</v>
      </c>
      <c r="R332" s="33">
        <v>10126.359666666671</v>
      </c>
      <c r="S332" s="33">
        <v>13.316815296747929</v>
      </c>
      <c r="T332" s="33">
        <f t="shared" si="112"/>
        <v>10.916721714983563</v>
      </c>
      <c r="U332" s="33">
        <f>VLOOKUP($AT332,kkk,U$4,0)</f>
        <v>13.63</v>
      </c>
      <c r="V332" s="33">
        <f t="shared" si="113"/>
        <v>11.933963094293908</v>
      </c>
      <c r="W332" s="33">
        <f t="shared" si="114"/>
        <v>9.8994803356732195</v>
      </c>
      <c r="X332" s="33">
        <f t="shared" si="110"/>
        <v>13.63</v>
      </c>
      <c r="Y332" s="33">
        <f t="shared" si="111"/>
        <v>14.43</v>
      </c>
      <c r="Z332" s="33">
        <f>VLOOKUP($AT332,kkk,Z$4,0)</f>
        <v>8.27</v>
      </c>
      <c r="AA332" s="33">
        <f>VLOOKUP($AT332,kkk,AA$4,0)</f>
        <v>26.65</v>
      </c>
      <c r="AB332" s="33">
        <f>VLOOKUP($AT332,kkk,AB$4,0)</f>
        <v>3.52</v>
      </c>
      <c r="AC332" s="33">
        <f>VLOOKUP($AT332,kkk,AC$4,0)</f>
        <v>3.75</v>
      </c>
      <c r="AG332" s="34">
        <f t="shared" si="115"/>
        <v>-7.1714285714285717E-2</v>
      </c>
      <c r="AH332" s="34">
        <f t="shared" si="116"/>
        <v>0</v>
      </c>
      <c r="AI332" s="34">
        <f t="shared" si="117"/>
        <v>-0.90916666666666468</v>
      </c>
      <c r="AJ332" s="34">
        <f t="shared" si="118"/>
        <v>2.0344827586206891</v>
      </c>
      <c r="AK332" s="34">
        <f t="shared" si="119"/>
        <v>-0.30000000000000027</v>
      </c>
      <c r="AL332" s="34">
        <f t="shared" si="120"/>
        <v>0.80000000000000071</v>
      </c>
      <c r="AM332" s="34">
        <f t="shared" si="121"/>
        <v>0</v>
      </c>
      <c r="AN332" s="34">
        <f t="shared" si="122"/>
        <v>-0.72230217032967037</v>
      </c>
      <c r="AO332" s="34">
        <f t="shared" si="123"/>
        <v>-0.4799465680135242</v>
      </c>
      <c r="AQ332" s="34">
        <f t="shared" si="124"/>
        <v>11.933963094293908</v>
      </c>
      <c r="AR332" s="34">
        <f t="shared" si="125"/>
        <v>9.8994803356732195</v>
      </c>
      <c r="AT332" s="34" t="str">
        <f t="shared" si="126"/>
        <v>45554B</v>
      </c>
    </row>
    <row r="333" spans="1:46" s="34" customFormat="1" x14ac:dyDescent="0.3">
      <c r="A333" s="31">
        <v>45554</v>
      </c>
      <c r="B333" s="32" t="s">
        <v>20</v>
      </c>
      <c r="C333" s="33">
        <v>8.4850000000000012</v>
      </c>
      <c r="D333" s="33">
        <v>37.5</v>
      </c>
      <c r="E333" s="33">
        <v>27.271999999999998</v>
      </c>
      <c r="F333" s="33">
        <v>53.89</v>
      </c>
      <c r="G333" s="33">
        <v>3.91</v>
      </c>
      <c r="H333" s="33">
        <v>3.524</v>
      </c>
      <c r="I333" s="33">
        <v>147.1</v>
      </c>
      <c r="J333" s="33">
        <v>9.0271491168594942</v>
      </c>
      <c r="K333" s="33">
        <v>8.2189285456559097E-3</v>
      </c>
      <c r="L333" s="33">
        <v>7.4193493562449045E-2</v>
      </c>
      <c r="M333" s="33">
        <v>13.316815055692221</v>
      </c>
      <c r="N333" s="6">
        <v>2.5991465868514859E-3</v>
      </c>
      <c r="O333" s="33">
        <v>5225</v>
      </c>
      <c r="P333" s="33">
        <v>120.2700359319559</v>
      </c>
      <c r="Q333" s="33">
        <v>41035.160000000003</v>
      </c>
      <c r="R333" s="33">
        <v>14787.437</v>
      </c>
      <c r="S333" s="33">
        <v>13.29707963600505</v>
      </c>
      <c r="T333" s="33">
        <f t="shared" si="112"/>
        <v>13.87521532628358</v>
      </c>
      <c r="U333" s="33" t="e">
        <f>VLOOKUP($AT333,kkk,U$4,0)</f>
        <v>#N/A</v>
      </c>
      <c r="V333" s="33">
        <f t="shared" si="113"/>
        <v>14.892456705593924</v>
      </c>
      <c r="W333" s="33">
        <f t="shared" si="114"/>
        <v>12.857973946973235</v>
      </c>
      <c r="X333" s="33" t="e">
        <f t="shared" si="110"/>
        <v>#N/A</v>
      </c>
      <c r="Y333" s="33" t="e">
        <f t="shared" si="111"/>
        <v>#N/A</v>
      </c>
      <c r="Z333" s="33" t="e">
        <f>VLOOKUP($AT333,kkk,Z$4,0)</f>
        <v>#N/A</v>
      </c>
      <c r="AA333" s="33" t="e">
        <f>VLOOKUP($AT333,kkk,AA$4,0)</f>
        <v>#N/A</v>
      </c>
      <c r="AB333" s="33" t="e">
        <f>VLOOKUP($AT333,kkk,AB$4,0)</f>
        <v>#N/A</v>
      </c>
      <c r="AC333" s="33" t="e">
        <f>VLOOKUP($AT333,kkk,AC$4,0)</f>
        <v>#N/A</v>
      </c>
      <c r="AG333" s="34">
        <f t="shared" si="115"/>
        <v>-6.7000000000000171E-2</v>
      </c>
      <c r="AH333" s="34">
        <f t="shared" si="116"/>
        <v>0</v>
      </c>
      <c r="AI333" s="34">
        <f t="shared" si="117"/>
        <v>-0.88499999999999801</v>
      </c>
      <c r="AJ333" s="34">
        <f t="shared" si="118"/>
        <v>2.0344827586206891</v>
      </c>
      <c r="AK333" s="34">
        <f t="shared" si="119"/>
        <v>-0.30000000000000027</v>
      </c>
      <c r="AL333" s="34">
        <f t="shared" si="120"/>
        <v>0.62000000000000055</v>
      </c>
      <c r="AM333" s="34">
        <f t="shared" si="121"/>
        <v>0</v>
      </c>
      <c r="AN333" s="34">
        <f t="shared" si="122"/>
        <v>0.91902750000000011</v>
      </c>
      <c r="AO333" s="34">
        <f t="shared" si="123"/>
        <v>0.40570176628101251</v>
      </c>
      <c r="AQ333" s="34">
        <f t="shared" si="124"/>
        <v>14.892456705593924</v>
      </c>
      <c r="AR333" s="34">
        <f t="shared" si="125"/>
        <v>12.857973946973235</v>
      </c>
      <c r="AT333" s="34" t="str">
        <f t="shared" si="126"/>
        <v>45554C</v>
      </c>
    </row>
    <row r="334" spans="1:46" s="34" customFormat="1" x14ac:dyDescent="0.3">
      <c r="A334" s="31">
        <v>45554</v>
      </c>
      <c r="B334" s="32" t="s">
        <v>21</v>
      </c>
      <c r="C334" s="33">
        <v>8.4333333333333336</v>
      </c>
      <c r="D334" s="33">
        <v>37.666666666666657</v>
      </c>
      <c r="E334" s="33">
        <v>27.466666666666669</v>
      </c>
      <c r="F334" s="33">
        <v>54.53</v>
      </c>
      <c r="G334" s="33">
        <v>3.91</v>
      </c>
      <c r="H334" s="33">
        <v>3.5066666666666668</v>
      </c>
      <c r="I334" s="33">
        <v>147.2222222222222</v>
      </c>
      <c r="J334" s="33">
        <v>8.8131093345997087</v>
      </c>
      <c r="K334" s="33">
        <v>1.041903195774508E-2</v>
      </c>
      <c r="L334" s="33">
        <v>9.1824067804295847E-2</v>
      </c>
      <c r="M334" s="33">
        <v>13.29923313188659</v>
      </c>
      <c r="N334" s="6">
        <v>2.595692085240426E-3</v>
      </c>
      <c r="O334" s="33">
        <v>5225</v>
      </c>
      <c r="P334" s="33">
        <v>113.21271594191479</v>
      </c>
      <c r="Q334" s="33">
        <v>49336.12</v>
      </c>
      <c r="R334" s="33">
        <v>13574.06097552447</v>
      </c>
      <c r="S334" s="33">
        <v>13.272269557488579</v>
      </c>
      <c r="T334" s="33">
        <f t="shared" si="112"/>
        <v>14.381381270451488</v>
      </c>
      <c r="U334" s="33" t="e">
        <f>VLOOKUP($AT334,kkk,U$4,0)</f>
        <v>#N/A</v>
      </c>
      <c r="V334" s="33">
        <f t="shared" si="113"/>
        <v>14.846898511830798</v>
      </c>
      <c r="W334" s="33">
        <f t="shared" si="114"/>
        <v>13.915864029072178</v>
      </c>
      <c r="X334" s="33" t="e">
        <f t="shared" si="110"/>
        <v>#N/A</v>
      </c>
      <c r="Y334" s="33" t="e">
        <f t="shared" si="111"/>
        <v>#N/A</v>
      </c>
      <c r="Z334" s="33" t="e">
        <f>VLOOKUP($AT334,kkk,Z$4,0)</f>
        <v>#N/A</v>
      </c>
      <c r="AA334" s="33" t="e">
        <f>VLOOKUP($AT334,kkk,AA$4,0)</f>
        <v>#N/A</v>
      </c>
      <c r="AB334" s="33" t="e">
        <f>VLOOKUP($AT334,kkk,AB$4,0)</f>
        <v>#N/A</v>
      </c>
      <c r="AC334" s="33" t="e">
        <f>VLOOKUP($AT334,kkk,AC$4,0)</f>
        <v>#N/A</v>
      </c>
      <c r="AG334" s="34">
        <f t="shared" si="115"/>
        <v>-5.6666666666666643E-2</v>
      </c>
      <c r="AH334" s="34">
        <f t="shared" si="116"/>
        <v>0</v>
      </c>
      <c r="AI334" s="34">
        <f t="shared" si="117"/>
        <v>-1.0472222222222232</v>
      </c>
      <c r="AJ334" s="34">
        <f t="shared" si="118"/>
        <v>0.93103448275861922</v>
      </c>
      <c r="AK334" s="34">
        <f t="shared" si="119"/>
        <v>-0.30000000000000027</v>
      </c>
      <c r="AL334" s="34">
        <f t="shared" si="120"/>
        <v>0.53333333333333466</v>
      </c>
      <c r="AM334" s="34">
        <f t="shared" si="121"/>
        <v>0</v>
      </c>
      <c r="AN334" s="34">
        <f t="shared" si="122"/>
        <v>1.9566475000000001</v>
      </c>
      <c r="AO334" s="34">
        <f t="shared" si="123"/>
        <v>0.83378133080058348</v>
      </c>
      <c r="AQ334" s="34">
        <f t="shared" si="124"/>
        <v>14.846898511830798</v>
      </c>
      <c r="AR334" s="34">
        <f t="shared" si="125"/>
        <v>13.915864029072178</v>
      </c>
      <c r="AT334" s="34" t="str">
        <f t="shared" si="126"/>
        <v>45554D</v>
      </c>
    </row>
    <row r="335" spans="1:46" x14ac:dyDescent="0.3">
      <c r="A335" s="17">
        <v>45555</v>
      </c>
      <c r="B335" s="18" t="s">
        <v>22</v>
      </c>
      <c r="C335" s="6">
        <v>8.2725000000000009</v>
      </c>
      <c r="D335" s="6">
        <v>39.25</v>
      </c>
      <c r="E335" s="6">
        <v>26.64875</v>
      </c>
      <c r="F335" s="6">
        <v>55.81</v>
      </c>
      <c r="G335" s="6">
        <v>3.75</v>
      </c>
      <c r="H335" s="6">
        <v>3.5175000000000001</v>
      </c>
      <c r="I335" s="6">
        <v>145.875</v>
      </c>
      <c r="J335" s="6">
        <v>9.0742155168715968</v>
      </c>
      <c r="K335" s="6">
        <v>3.7520696422391961E-3</v>
      </c>
      <c r="L335" s="6">
        <v>3.4047088567989769E-2</v>
      </c>
      <c r="M335" s="6">
        <v>14.81897174009376</v>
      </c>
      <c r="N335" s="6">
        <v>2.36717469092331</v>
      </c>
      <c r="O335" s="6">
        <v>5225</v>
      </c>
      <c r="P335" s="6">
        <v>98.487795246566847</v>
      </c>
      <c r="Q335" s="6">
        <v>13493.44</v>
      </c>
      <c r="R335" s="6">
        <v>8390.2950000000001</v>
      </c>
      <c r="S335" s="6">
        <v>13.2495516714693</v>
      </c>
      <c r="T335" s="6">
        <f t="shared" si="112"/>
        <v>10.395084046867808</v>
      </c>
      <c r="U335" s="6">
        <f>VLOOKUP($AT335,kkk,U$4,0)</f>
        <v>8.1</v>
      </c>
      <c r="V335" s="6">
        <f t="shared" si="113"/>
        <v>9.7571530123850483</v>
      </c>
      <c r="W335" s="6">
        <f t="shared" si="114"/>
        <v>11.03301508135057</v>
      </c>
      <c r="X335" s="6">
        <f t="shared" si="110"/>
        <v>8.1</v>
      </c>
      <c r="Y335" s="6">
        <f t="shared" si="111"/>
        <v>8.99</v>
      </c>
      <c r="Z335" s="6">
        <f>VLOOKUP($AT335,kkk,Z$4,0)</f>
        <v>8.8800000000000008</v>
      </c>
      <c r="AA335" s="6">
        <f>VLOOKUP($AT335,kkk,AA$4,0)</f>
        <v>28.4</v>
      </c>
      <c r="AB335" s="6">
        <f>VLOOKUP($AT335,kkk,AB$4,0)</f>
        <v>3.69</v>
      </c>
      <c r="AC335" s="6">
        <f>VLOOKUP($AT335,kkk,AC$4,0)</f>
        <v>4.0199999999999996</v>
      </c>
      <c r="AG335">
        <f t="shared" si="115"/>
        <v>-2.4500000000000102E-2</v>
      </c>
      <c r="AH335">
        <f t="shared" si="116"/>
        <v>0</v>
      </c>
      <c r="AI335">
        <f t="shared" si="117"/>
        <v>-0.36562499999999909</v>
      </c>
      <c r="AJ335">
        <f t="shared" si="118"/>
        <v>-1.2758620689655207</v>
      </c>
      <c r="AK335">
        <f t="shared" si="119"/>
        <v>0.18000000000000016</v>
      </c>
      <c r="AL335">
        <f t="shared" si="120"/>
        <v>0.58750000000000091</v>
      </c>
      <c r="AM335">
        <f t="shared" si="121"/>
        <v>0</v>
      </c>
      <c r="AN335">
        <f t="shared" si="122"/>
        <v>-2.5236874999999999</v>
      </c>
      <c r="AO335">
        <f t="shared" si="123"/>
        <v>0.3115689662568073</v>
      </c>
      <c r="AQ335">
        <f t="shared" si="124"/>
        <v>9.7571530123850483</v>
      </c>
      <c r="AR335">
        <f t="shared" si="125"/>
        <v>11.03301508135057</v>
      </c>
      <c r="AT335" t="str">
        <f t="shared" si="126"/>
        <v>45555A</v>
      </c>
    </row>
    <row r="336" spans="1:46" x14ac:dyDescent="0.3">
      <c r="A336" s="17">
        <v>45555</v>
      </c>
      <c r="B336" s="18" t="s">
        <v>19</v>
      </c>
      <c r="C336" s="6">
        <v>8.8671428571428574</v>
      </c>
      <c r="D336" s="6">
        <v>37.111111111111107</v>
      </c>
      <c r="E336" s="6">
        <v>28.135555555555559</v>
      </c>
      <c r="F336" s="6">
        <v>54.89</v>
      </c>
      <c r="G336" s="6">
        <v>4.0199999999999996</v>
      </c>
      <c r="H336" s="6">
        <v>3.6844444444444449</v>
      </c>
      <c r="I336" s="6">
        <v>144.7777777777778</v>
      </c>
      <c r="J336" s="6">
        <v>10.18882776049781</v>
      </c>
      <c r="K336" s="6">
        <v>0</v>
      </c>
      <c r="L336" s="6">
        <v>0</v>
      </c>
      <c r="M336" s="6">
        <v>13.333965407290879</v>
      </c>
      <c r="N336" s="6">
        <v>6.7317200311443672</v>
      </c>
      <c r="O336" s="6">
        <v>5225</v>
      </c>
      <c r="P336" s="6">
        <v>120.4249356367567</v>
      </c>
      <c r="Q336" s="6">
        <v>0</v>
      </c>
      <c r="R336" s="6">
        <v>6677.2423571428571</v>
      </c>
      <c r="S336" s="6">
        <v>13.335263841473539</v>
      </c>
      <c r="T336" s="6">
        <f t="shared" si="112"/>
        <v>4.2399341158952426</v>
      </c>
      <c r="U336" s="6">
        <f>VLOOKUP($AT336,kkk,U$4,0)</f>
        <v>5.15</v>
      </c>
      <c r="V336" s="6">
        <f t="shared" si="113"/>
        <v>4.3951065296883458</v>
      </c>
      <c r="W336" s="6">
        <f t="shared" si="114"/>
        <v>4.0847617021021394</v>
      </c>
      <c r="X336" s="6">
        <f t="shared" si="110"/>
        <v>5.15</v>
      </c>
      <c r="Y336" s="6">
        <f t="shared" si="111"/>
        <v>5</v>
      </c>
      <c r="Z336" s="6">
        <f>VLOOKUP($AT336,kkk,Z$4,0)</f>
        <v>8.3000000000000007</v>
      </c>
      <c r="AA336" s="6">
        <f>VLOOKUP($AT336,kkk,AA$4,0)</f>
        <v>27.6</v>
      </c>
      <c r="AB336" s="6">
        <f>VLOOKUP($AT336,kkk,AB$4,0)</f>
        <v>3.66</v>
      </c>
      <c r="AC336" s="6">
        <f>VLOOKUP($AT336,kkk,AC$4,0)</f>
        <v>4.03</v>
      </c>
      <c r="AG336">
        <f t="shared" si="115"/>
        <v>-0.14342857142857143</v>
      </c>
      <c r="AH336">
        <f t="shared" si="116"/>
        <v>0</v>
      </c>
      <c r="AI336">
        <f t="shared" si="117"/>
        <v>-1.6046296296296318</v>
      </c>
      <c r="AJ336">
        <f t="shared" si="118"/>
        <v>0.31034482758620641</v>
      </c>
      <c r="AK336">
        <f t="shared" si="119"/>
        <v>-0.62999999999999845</v>
      </c>
      <c r="AL336">
        <f t="shared" si="120"/>
        <v>1.4222222222222247</v>
      </c>
      <c r="AM336">
        <f t="shared" si="121"/>
        <v>0</v>
      </c>
      <c r="AN336">
        <f t="shared" si="122"/>
        <v>-4.2103675000000003</v>
      </c>
      <c r="AO336">
        <f t="shared" si="123"/>
        <v>-1.9176555209956199</v>
      </c>
      <c r="AQ336">
        <f t="shared" si="124"/>
        <v>4.3951065296883458</v>
      </c>
      <c r="AR336">
        <f t="shared" si="125"/>
        <v>4.0847617021021394</v>
      </c>
      <c r="AT336" t="str">
        <f t="shared" si="126"/>
        <v>45555B</v>
      </c>
    </row>
    <row r="337" spans="1:46" x14ac:dyDescent="0.3">
      <c r="A337" s="17">
        <v>45555</v>
      </c>
      <c r="B337" s="18" t="s">
        <v>20</v>
      </c>
      <c r="C337" s="6">
        <v>8.8837499999999991</v>
      </c>
      <c r="D337" s="6">
        <v>37.083333333333343</v>
      </c>
      <c r="E337" s="6">
        <v>28.268333333333331</v>
      </c>
      <c r="F337" s="6">
        <v>54.89</v>
      </c>
      <c r="G337" s="6">
        <v>4.0199999999999996</v>
      </c>
      <c r="H337" s="6">
        <v>3.6850000000000001</v>
      </c>
      <c r="I337" s="6">
        <v>145.33333333333329</v>
      </c>
      <c r="J337" s="6">
        <v>10.869722593185189</v>
      </c>
      <c r="K337" s="6">
        <v>5.7639525206152542E-3</v>
      </c>
      <c r="L337" s="6">
        <v>6.2652564939378361E-2</v>
      </c>
      <c r="M337" s="6">
        <v>13.323575006901899</v>
      </c>
      <c r="N337" s="6">
        <v>2.6549287930327061</v>
      </c>
      <c r="O337" s="6">
        <v>5225</v>
      </c>
      <c r="P337" s="6">
        <v>120.33109553129771</v>
      </c>
      <c r="Q337" s="6">
        <v>21693.200000000001</v>
      </c>
      <c r="R337" s="6">
        <v>10991.581</v>
      </c>
      <c r="S337" s="6">
        <v>13.32493074567193</v>
      </c>
      <c r="T337" s="6">
        <f t="shared" si="112"/>
        <v>6.0075045815468524</v>
      </c>
      <c r="U337" s="6" t="e">
        <f>VLOOKUP($AT337,kkk,U$4,0)</f>
        <v>#N/A</v>
      </c>
      <c r="V337" s="6">
        <f t="shared" si="113"/>
        <v>6.1626769953399556</v>
      </c>
      <c r="W337" s="6">
        <f t="shared" si="114"/>
        <v>5.8523321677537492</v>
      </c>
      <c r="X337" s="6" t="e">
        <f t="shared" si="110"/>
        <v>#N/A</v>
      </c>
      <c r="Y337" s="6" t="e">
        <f t="shared" si="111"/>
        <v>#N/A</v>
      </c>
      <c r="Z337" s="6" t="e">
        <f>VLOOKUP($AT337,kkk,Z$4,0)</f>
        <v>#N/A</v>
      </c>
      <c r="AA337" s="6" t="e">
        <f>VLOOKUP($AT337,kkk,AA$4,0)</f>
        <v>#N/A</v>
      </c>
      <c r="AB337" s="6" t="e">
        <f>VLOOKUP($AT337,kkk,AB$4,0)</f>
        <v>#N/A</v>
      </c>
      <c r="AC337" s="6" t="e">
        <f>VLOOKUP($AT337,kkk,AC$4,0)</f>
        <v>#N/A</v>
      </c>
      <c r="AG337">
        <f t="shared" si="115"/>
        <v>-0.14674999999999977</v>
      </c>
      <c r="AH337">
        <f t="shared" si="116"/>
        <v>0</v>
      </c>
      <c r="AI337">
        <f t="shared" si="117"/>
        <v>-1.715277777777775</v>
      </c>
      <c r="AJ337">
        <f t="shared" si="118"/>
        <v>0.31034482758620641</v>
      </c>
      <c r="AK337">
        <f t="shared" si="119"/>
        <v>-0.62999999999999845</v>
      </c>
      <c r="AL337">
        <f t="shared" si="120"/>
        <v>1.4250000000000007</v>
      </c>
      <c r="AM337">
        <f t="shared" si="121"/>
        <v>0</v>
      </c>
      <c r="AN337">
        <f t="shared" si="122"/>
        <v>-1.4987175000000001</v>
      </c>
      <c r="AO337">
        <f t="shared" si="123"/>
        <v>-3.2794451863703777</v>
      </c>
      <c r="AQ337">
        <f t="shared" si="124"/>
        <v>6.1626769953399556</v>
      </c>
      <c r="AR337">
        <f t="shared" si="125"/>
        <v>5.8523321677537492</v>
      </c>
      <c r="AT337" t="str">
        <f t="shared" si="126"/>
        <v>45555C</v>
      </c>
    </row>
    <row r="338" spans="1:46" x14ac:dyDescent="0.3">
      <c r="A338" s="17">
        <v>45555</v>
      </c>
      <c r="B338" s="18" t="s">
        <v>21</v>
      </c>
      <c r="C338" s="6">
        <v>8.7675000000000001</v>
      </c>
      <c r="D338" s="6">
        <v>36.625</v>
      </c>
      <c r="E338" s="6">
        <v>27.925000000000001</v>
      </c>
      <c r="F338" s="6">
        <v>54.89</v>
      </c>
      <c r="G338" s="6">
        <v>4.0199999999999996</v>
      </c>
      <c r="H338" s="6">
        <v>3.6974999999999998</v>
      </c>
      <c r="I338" s="6">
        <v>143.25</v>
      </c>
      <c r="J338" s="6">
        <v>11.50744322347529</v>
      </c>
      <c r="K338" s="6">
        <v>5.3624732443370831E-3</v>
      </c>
      <c r="L338" s="6">
        <v>6.1708356396614338E-2</v>
      </c>
      <c r="M338" s="6">
        <v>13.327418350202519</v>
      </c>
      <c r="N338" s="6">
        <v>4.1629071193380076</v>
      </c>
      <c r="O338" s="6">
        <v>5225.0000000000009</v>
      </c>
      <c r="P338" s="6">
        <v>120.3658064565591</v>
      </c>
      <c r="Q338" s="6">
        <v>26400.91234042553</v>
      </c>
      <c r="R338" s="6">
        <v>14327.996234537361</v>
      </c>
      <c r="S338" s="6">
        <v>13.32855222916915</v>
      </c>
      <c r="T338" s="6">
        <f t="shared" si="112"/>
        <v>6.1132837222487382</v>
      </c>
      <c r="U338" s="6" t="e">
        <f>VLOOKUP($AT338,kkk,U$4,0)</f>
        <v>#N/A</v>
      </c>
      <c r="V338" s="6">
        <f t="shared" si="113"/>
        <v>6.2684561360418414</v>
      </c>
      <c r="W338" s="6">
        <f t="shared" si="114"/>
        <v>5.958111308455635</v>
      </c>
      <c r="X338" s="6" t="e">
        <f t="shared" si="110"/>
        <v>#N/A</v>
      </c>
      <c r="Y338" s="6" t="e">
        <f t="shared" si="111"/>
        <v>#N/A</v>
      </c>
      <c r="Z338" s="6" t="e">
        <f>VLOOKUP($AT338,kkk,Z$4,0)</f>
        <v>#N/A</v>
      </c>
      <c r="AA338" s="6" t="e">
        <f>VLOOKUP($AT338,kkk,AA$4,0)</f>
        <v>#N/A</v>
      </c>
      <c r="AB338" s="6" t="e">
        <f>VLOOKUP($AT338,kkk,AB$4,0)</f>
        <v>#N/A</v>
      </c>
      <c r="AC338" s="6" t="e">
        <f>VLOOKUP($AT338,kkk,AC$4,0)</f>
        <v>#N/A</v>
      </c>
      <c r="AG338">
        <f t="shared" si="115"/>
        <v>-0.12349999999999994</v>
      </c>
      <c r="AH338">
        <f t="shared" si="116"/>
        <v>0</v>
      </c>
      <c r="AI338">
        <f t="shared" si="117"/>
        <v>-1.4291666666666667</v>
      </c>
      <c r="AJ338">
        <f t="shared" si="118"/>
        <v>0.31034482758620641</v>
      </c>
      <c r="AK338">
        <f t="shared" si="119"/>
        <v>-0.62999999999999845</v>
      </c>
      <c r="AL338">
        <f t="shared" si="120"/>
        <v>1.4874999999999994</v>
      </c>
      <c r="AM338">
        <f t="shared" si="121"/>
        <v>0</v>
      </c>
      <c r="AN338">
        <f t="shared" si="122"/>
        <v>-0.91025345744680908</v>
      </c>
      <c r="AO338">
        <f t="shared" si="123"/>
        <v>-4.5548864469505794</v>
      </c>
      <c r="AQ338">
        <f t="shared" si="124"/>
        <v>6.2684561360418414</v>
      </c>
      <c r="AR338">
        <f t="shared" si="125"/>
        <v>5.958111308455635</v>
      </c>
      <c r="AT338" t="str">
        <f t="shared" si="126"/>
        <v>45555D</v>
      </c>
    </row>
    <row r="339" spans="1:46" x14ac:dyDescent="0.3">
      <c r="A339" s="17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G339">
        <f t="shared" si="115"/>
        <v>1.6300000000000001</v>
      </c>
      <c r="AH339">
        <f t="shared" si="116"/>
        <v>0</v>
      </c>
      <c r="AI339">
        <f t="shared" si="117"/>
        <v>21.841666666666669</v>
      </c>
      <c r="AJ339">
        <f t="shared" si="118"/>
        <v>94.948275862068968</v>
      </c>
      <c r="AK339">
        <f t="shared" si="119"/>
        <v>11.43</v>
      </c>
      <c r="AL339">
        <f t="shared" si="120"/>
        <v>-17</v>
      </c>
      <c r="AM339">
        <f t="shared" si="121"/>
        <v>0</v>
      </c>
      <c r="AN339">
        <f t="shared" si="122"/>
        <v>-4.2103675000000003</v>
      </c>
      <c r="AO339">
        <f t="shared" si="123"/>
        <v>18.46</v>
      </c>
      <c r="AQ339">
        <f t="shared" si="124"/>
        <v>124.09957502873561</v>
      </c>
      <c r="AR339">
        <f t="shared" si="125"/>
        <v>29.151299166666647</v>
      </c>
      <c r="AT339" t="str">
        <f t="shared" si="126"/>
        <v/>
      </c>
    </row>
    <row r="340" spans="1:46" x14ac:dyDescent="0.3">
      <c r="A340" s="17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G340">
        <f t="shared" si="115"/>
        <v>1.6300000000000001</v>
      </c>
      <c r="AH340">
        <f t="shared" si="116"/>
        <v>0</v>
      </c>
      <c r="AI340">
        <f t="shared" si="117"/>
        <v>21.841666666666669</v>
      </c>
      <c r="AJ340">
        <f t="shared" si="118"/>
        <v>94.948275862068968</v>
      </c>
      <c r="AK340">
        <f t="shared" si="119"/>
        <v>11.43</v>
      </c>
      <c r="AL340">
        <f t="shared" si="120"/>
        <v>-17</v>
      </c>
      <c r="AM340">
        <f t="shared" si="121"/>
        <v>0</v>
      </c>
      <c r="AN340">
        <f t="shared" si="122"/>
        <v>-4.2103675000000003</v>
      </c>
      <c r="AO340">
        <f t="shared" si="123"/>
        <v>18.46</v>
      </c>
      <c r="AQ340">
        <f t="shared" si="124"/>
        <v>124.09957502873561</v>
      </c>
      <c r="AR340">
        <f t="shared" si="125"/>
        <v>29.151299166666647</v>
      </c>
      <c r="AT340" t="str">
        <f t="shared" si="126"/>
        <v/>
      </c>
    </row>
    <row r="341" spans="1:46" x14ac:dyDescent="0.3">
      <c r="A341" s="17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G341">
        <f t="shared" si="115"/>
        <v>1.6300000000000001</v>
      </c>
      <c r="AH341">
        <f t="shared" si="116"/>
        <v>0</v>
      </c>
      <c r="AI341">
        <f t="shared" si="117"/>
        <v>21.841666666666669</v>
      </c>
      <c r="AJ341">
        <f t="shared" si="118"/>
        <v>94.948275862068968</v>
      </c>
      <c r="AK341">
        <f t="shared" si="119"/>
        <v>11.43</v>
      </c>
      <c r="AL341">
        <f t="shared" si="120"/>
        <v>-17</v>
      </c>
      <c r="AM341">
        <f t="shared" si="121"/>
        <v>0</v>
      </c>
      <c r="AN341">
        <f t="shared" si="122"/>
        <v>-4.2103675000000003</v>
      </c>
      <c r="AO341">
        <f t="shared" si="123"/>
        <v>18.46</v>
      </c>
      <c r="AQ341">
        <f t="shared" si="124"/>
        <v>124.09957502873561</v>
      </c>
      <c r="AR341">
        <f t="shared" si="125"/>
        <v>29.151299166666647</v>
      </c>
      <c r="AT341" t="str">
        <f t="shared" si="126"/>
        <v/>
      </c>
    </row>
  </sheetData>
  <autoFilter ref="A6:AT338" xr:uid="{00000000-0001-0000-0000-000000000000}">
    <filterColumn colId="0">
      <filters>
        <dateGroupItem year="2024" month="8" day="15" dateTimeGrouping="day"/>
        <dateGroupItem year="2024" month="8" day="16" dateTimeGrouping="day"/>
        <dateGroupItem year="2024" month="8" day="19" dateTimeGrouping="day"/>
        <dateGroupItem year="2024" month="8" day="20" dateTimeGrouping="day"/>
        <dateGroupItem year="2024" month="8" day="21" dateTimeGrouping="day"/>
        <dateGroupItem year="2024" month="8" day="22" dateTimeGrouping="day"/>
        <dateGroupItem year="2024" month="8" day="26" dateTimeGrouping="day"/>
        <dateGroupItem year="2024" month="8" day="27" dateTimeGrouping="day"/>
        <dateGroupItem year="2024" month="8" day="28" dateTimeGrouping="day"/>
        <dateGroupItem year="2024" month="8" day="29" dateTimeGrouping="day"/>
        <dateGroupItem year="2024" month="9" dateTimeGrouping="month"/>
      </filters>
    </filterColumn>
  </autoFilter>
  <mergeCells count="1">
    <mergeCell ref="X5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9ED63-3A04-49A1-ABC8-271F32CD076B}">
  <dimension ref="A2:G6"/>
  <sheetViews>
    <sheetView workbookViewId="0">
      <selection activeCell="G2" sqref="G2"/>
    </sheetView>
  </sheetViews>
  <sheetFormatPr defaultRowHeight="14.4" x14ac:dyDescent="0.3"/>
  <cols>
    <col min="7" max="7" width="13.5546875" bestFit="1" customWidth="1"/>
  </cols>
  <sheetData>
    <row r="2" spans="1:7" x14ac:dyDescent="0.3">
      <c r="F2">
        <v>0.4</v>
      </c>
    </row>
    <row r="6" spans="1:7" x14ac:dyDescent="0.3">
      <c r="A6" s="20" t="s">
        <v>463</v>
      </c>
      <c r="B6" s="20"/>
      <c r="C6" s="20"/>
      <c r="D6" s="20"/>
      <c r="E6" t="s">
        <v>527</v>
      </c>
      <c r="F6" t="s">
        <v>528</v>
      </c>
      <c r="G6" t="s">
        <v>529</v>
      </c>
    </row>
  </sheetData>
  <mergeCells count="1">
    <mergeCell ref="A6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55DF-26C4-46C3-AC2B-2243152EC18C}">
  <dimension ref="A1:C48"/>
  <sheetViews>
    <sheetView workbookViewId="0">
      <selection sqref="A1:C48"/>
    </sheetView>
  </sheetViews>
  <sheetFormatPr defaultRowHeight="14.4" x14ac:dyDescent="0.3"/>
  <sheetData>
    <row r="1" spans="1:3" x14ac:dyDescent="0.3">
      <c r="A1" t="s">
        <v>480</v>
      </c>
      <c r="B1">
        <v>5</v>
      </c>
      <c r="C1">
        <v>5.15</v>
      </c>
    </row>
    <row r="2" spans="1:3" x14ac:dyDescent="0.3">
      <c r="A2" t="s">
        <v>481</v>
      </c>
      <c r="B2">
        <v>8.99</v>
      </c>
      <c r="C2">
        <v>8.1</v>
      </c>
    </row>
    <row r="3" spans="1:3" x14ac:dyDescent="0.3">
      <c r="A3" t="s">
        <v>482</v>
      </c>
      <c r="B3">
        <v>14.43</v>
      </c>
      <c r="C3">
        <v>13.63</v>
      </c>
    </row>
    <row r="4" spans="1:3" x14ac:dyDescent="0.3">
      <c r="A4" t="s">
        <v>483</v>
      </c>
      <c r="B4">
        <v>11.03</v>
      </c>
      <c r="C4">
        <v>12.1</v>
      </c>
    </row>
    <row r="5" spans="1:3" x14ac:dyDescent="0.3">
      <c r="A5" t="s">
        <v>484</v>
      </c>
      <c r="B5">
        <v>7.48</v>
      </c>
      <c r="C5">
        <v>7.56</v>
      </c>
    </row>
    <row r="6" spans="1:3" x14ac:dyDescent="0.3">
      <c r="A6" t="s">
        <v>485</v>
      </c>
      <c r="B6">
        <v>25</v>
      </c>
      <c r="C6">
        <v>25.85</v>
      </c>
    </row>
    <row r="7" spans="1:3" x14ac:dyDescent="0.3">
      <c r="A7" t="s">
        <v>486</v>
      </c>
      <c r="B7">
        <v>18</v>
      </c>
      <c r="C7">
        <v>18.72</v>
      </c>
    </row>
    <row r="8" spans="1:3" x14ac:dyDescent="0.3">
      <c r="A8" t="s">
        <v>487</v>
      </c>
      <c r="B8">
        <v>13.39</v>
      </c>
      <c r="C8">
        <v>14.55</v>
      </c>
    </row>
    <row r="9" spans="1:3" x14ac:dyDescent="0.3">
      <c r="A9" t="s">
        <v>488</v>
      </c>
      <c r="B9">
        <v>7.35</v>
      </c>
      <c r="C9">
        <v>7.98</v>
      </c>
    </row>
    <row r="10" spans="1:3" x14ac:dyDescent="0.3">
      <c r="A10" t="s">
        <v>489</v>
      </c>
      <c r="B10">
        <v>16.239999999999998</v>
      </c>
      <c r="C10">
        <v>15.88</v>
      </c>
    </row>
    <row r="11" spans="1:3" x14ac:dyDescent="0.3">
      <c r="A11" t="s">
        <v>490</v>
      </c>
      <c r="B11">
        <v>21.21</v>
      </c>
      <c r="C11">
        <v>22.16</v>
      </c>
    </row>
    <row r="12" spans="1:3" x14ac:dyDescent="0.3">
      <c r="A12" t="s">
        <v>491</v>
      </c>
      <c r="B12">
        <v>22.73</v>
      </c>
      <c r="C12">
        <v>23.31</v>
      </c>
    </row>
    <row r="13" spans="1:3" x14ac:dyDescent="0.3">
      <c r="A13" t="s">
        <v>492</v>
      </c>
      <c r="B13">
        <v>12.3</v>
      </c>
      <c r="C13">
        <v>13.68</v>
      </c>
    </row>
    <row r="14" spans="1:3" x14ac:dyDescent="0.3">
      <c r="A14" t="s">
        <v>493</v>
      </c>
      <c r="B14">
        <v>13.49</v>
      </c>
      <c r="C14">
        <v>14.4</v>
      </c>
    </row>
    <row r="15" spans="1:3" x14ac:dyDescent="0.3">
      <c r="A15" t="s">
        <v>494</v>
      </c>
      <c r="B15">
        <v>7</v>
      </c>
      <c r="C15">
        <v>7.75</v>
      </c>
    </row>
    <row r="16" spans="1:3" x14ac:dyDescent="0.3">
      <c r="A16" t="s">
        <v>495</v>
      </c>
      <c r="B16">
        <v>13.68</v>
      </c>
      <c r="C16">
        <v>12.68</v>
      </c>
    </row>
    <row r="17" spans="1:3" x14ac:dyDescent="0.3">
      <c r="A17" t="s">
        <v>496</v>
      </c>
      <c r="B17">
        <v>7</v>
      </c>
      <c r="C17">
        <v>12.95</v>
      </c>
    </row>
    <row r="18" spans="1:3" x14ac:dyDescent="0.3">
      <c r="A18" t="s">
        <v>497</v>
      </c>
      <c r="B18">
        <v>19.739999999999998</v>
      </c>
      <c r="C18">
        <v>20.05</v>
      </c>
    </row>
    <row r="19" spans="1:3" x14ac:dyDescent="0.3">
      <c r="A19" t="s">
        <v>498</v>
      </c>
      <c r="B19">
        <v>16.28</v>
      </c>
      <c r="C19">
        <v>16.7</v>
      </c>
    </row>
    <row r="20" spans="1:3" x14ac:dyDescent="0.3">
      <c r="A20" t="s">
        <v>499</v>
      </c>
      <c r="B20">
        <v>11.87</v>
      </c>
      <c r="C20">
        <v>12.17</v>
      </c>
    </row>
    <row r="21" spans="1:3" x14ac:dyDescent="0.3">
      <c r="A21" t="s">
        <v>500</v>
      </c>
      <c r="B21">
        <v>10.14</v>
      </c>
      <c r="C21">
        <v>11.37</v>
      </c>
    </row>
    <row r="22" spans="1:3" x14ac:dyDescent="0.3">
      <c r="A22" t="s">
        <v>501</v>
      </c>
      <c r="B22">
        <v>15.97</v>
      </c>
      <c r="C22">
        <v>15.74</v>
      </c>
    </row>
    <row r="23" spans="1:3" x14ac:dyDescent="0.3">
      <c r="A23" t="s">
        <v>502</v>
      </c>
      <c r="B23">
        <v>14.06</v>
      </c>
      <c r="C23">
        <v>14.5</v>
      </c>
    </row>
    <row r="24" spans="1:3" x14ac:dyDescent="0.3">
      <c r="A24" t="s">
        <v>503</v>
      </c>
      <c r="B24">
        <v>20.32</v>
      </c>
      <c r="C24">
        <v>19.989999999999998</v>
      </c>
    </row>
    <row r="25" spans="1:3" x14ac:dyDescent="0.3">
      <c r="A25" t="s">
        <v>504</v>
      </c>
      <c r="B25">
        <v>15.82</v>
      </c>
      <c r="C25">
        <v>16.79</v>
      </c>
    </row>
    <row r="26" spans="1:3" x14ac:dyDescent="0.3">
      <c r="A26" t="s">
        <v>505</v>
      </c>
      <c r="B26">
        <v>21.51</v>
      </c>
      <c r="C26">
        <v>20.84</v>
      </c>
    </row>
    <row r="27" spans="1:3" x14ac:dyDescent="0.3">
      <c r="A27" t="s">
        <v>506</v>
      </c>
      <c r="B27">
        <v>14.65</v>
      </c>
      <c r="C27">
        <v>14.69</v>
      </c>
    </row>
    <row r="28" spans="1:3" x14ac:dyDescent="0.3">
      <c r="A28" t="s">
        <v>507</v>
      </c>
      <c r="B28">
        <v>9.4600000000000009</v>
      </c>
      <c r="C28">
        <v>10.19</v>
      </c>
    </row>
    <row r="29" spans="1:3" x14ac:dyDescent="0.3">
      <c r="A29" t="s">
        <v>508</v>
      </c>
      <c r="B29">
        <v>14.04</v>
      </c>
      <c r="C29">
        <v>14.23</v>
      </c>
    </row>
    <row r="30" spans="1:3" x14ac:dyDescent="0.3">
      <c r="A30" t="s">
        <v>509</v>
      </c>
      <c r="B30">
        <v>20.399999999999999</v>
      </c>
      <c r="C30">
        <v>20.02</v>
      </c>
    </row>
    <row r="31" spans="1:3" x14ac:dyDescent="0.3">
      <c r="A31" t="s">
        <v>510</v>
      </c>
      <c r="B31">
        <v>10.42</v>
      </c>
      <c r="C31">
        <v>13.37</v>
      </c>
    </row>
    <row r="32" spans="1:3" x14ac:dyDescent="0.3">
      <c r="A32" t="s">
        <v>511</v>
      </c>
      <c r="B32">
        <v>15.34</v>
      </c>
      <c r="C32">
        <v>16.5</v>
      </c>
    </row>
    <row r="33" spans="1:3" x14ac:dyDescent="0.3">
      <c r="A33" t="s">
        <v>512</v>
      </c>
      <c r="B33">
        <v>8.6</v>
      </c>
      <c r="C33">
        <v>9.3800000000000008</v>
      </c>
    </row>
    <row r="34" spans="1:3" x14ac:dyDescent="0.3">
      <c r="A34" t="s">
        <v>513</v>
      </c>
      <c r="B34">
        <v>18.989999999999998</v>
      </c>
      <c r="C34">
        <v>17.43</v>
      </c>
    </row>
    <row r="35" spans="1:3" x14ac:dyDescent="0.3">
      <c r="A35" t="s">
        <v>514</v>
      </c>
      <c r="B35">
        <v>17.32</v>
      </c>
      <c r="C35">
        <v>17.5</v>
      </c>
    </row>
    <row r="36" spans="1:3" x14ac:dyDescent="0.3">
      <c r="A36" t="s">
        <v>515</v>
      </c>
      <c r="B36">
        <v>17.88</v>
      </c>
      <c r="C36">
        <v>20.72</v>
      </c>
    </row>
    <row r="37" spans="1:3" x14ac:dyDescent="0.3">
      <c r="A37" t="s">
        <v>516</v>
      </c>
      <c r="B37">
        <v>14.13</v>
      </c>
      <c r="C37">
        <v>16.170000000000002</v>
      </c>
    </row>
    <row r="38" spans="1:3" x14ac:dyDescent="0.3">
      <c r="A38" t="s">
        <v>517</v>
      </c>
      <c r="B38">
        <v>22.68</v>
      </c>
      <c r="C38">
        <v>23.05</v>
      </c>
    </row>
    <row r="39" spans="1:3" x14ac:dyDescent="0.3">
      <c r="A39" t="s">
        <v>518</v>
      </c>
      <c r="B39">
        <v>13.94</v>
      </c>
      <c r="C39">
        <v>13.91</v>
      </c>
    </row>
    <row r="40" spans="1:3" x14ac:dyDescent="0.3">
      <c r="A40" t="s">
        <v>519</v>
      </c>
      <c r="B40">
        <v>13.72</v>
      </c>
      <c r="C40">
        <v>13.73</v>
      </c>
    </row>
    <row r="41" spans="1:3" x14ac:dyDescent="0.3">
      <c r="A41" t="s">
        <v>520</v>
      </c>
      <c r="B41">
        <v>10.5</v>
      </c>
      <c r="C41">
        <v>10.97</v>
      </c>
    </row>
    <row r="42" spans="1:3" x14ac:dyDescent="0.3">
      <c r="A42" t="s">
        <v>521</v>
      </c>
      <c r="B42">
        <v>14.66</v>
      </c>
      <c r="C42">
        <v>15.1</v>
      </c>
    </row>
    <row r="43" spans="1:3" x14ac:dyDescent="0.3">
      <c r="A43" t="s">
        <v>522</v>
      </c>
      <c r="B43">
        <v>15.72</v>
      </c>
      <c r="C43">
        <v>16.93</v>
      </c>
    </row>
    <row r="44" spans="1:3" x14ac:dyDescent="0.3">
      <c r="A44" t="s">
        <v>523</v>
      </c>
      <c r="B44">
        <v>22.77</v>
      </c>
      <c r="C44">
        <v>20.83</v>
      </c>
    </row>
    <row r="45" spans="1:3" x14ac:dyDescent="0.3">
      <c r="A45" t="s">
        <v>524</v>
      </c>
      <c r="B45">
        <v>16.97</v>
      </c>
      <c r="C45">
        <v>15.81</v>
      </c>
    </row>
    <row r="46" spans="1:3" x14ac:dyDescent="0.3">
      <c r="A46" t="s">
        <v>525</v>
      </c>
      <c r="B46">
        <v>14.26</v>
      </c>
      <c r="C46">
        <v>15.33</v>
      </c>
    </row>
    <row r="47" spans="1:3" x14ac:dyDescent="0.3">
      <c r="A47" t="s">
        <v>479</v>
      </c>
      <c r="B47">
        <v>1.36</v>
      </c>
    </row>
    <row r="48" spans="1:3" x14ac:dyDescent="0.3">
      <c r="A48" t="s">
        <v>526</v>
      </c>
      <c r="B48">
        <v>4.82</v>
      </c>
      <c r="C48">
        <v>4.57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B844-A063-4DC3-B4DF-1720B4BBA315}">
  <dimension ref="A1:AN76"/>
  <sheetViews>
    <sheetView workbookViewId="0">
      <selection activeCell="C7" sqref="C7:AN74"/>
    </sheetView>
  </sheetViews>
  <sheetFormatPr defaultRowHeight="14.4" x14ac:dyDescent="0.3"/>
  <cols>
    <col min="1" max="1" width="10.88671875" bestFit="1" customWidth="1"/>
  </cols>
  <sheetData>
    <row r="1" spans="1:40" x14ac:dyDescent="0.3">
      <c r="A1" s="13" t="s">
        <v>451</v>
      </c>
      <c r="B1" s="7" t="s">
        <v>452</v>
      </c>
      <c r="C1" s="7"/>
      <c r="D1" s="13" t="s">
        <v>453</v>
      </c>
      <c r="E1" s="7"/>
      <c r="F1" s="13" t="s">
        <v>454</v>
      </c>
      <c r="G1" s="7" t="s">
        <v>455</v>
      </c>
      <c r="H1" s="13" t="s">
        <v>456</v>
      </c>
      <c r="I1" s="13">
        <v>45519</v>
      </c>
      <c r="J1" s="13" t="s">
        <v>457</v>
      </c>
      <c r="K1" s="13">
        <v>45553</v>
      </c>
      <c r="L1" s="13" t="s">
        <v>458</v>
      </c>
      <c r="M1" s="7">
        <v>10</v>
      </c>
      <c r="N1" s="13" t="s">
        <v>459</v>
      </c>
      <c r="O1" s="7">
        <v>6</v>
      </c>
      <c r="P1" s="13" t="s">
        <v>460</v>
      </c>
      <c r="Q1" s="7">
        <v>10</v>
      </c>
      <c r="R1" s="13" t="s">
        <v>461</v>
      </c>
      <c r="S1" s="7">
        <v>8</v>
      </c>
      <c r="T1" s="13" t="s">
        <v>462</v>
      </c>
      <c r="U1" s="7">
        <v>25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x14ac:dyDescent="0.3">
      <c r="A2" s="22" t="s">
        <v>463</v>
      </c>
      <c r="B2" s="22" t="s">
        <v>464</v>
      </c>
      <c r="C2" s="7"/>
      <c r="D2" s="21" t="s">
        <v>465</v>
      </c>
      <c r="E2" s="22"/>
      <c r="F2" s="22"/>
      <c r="G2" s="21" t="s">
        <v>466</v>
      </c>
      <c r="H2" s="22"/>
      <c r="I2" s="22"/>
      <c r="J2" s="21" t="s">
        <v>467</v>
      </c>
      <c r="K2" s="22"/>
      <c r="L2" s="22"/>
      <c r="M2" s="21" t="s">
        <v>468</v>
      </c>
      <c r="N2" s="22"/>
      <c r="O2" s="22"/>
      <c r="P2" s="22"/>
      <c r="Q2" s="21" t="s">
        <v>469</v>
      </c>
      <c r="R2" s="22"/>
      <c r="S2" s="22"/>
      <c r="T2" s="22"/>
      <c r="U2" s="21" t="s">
        <v>41</v>
      </c>
      <c r="V2" s="22"/>
      <c r="W2" s="22"/>
      <c r="X2" s="22"/>
      <c r="Y2" s="21" t="s">
        <v>470</v>
      </c>
      <c r="Z2" s="22"/>
      <c r="AA2" s="22"/>
      <c r="AB2" s="22"/>
      <c r="AC2" s="21" t="s">
        <v>43</v>
      </c>
      <c r="AD2" s="22"/>
      <c r="AE2" s="22"/>
      <c r="AF2" s="22"/>
      <c r="AG2" s="21" t="s">
        <v>42</v>
      </c>
      <c r="AH2" s="22"/>
      <c r="AI2" s="22"/>
      <c r="AJ2" s="22"/>
      <c r="AK2" s="21" t="s">
        <v>471</v>
      </c>
      <c r="AL2" s="22"/>
      <c r="AM2" s="22"/>
      <c r="AN2" s="22"/>
    </row>
    <row r="3" spans="1:40" x14ac:dyDescent="0.3">
      <c r="A3" s="22"/>
      <c r="B3" s="22"/>
      <c r="C3" s="7"/>
      <c r="D3" s="7" t="s">
        <v>472</v>
      </c>
      <c r="E3" s="7" t="s">
        <v>473</v>
      </c>
      <c r="F3" s="7" t="s">
        <v>474</v>
      </c>
      <c r="G3" s="7" t="s">
        <v>472</v>
      </c>
      <c r="H3" s="7" t="s">
        <v>473</v>
      </c>
      <c r="I3" s="7" t="s">
        <v>474</v>
      </c>
      <c r="J3" s="7" t="s">
        <v>472</v>
      </c>
      <c r="K3" s="7" t="s">
        <v>473</v>
      </c>
      <c r="L3" s="7" t="s">
        <v>474</v>
      </c>
      <c r="M3" s="7" t="s">
        <v>472</v>
      </c>
      <c r="N3" s="7" t="s">
        <v>473</v>
      </c>
      <c r="O3" s="7" t="s">
        <v>474</v>
      </c>
      <c r="P3" s="7" t="s">
        <v>475</v>
      </c>
      <c r="Q3" s="7" t="s">
        <v>472</v>
      </c>
      <c r="R3" s="7" t="s">
        <v>473</v>
      </c>
      <c r="S3" s="7" t="s">
        <v>474</v>
      </c>
      <c r="T3" s="7" t="s">
        <v>475</v>
      </c>
      <c r="U3" s="7" t="s">
        <v>472</v>
      </c>
      <c r="V3" s="7" t="s">
        <v>473</v>
      </c>
      <c r="W3" s="7" t="s">
        <v>474</v>
      </c>
      <c r="X3" s="7" t="s">
        <v>475</v>
      </c>
      <c r="Y3" s="7" t="s">
        <v>472</v>
      </c>
      <c r="Z3" s="7" t="s">
        <v>473</v>
      </c>
      <c r="AA3" s="7" t="s">
        <v>474</v>
      </c>
      <c r="AB3" s="7" t="s">
        <v>475</v>
      </c>
      <c r="AC3" s="7" t="s">
        <v>472</v>
      </c>
      <c r="AD3" s="7" t="s">
        <v>473</v>
      </c>
      <c r="AE3" s="7" t="s">
        <v>474</v>
      </c>
      <c r="AF3" s="7" t="s">
        <v>475</v>
      </c>
      <c r="AG3" s="7" t="s">
        <v>472</v>
      </c>
      <c r="AH3" s="7" t="s">
        <v>473</v>
      </c>
      <c r="AI3" s="7" t="s">
        <v>474</v>
      </c>
      <c r="AJ3" s="7" t="s">
        <v>475</v>
      </c>
      <c r="AK3" s="7" t="s">
        <v>472</v>
      </c>
      <c r="AL3" s="7" t="s">
        <v>473</v>
      </c>
      <c r="AM3" s="7" t="s">
        <v>474</v>
      </c>
      <c r="AN3" s="7" t="s">
        <v>475</v>
      </c>
    </row>
    <row r="4" spans="1:40" x14ac:dyDescent="0.3">
      <c r="A4" s="7" t="s">
        <v>476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>
        <v>8.15</v>
      </c>
      <c r="O4" s="7"/>
      <c r="P4" s="7"/>
      <c r="Q4" s="7"/>
      <c r="R4" s="7">
        <v>38.78</v>
      </c>
      <c r="S4" s="7"/>
      <c r="T4" s="7"/>
      <c r="U4" s="7"/>
      <c r="V4" s="7">
        <v>26.21</v>
      </c>
      <c r="W4" s="7"/>
      <c r="X4" s="7"/>
      <c r="Y4" s="7"/>
      <c r="Z4" s="7">
        <v>55.07</v>
      </c>
      <c r="AA4" s="7"/>
      <c r="AB4" s="7"/>
      <c r="AC4" s="7"/>
      <c r="AD4" s="7">
        <v>3.81</v>
      </c>
      <c r="AE4" s="7"/>
      <c r="AF4" s="7"/>
      <c r="AG4" s="7"/>
      <c r="AH4" s="7">
        <v>3.4</v>
      </c>
      <c r="AI4" s="7"/>
      <c r="AJ4" s="7"/>
      <c r="AK4" s="7"/>
      <c r="AL4" s="7">
        <v>152.22999999999999</v>
      </c>
      <c r="AM4" s="7"/>
      <c r="AN4" s="7"/>
    </row>
    <row r="5" spans="1:40" x14ac:dyDescent="0.3">
      <c r="A5" s="7" t="s">
        <v>477</v>
      </c>
      <c r="B5" s="7"/>
      <c r="C5" s="7"/>
      <c r="D5" s="7"/>
      <c r="E5" s="7">
        <v>3</v>
      </c>
      <c r="F5" s="7">
        <v>4</v>
      </c>
      <c r="G5" s="7">
        <v>5</v>
      </c>
      <c r="H5" s="7">
        <v>6</v>
      </c>
      <c r="I5" s="7">
        <v>7</v>
      </c>
      <c r="J5" s="7">
        <v>8</v>
      </c>
      <c r="K5" s="7">
        <v>9</v>
      </c>
      <c r="L5" s="7">
        <v>10</v>
      </c>
      <c r="M5" s="7">
        <v>11</v>
      </c>
      <c r="N5" s="7">
        <v>12</v>
      </c>
      <c r="O5" s="7">
        <v>13</v>
      </c>
      <c r="P5" s="7">
        <v>14</v>
      </c>
      <c r="Q5" s="7">
        <v>15</v>
      </c>
      <c r="R5" s="7">
        <v>16</v>
      </c>
      <c r="S5" s="7">
        <v>17</v>
      </c>
      <c r="T5" s="7">
        <v>18</v>
      </c>
      <c r="U5" s="7">
        <v>19</v>
      </c>
      <c r="V5" s="7">
        <v>20</v>
      </c>
      <c r="W5" s="7">
        <v>21</v>
      </c>
      <c r="X5" s="7">
        <v>22</v>
      </c>
      <c r="Y5" s="7">
        <v>23</v>
      </c>
      <c r="Z5" s="7">
        <v>24</v>
      </c>
      <c r="AA5" s="7">
        <v>25</v>
      </c>
      <c r="AB5" s="7">
        <v>26</v>
      </c>
      <c r="AC5" s="7">
        <v>27</v>
      </c>
      <c r="AD5" s="7">
        <v>28</v>
      </c>
      <c r="AE5" s="7">
        <v>29</v>
      </c>
      <c r="AF5" s="7">
        <v>30</v>
      </c>
      <c r="AG5" s="7">
        <v>31</v>
      </c>
      <c r="AH5" s="7">
        <v>32</v>
      </c>
      <c r="AI5" s="7">
        <v>33</v>
      </c>
      <c r="AJ5" s="7">
        <v>34</v>
      </c>
      <c r="AK5" s="7">
        <v>35</v>
      </c>
      <c r="AL5" s="7">
        <v>36</v>
      </c>
      <c r="AM5" s="7">
        <v>37</v>
      </c>
      <c r="AN5" s="7">
        <v>38</v>
      </c>
    </row>
    <row r="6" spans="1:40" x14ac:dyDescent="0.3">
      <c r="A6" s="7" t="s">
        <v>478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>
        <v>9.17</v>
      </c>
      <c r="O6" s="7"/>
      <c r="P6" s="7"/>
      <c r="Q6" s="7"/>
      <c r="R6" s="7">
        <v>41</v>
      </c>
      <c r="S6" s="7"/>
      <c r="T6" s="7"/>
      <c r="U6" s="7"/>
      <c r="V6" s="7">
        <v>28.52</v>
      </c>
      <c r="W6" s="7"/>
      <c r="X6" s="7"/>
      <c r="Y6" s="7"/>
      <c r="Z6" s="7">
        <v>57.56</v>
      </c>
      <c r="AA6" s="7"/>
      <c r="AB6" s="7"/>
      <c r="AC6" s="7"/>
      <c r="AD6" s="7">
        <v>4.95</v>
      </c>
      <c r="AE6" s="7"/>
      <c r="AF6" s="7"/>
      <c r="AG6" s="7"/>
      <c r="AH6" s="7">
        <v>3.5</v>
      </c>
      <c r="AI6" s="7"/>
      <c r="AJ6" s="7"/>
      <c r="AK6" s="7"/>
      <c r="AL6" s="7">
        <v>159.6</v>
      </c>
      <c r="AM6" s="7"/>
      <c r="AN6" s="7"/>
    </row>
    <row r="7" spans="1:40" x14ac:dyDescent="0.3">
      <c r="A7" s="14">
        <v>45519</v>
      </c>
      <c r="B7" s="7" t="s">
        <v>22</v>
      </c>
      <c r="C7" s="7" t="str">
        <f>A7&amp;B7</f>
        <v>45519A</v>
      </c>
      <c r="D7" s="7" t="s">
        <v>45</v>
      </c>
      <c r="E7" s="7">
        <v>15.56</v>
      </c>
      <c r="F7" s="8">
        <v>37.21</v>
      </c>
      <c r="G7" s="7" t="s">
        <v>46</v>
      </c>
      <c r="H7" s="7">
        <v>0</v>
      </c>
      <c r="I7" s="7"/>
      <c r="J7" s="7" t="s">
        <v>47</v>
      </c>
      <c r="K7" s="7">
        <v>67.81</v>
      </c>
      <c r="L7" s="8">
        <v>27.32</v>
      </c>
      <c r="M7" s="7" t="s">
        <v>48</v>
      </c>
      <c r="N7" s="7">
        <v>8</v>
      </c>
      <c r="O7" s="8">
        <v>3.49</v>
      </c>
      <c r="P7" s="9">
        <v>1.84</v>
      </c>
      <c r="Q7" s="7" t="s">
        <v>49</v>
      </c>
      <c r="R7" s="7">
        <v>37.67</v>
      </c>
      <c r="S7" s="9">
        <v>2.38</v>
      </c>
      <c r="T7" s="9">
        <v>2.86</v>
      </c>
      <c r="U7" s="7" t="s">
        <v>50</v>
      </c>
      <c r="V7" s="7">
        <v>27.77</v>
      </c>
      <c r="W7" s="9">
        <v>4.3499999999999996</v>
      </c>
      <c r="X7" s="8">
        <v>5.95</v>
      </c>
      <c r="Y7" s="7" t="s">
        <v>51</v>
      </c>
      <c r="Z7" s="10">
        <v>55.72</v>
      </c>
      <c r="AA7" s="9">
        <v>0.36</v>
      </c>
      <c r="AB7" s="9">
        <v>1.18</v>
      </c>
      <c r="AC7" s="7" t="s">
        <v>52</v>
      </c>
      <c r="AD7" s="10">
        <v>3.63</v>
      </c>
      <c r="AE7" s="9">
        <v>2.68</v>
      </c>
      <c r="AF7" s="9">
        <v>4.72</v>
      </c>
      <c r="AG7" s="7" t="s">
        <v>53</v>
      </c>
      <c r="AH7" s="7">
        <v>3.23</v>
      </c>
      <c r="AI7" s="9">
        <v>4.99</v>
      </c>
      <c r="AJ7" s="9">
        <v>4.99</v>
      </c>
      <c r="AK7" s="7" t="s">
        <v>54</v>
      </c>
      <c r="AL7" s="7">
        <v>140.33000000000001</v>
      </c>
      <c r="AM7" s="9">
        <v>3.57</v>
      </c>
      <c r="AN7" s="9">
        <v>7.81</v>
      </c>
    </row>
    <row r="8" spans="1:40" x14ac:dyDescent="0.3">
      <c r="A8" s="14">
        <v>45519</v>
      </c>
      <c r="B8" s="7" t="s">
        <v>19</v>
      </c>
      <c r="C8" s="7" t="str">
        <f t="shared" ref="C8:C71" si="0">A8&amp;B8</f>
        <v>45519B</v>
      </c>
      <c r="D8" s="7" t="s">
        <v>55</v>
      </c>
      <c r="E8" s="7">
        <v>15.31</v>
      </c>
      <c r="F8" s="8">
        <v>34.770000000000003</v>
      </c>
      <c r="G8" s="7" t="s">
        <v>46</v>
      </c>
      <c r="H8" s="7">
        <v>0</v>
      </c>
      <c r="I8" s="7"/>
      <c r="J8" s="7" t="s">
        <v>56</v>
      </c>
      <c r="K8" s="7">
        <v>82.91</v>
      </c>
      <c r="L8" s="9">
        <v>19.41</v>
      </c>
      <c r="M8" s="7" t="s">
        <v>57</v>
      </c>
      <c r="N8" s="7">
        <v>7.89</v>
      </c>
      <c r="O8" s="9">
        <v>1.37</v>
      </c>
      <c r="P8" s="8">
        <v>3.19</v>
      </c>
      <c r="Q8" s="7" t="s">
        <v>58</v>
      </c>
      <c r="R8" s="7">
        <v>39.25</v>
      </c>
      <c r="S8" s="9">
        <v>2.2400000000000002</v>
      </c>
      <c r="T8" s="9">
        <v>1.21</v>
      </c>
      <c r="U8" s="7" t="s">
        <v>59</v>
      </c>
      <c r="V8" s="7">
        <v>26.62</v>
      </c>
      <c r="W8" s="9">
        <v>0.96</v>
      </c>
      <c r="X8" s="9">
        <v>1.56</v>
      </c>
      <c r="Y8" s="7" t="s">
        <v>60</v>
      </c>
      <c r="Z8" s="7">
        <v>55.74</v>
      </c>
      <c r="AA8" s="9">
        <v>0.17</v>
      </c>
      <c r="AB8" s="9">
        <v>1.21</v>
      </c>
      <c r="AC8" s="7" t="s">
        <v>61</v>
      </c>
      <c r="AD8" s="7">
        <v>3.58</v>
      </c>
      <c r="AE8" s="9">
        <v>0.83</v>
      </c>
      <c r="AF8" s="9">
        <v>6.03</v>
      </c>
      <c r="AG8" s="7" t="s">
        <v>62</v>
      </c>
      <c r="AH8" s="7">
        <v>3.24</v>
      </c>
      <c r="AI8" s="9">
        <v>2.11</v>
      </c>
      <c r="AJ8" s="9">
        <v>4.7</v>
      </c>
      <c r="AK8" s="7" t="s">
        <v>63</v>
      </c>
      <c r="AL8" s="7">
        <v>146.25</v>
      </c>
      <c r="AM8" s="9">
        <v>0.03</v>
      </c>
      <c r="AN8" s="9">
        <v>3.92</v>
      </c>
    </row>
    <row r="9" spans="1:40" x14ac:dyDescent="0.3">
      <c r="A9" s="14">
        <v>45519</v>
      </c>
      <c r="B9" s="7" t="s">
        <v>20</v>
      </c>
      <c r="C9" s="7" t="str">
        <f t="shared" si="0"/>
        <v>45519C</v>
      </c>
      <c r="D9" s="7" t="s">
        <v>64</v>
      </c>
      <c r="E9" s="7">
        <v>15.86</v>
      </c>
      <c r="F9" s="8">
        <v>10.52</v>
      </c>
      <c r="G9" s="7" t="s">
        <v>46</v>
      </c>
      <c r="H9" s="7">
        <v>0</v>
      </c>
      <c r="I9" s="7"/>
      <c r="J9" s="7" t="s">
        <v>65</v>
      </c>
      <c r="K9" s="7">
        <v>98.33</v>
      </c>
      <c r="L9" s="8">
        <v>39.83</v>
      </c>
      <c r="M9" s="7" t="s">
        <v>66</v>
      </c>
      <c r="N9" s="7">
        <v>8.1999999999999993</v>
      </c>
      <c r="O9" s="8">
        <v>3.79</v>
      </c>
      <c r="P9" s="9">
        <v>0.61</v>
      </c>
      <c r="Q9" s="7" t="s">
        <v>67</v>
      </c>
      <c r="R9" s="7">
        <v>39</v>
      </c>
      <c r="S9" s="9">
        <v>1.48</v>
      </c>
      <c r="T9" s="9">
        <v>0.56000000000000005</v>
      </c>
      <c r="U9" s="7" t="s">
        <v>68</v>
      </c>
      <c r="V9" s="7">
        <v>25.44</v>
      </c>
      <c r="W9" s="9">
        <v>4.6399999999999997</v>
      </c>
      <c r="X9" s="9">
        <v>2.93</v>
      </c>
      <c r="Y9" s="7" t="s">
        <v>69</v>
      </c>
      <c r="Z9" s="7">
        <v>55.74</v>
      </c>
      <c r="AA9" s="9">
        <v>0.01</v>
      </c>
      <c r="AB9" s="9">
        <v>1.21</v>
      </c>
      <c r="AC9" s="7" t="s">
        <v>70</v>
      </c>
      <c r="AD9" s="7">
        <v>3.58</v>
      </c>
      <c r="AE9" s="9">
        <v>1.64</v>
      </c>
      <c r="AF9" s="9">
        <v>6.03</v>
      </c>
      <c r="AG9" s="7" t="s">
        <v>71</v>
      </c>
      <c r="AH9" s="7">
        <v>3.37</v>
      </c>
      <c r="AI9" s="9">
        <v>1.2</v>
      </c>
      <c r="AJ9" s="9">
        <v>0.88</v>
      </c>
      <c r="AK9" s="7" t="s">
        <v>72</v>
      </c>
      <c r="AL9" s="7">
        <v>149</v>
      </c>
      <c r="AM9" s="9">
        <v>0.44</v>
      </c>
      <c r="AN9" s="9">
        <v>2.12</v>
      </c>
    </row>
    <row r="10" spans="1:40" x14ac:dyDescent="0.3">
      <c r="A10" s="14">
        <v>45520</v>
      </c>
      <c r="B10" s="7" t="s">
        <v>22</v>
      </c>
      <c r="C10" s="7" t="str">
        <f t="shared" si="0"/>
        <v>45520A</v>
      </c>
      <c r="D10" s="7" t="s">
        <v>73</v>
      </c>
      <c r="E10" s="7">
        <v>20.079999999999998</v>
      </c>
      <c r="F10" s="8">
        <v>43.94</v>
      </c>
      <c r="G10" s="7" t="s">
        <v>46</v>
      </c>
      <c r="H10" s="7">
        <v>0</v>
      </c>
      <c r="I10" s="7"/>
      <c r="J10" s="7" t="s">
        <v>74</v>
      </c>
      <c r="K10" s="7">
        <v>74.790000000000006</v>
      </c>
      <c r="L10" s="9">
        <v>7.68</v>
      </c>
      <c r="M10" s="7" t="s">
        <v>75</v>
      </c>
      <c r="N10" s="7">
        <v>8.08</v>
      </c>
      <c r="O10" s="9">
        <v>0.49</v>
      </c>
      <c r="P10" s="9">
        <v>0.85</v>
      </c>
      <c r="Q10" s="7" t="s">
        <v>76</v>
      </c>
      <c r="R10" s="7">
        <v>37.67</v>
      </c>
      <c r="S10" s="9">
        <v>2.63</v>
      </c>
      <c r="T10" s="9">
        <v>2.86</v>
      </c>
      <c r="U10" s="7" t="s">
        <v>77</v>
      </c>
      <c r="V10" s="7">
        <v>25.77</v>
      </c>
      <c r="W10" s="9">
        <v>2.42</v>
      </c>
      <c r="X10" s="9">
        <v>1.67</v>
      </c>
      <c r="Y10" s="7" t="s">
        <v>78</v>
      </c>
      <c r="Z10" s="7">
        <v>55</v>
      </c>
      <c r="AA10" s="9">
        <v>1.23</v>
      </c>
      <c r="AB10" s="9">
        <v>0.12</v>
      </c>
      <c r="AC10" s="7" t="s">
        <v>52</v>
      </c>
      <c r="AD10" s="7">
        <v>3.58</v>
      </c>
      <c r="AE10" s="9">
        <v>4.0199999999999996</v>
      </c>
      <c r="AF10" s="9">
        <v>6.03</v>
      </c>
      <c r="AG10" s="7" t="s">
        <v>79</v>
      </c>
      <c r="AH10" s="7">
        <v>3.34</v>
      </c>
      <c r="AI10" s="9">
        <v>1.47</v>
      </c>
      <c r="AJ10" s="9">
        <v>1.76</v>
      </c>
      <c r="AK10" s="7" t="s">
        <v>80</v>
      </c>
      <c r="AL10" s="7">
        <v>144.33000000000001</v>
      </c>
      <c r="AM10" s="9">
        <v>2.97</v>
      </c>
      <c r="AN10" s="9">
        <v>5.18</v>
      </c>
    </row>
    <row r="11" spans="1:40" x14ac:dyDescent="0.3">
      <c r="A11" s="14">
        <v>45520</v>
      </c>
      <c r="B11" s="7" t="s">
        <v>19</v>
      </c>
      <c r="C11" s="7" t="str">
        <f t="shared" si="0"/>
        <v>45520B</v>
      </c>
      <c r="D11" s="7" t="s">
        <v>81</v>
      </c>
      <c r="E11" s="7">
        <v>18.809999999999999</v>
      </c>
      <c r="F11" s="8">
        <v>19.88</v>
      </c>
      <c r="G11" s="7" t="s">
        <v>46</v>
      </c>
      <c r="H11" s="7">
        <v>0</v>
      </c>
      <c r="I11" s="7"/>
      <c r="J11" s="7" t="s">
        <v>82</v>
      </c>
      <c r="K11" s="7">
        <v>75.8</v>
      </c>
      <c r="L11" s="9">
        <v>4.08</v>
      </c>
      <c r="M11" s="7" t="s">
        <v>83</v>
      </c>
      <c r="N11" s="7">
        <v>8.1</v>
      </c>
      <c r="O11" s="9">
        <v>0.49</v>
      </c>
      <c r="P11" s="9">
        <v>0.61</v>
      </c>
      <c r="Q11" s="7" t="s">
        <v>84</v>
      </c>
      <c r="R11" s="7">
        <v>37.67</v>
      </c>
      <c r="S11" s="9">
        <v>3.08</v>
      </c>
      <c r="T11" s="9">
        <v>2.86</v>
      </c>
      <c r="U11" s="7" t="s">
        <v>85</v>
      </c>
      <c r="V11" s="7">
        <v>27.27</v>
      </c>
      <c r="W11" s="9">
        <v>2.78</v>
      </c>
      <c r="X11" s="9">
        <v>4.04</v>
      </c>
      <c r="Y11" s="7" t="s">
        <v>86</v>
      </c>
      <c r="Z11" s="7">
        <v>55</v>
      </c>
      <c r="AA11" s="9">
        <v>0.21</v>
      </c>
      <c r="AB11" s="9">
        <v>0.12</v>
      </c>
      <c r="AC11" s="7" t="s">
        <v>87</v>
      </c>
      <c r="AD11" s="7">
        <v>3.7</v>
      </c>
      <c r="AE11" s="9">
        <v>0.53</v>
      </c>
      <c r="AF11" s="9">
        <v>2.88</v>
      </c>
      <c r="AG11" s="7" t="s">
        <v>79</v>
      </c>
      <c r="AH11" s="7">
        <v>3.34</v>
      </c>
      <c r="AI11" s="9">
        <v>1.47</v>
      </c>
      <c r="AJ11" s="9">
        <v>1.76</v>
      </c>
      <c r="AK11" s="7" t="s">
        <v>88</v>
      </c>
      <c r="AL11" s="7">
        <v>142</v>
      </c>
      <c r="AM11" s="9">
        <v>5.82</v>
      </c>
      <c r="AN11" s="9">
        <v>6.72</v>
      </c>
    </row>
    <row r="12" spans="1:40" x14ac:dyDescent="0.3">
      <c r="A12" s="14">
        <v>45520</v>
      </c>
      <c r="B12" s="7" t="s">
        <v>20</v>
      </c>
      <c r="C12" s="7" t="str">
        <f t="shared" si="0"/>
        <v>45520C</v>
      </c>
      <c r="D12" s="7" t="s">
        <v>55</v>
      </c>
      <c r="E12" s="7">
        <v>16.03</v>
      </c>
      <c r="F12" s="8">
        <v>41.1</v>
      </c>
      <c r="G12" s="7" t="s">
        <v>46</v>
      </c>
      <c r="H12" s="7">
        <v>0</v>
      </c>
      <c r="I12" s="7"/>
      <c r="J12" s="7" t="s">
        <v>89</v>
      </c>
      <c r="K12" s="7">
        <v>84.93</v>
      </c>
      <c r="L12" s="9">
        <v>18.54</v>
      </c>
      <c r="M12" s="7" t="s">
        <v>83</v>
      </c>
      <c r="N12" s="7">
        <v>8.4499999999999993</v>
      </c>
      <c r="O12" s="8">
        <v>4.83</v>
      </c>
      <c r="P12" s="8">
        <v>3.68</v>
      </c>
      <c r="Q12" s="7" t="s">
        <v>90</v>
      </c>
      <c r="R12" s="7">
        <v>39.200000000000003</v>
      </c>
      <c r="S12" s="9">
        <v>1.26</v>
      </c>
      <c r="T12" s="9">
        <v>1.08</v>
      </c>
      <c r="U12" s="7" t="s">
        <v>91</v>
      </c>
      <c r="V12" s="7">
        <v>26.6</v>
      </c>
      <c r="W12" s="9">
        <v>0.18</v>
      </c>
      <c r="X12" s="9">
        <v>1.48</v>
      </c>
      <c r="Y12" s="7" t="s">
        <v>92</v>
      </c>
      <c r="Z12" s="7">
        <v>55</v>
      </c>
      <c r="AA12" s="9">
        <v>0.41</v>
      </c>
      <c r="AB12" s="9">
        <v>0.12</v>
      </c>
      <c r="AC12" s="7" t="s">
        <v>93</v>
      </c>
      <c r="AD12" s="7">
        <v>3.7</v>
      </c>
      <c r="AE12" s="9">
        <v>0</v>
      </c>
      <c r="AF12" s="9">
        <v>2.88</v>
      </c>
      <c r="AG12" s="7" t="s">
        <v>94</v>
      </c>
      <c r="AH12" s="7">
        <v>3.44</v>
      </c>
      <c r="AI12" s="9">
        <v>2.68</v>
      </c>
      <c r="AJ12" s="9">
        <v>1.17</v>
      </c>
      <c r="AK12" s="7" t="s">
        <v>95</v>
      </c>
      <c r="AL12" s="7">
        <v>150.6</v>
      </c>
      <c r="AM12" s="9">
        <v>1.1200000000000001</v>
      </c>
      <c r="AN12" s="9">
        <v>1.07</v>
      </c>
    </row>
    <row r="13" spans="1:40" x14ac:dyDescent="0.3">
      <c r="A13" s="14">
        <v>45523</v>
      </c>
      <c r="B13" s="7" t="s">
        <v>22</v>
      </c>
      <c r="C13" s="7" t="str">
        <f t="shared" si="0"/>
        <v>45523A</v>
      </c>
      <c r="D13" s="7" t="s">
        <v>96</v>
      </c>
      <c r="E13" s="7">
        <v>15.37</v>
      </c>
      <c r="F13" s="8">
        <v>35.409999999999997</v>
      </c>
      <c r="G13" s="7" t="s">
        <v>46</v>
      </c>
      <c r="H13" s="7">
        <v>0</v>
      </c>
      <c r="I13" s="7"/>
      <c r="J13" s="7" t="s">
        <v>97</v>
      </c>
      <c r="K13" s="7">
        <v>67.959999999999994</v>
      </c>
      <c r="L13" s="8">
        <v>30.24</v>
      </c>
      <c r="M13" s="7" t="s">
        <v>98</v>
      </c>
      <c r="N13" s="7">
        <v>8.43</v>
      </c>
      <c r="O13" s="9">
        <v>2.8</v>
      </c>
      <c r="P13" s="8">
        <v>3.43</v>
      </c>
      <c r="Q13" s="7" t="s">
        <v>99</v>
      </c>
      <c r="R13" s="7">
        <v>37.17</v>
      </c>
      <c r="S13" s="9">
        <v>4.12</v>
      </c>
      <c r="T13" s="9">
        <v>4.1500000000000004</v>
      </c>
      <c r="U13" s="7" t="s">
        <v>100</v>
      </c>
      <c r="V13" s="7">
        <v>28.38</v>
      </c>
      <c r="W13" s="8">
        <v>7.62</v>
      </c>
      <c r="X13" s="8">
        <v>8.27</v>
      </c>
      <c r="Y13" s="7" t="s">
        <v>86</v>
      </c>
      <c r="Z13" s="10">
        <v>55.77</v>
      </c>
      <c r="AA13" s="9">
        <v>1.17</v>
      </c>
      <c r="AB13" s="9">
        <v>1.27</v>
      </c>
      <c r="AC13" s="7" t="s">
        <v>101</v>
      </c>
      <c r="AD13" s="7">
        <v>3.96</v>
      </c>
      <c r="AE13" s="9">
        <v>5.03</v>
      </c>
      <c r="AF13" s="9">
        <v>3.93</v>
      </c>
      <c r="AG13" s="7" t="s">
        <v>53</v>
      </c>
      <c r="AH13" s="11">
        <v>3.51</v>
      </c>
      <c r="AI13" s="9">
        <v>3.23</v>
      </c>
      <c r="AJ13" s="9">
        <v>3.23</v>
      </c>
      <c r="AK13" s="7" t="s">
        <v>102</v>
      </c>
      <c r="AL13" s="7">
        <v>142.16999999999999</v>
      </c>
      <c r="AM13" s="9">
        <v>5.22</v>
      </c>
      <c r="AN13" s="9">
        <v>6.6</v>
      </c>
    </row>
    <row r="14" spans="1:40" x14ac:dyDescent="0.3">
      <c r="A14" s="14">
        <v>45523</v>
      </c>
      <c r="B14" s="7" t="s">
        <v>19</v>
      </c>
      <c r="C14" s="7" t="str">
        <f t="shared" si="0"/>
        <v>45523B</v>
      </c>
      <c r="D14" s="7" t="s">
        <v>103</v>
      </c>
      <c r="E14" s="7">
        <v>13.68</v>
      </c>
      <c r="F14" s="8">
        <v>20.21</v>
      </c>
      <c r="G14" s="7" t="s">
        <v>46</v>
      </c>
      <c r="H14" s="7">
        <v>0</v>
      </c>
      <c r="I14" s="7"/>
      <c r="J14" s="7" t="s">
        <v>104</v>
      </c>
      <c r="K14" s="7">
        <v>77.75</v>
      </c>
      <c r="L14" s="8">
        <v>30.01</v>
      </c>
      <c r="M14" s="7" t="s">
        <v>105</v>
      </c>
      <c r="N14" s="7">
        <v>8.5</v>
      </c>
      <c r="O14" s="9">
        <v>0.59</v>
      </c>
      <c r="P14" s="8">
        <v>4.29</v>
      </c>
      <c r="Q14" s="7" t="s">
        <v>106</v>
      </c>
      <c r="R14" s="7">
        <v>39</v>
      </c>
      <c r="S14" s="9">
        <v>1.03</v>
      </c>
      <c r="T14" s="9">
        <v>0.56000000000000005</v>
      </c>
      <c r="U14" s="7" t="s">
        <v>77</v>
      </c>
      <c r="V14" s="7">
        <v>27</v>
      </c>
      <c r="W14" s="9">
        <v>2.23</v>
      </c>
      <c r="X14" s="9">
        <v>3.01</v>
      </c>
      <c r="Y14" s="7" t="s">
        <v>60</v>
      </c>
      <c r="Z14" s="10">
        <v>54.98</v>
      </c>
      <c r="AA14" s="9">
        <v>1.54</v>
      </c>
      <c r="AB14" s="9">
        <v>0.16</v>
      </c>
      <c r="AC14" s="7" t="s">
        <v>107</v>
      </c>
      <c r="AD14" s="10">
        <v>4.04</v>
      </c>
      <c r="AE14" s="9">
        <v>0.74</v>
      </c>
      <c r="AF14" s="9">
        <v>6.03</v>
      </c>
      <c r="AG14" s="7" t="s">
        <v>108</v>
      </c>
      <c r="AH14" s="11">
        <v>3.65</v>
      </c>
      <c r="AI14" s="9">
        <v>5.79</v>
      </c>
      <c r="AJ14" s="8">
        <v>7.35</v>
      </c>
      <c r="AK14" s="7" t="s">
        <v>109</v>
      </c>
      <c r="AL14" s="7">
        <v>147</v>
      </c>
      <c r="AM14" s="9">
        <v>0.73</v>
      </c>
      <c r="AN14" s="9">
        <v>3.43</v>
      </c>
    </row>
    <row r="15" spans="1:40" ht="18" x14ac:dyDescent="0.35">
      <c r="A15" s="14">
        <v>45523</v>
      </c>
      <c r="B15" s="7" t="s">
        <v>20</v>
      </c>
      <c r="C15" s="7" t="str">
        <f t="shared" si="0"/>
        <v>45523C</v>
      </c>
      <c r="D15" s="7" t="s">
        <v>110</v>
      </c>
      <c r="E15" s="7">
        <v>11.08</v>
      </c>
      <c r="F15" s="9">
        <v>2.8</v>
      </c>
      <c r="G15" s="7" t="s">
        <v>111</v>
      </c>
      <c r="H15" s="7">
        <v>0</v>
      </c>
      <c r="I15" s="8">
        <v>100</v>
      </c>
      <c r="J15" s="7" t="s">
        <v>112</v>
      </c>
      <c r="K15" s="7">
        <v>75.959999999999994</v>
      </c>
      <c r="L15" s="8">
        <v>31.75</v>
      </c>
      <c r="M15" s="7" t="s">
        <v>113</v>
      </c>
      <c r="N15" s="7">
        <v>8.57</v>
      </c>
      <c r="O15" s="9">
        <v>0.35</v>
      </c>
      <c r="P15" s="8">
        <v>5.15</v>
      </c>
      <c r="Q15" s="7" t="s">
        <v>114</v>
      </c>
      <c r="R15" s="7">
        <v>38.71</v>
      </c>
      <c r="S15" s="9">
        <v>0.85</v>
      </c>
      <c r="T15" s="9">
        <v>0.18</v>
      </c>
      <c r="U15" s="7" t="s">
        <v>115</v>
      </c>
      <c r="V15" s="7">
        <v>26.92</v>
      </c>
      <c r="W15" s="9">
        <v>1.31</v>
      </c>
      <c r="X15" s="9">
        <v>2.7</v>
      </c>
      <c r="Y15" s="7" t="s">
        <v>116</v>
      </c>
      <c r="Z15" s="7">
        <v>54.98</v>
      </c>
      <c r="AA15" s="9">
        <v>0.38</v>
      </c>
      <c r="AB15" s="9">
        <v>0.16</v>
      </c>
      <c r="AC15" s="7" t="s">
        <v>117</v>
      </c>
      <c r="AD15" s="7">
        <v>4.04</v>
      </c>
      <c r="AE15" s="9">
        <v>0</v>
      </c>
      <c r="AF15" s="9">
        <v>6.03</v>
      </c>
      <c r="AG15" s="7" t="s">
        <v>108</v>
      </c>
      <c r="AH15" s="7">
        <v>3.44</v>
      </c>
      <c r="AI15" s="9">
        <v>0.28000000000000003</v>
      </c>
      <c r="AJ15" s="9">
        <v>1.17</v>
      </c>
      <c r="AK15" s="7" t="s">
        <v>118</v>
      </c>
      <c r="AL15" s="7">
        <v>149.29</v>
      </c>
      <c r="AM15" s="9">
        <v>1.77</v>
      </c>
      <c r="AN15" s="9">
        <v>1.93</v>
      </c>
    </row>
    <row r="16" spans="1:40" x14ac:dyDescent="0.3">
      <c r="A16" s="14">
        <v>45524</v>
      </c>
      <c r="B16" s="7" t="s">
        <v>22</v>
      </c>
      <c r="C16" s="7" t="str">
        <f t="shared" si="0"/>
        <v>45524A</v>
      </c>
      <c r="D16" s="7" t="s">
        <v>119</v>
      </c>
      <c r="E16" s="7">
        <v>12.64</v>
      </c>
      <c r="F16" s="8">
        <v>11.16</v>
      </c>
      <c r="G16" s="7" t="s">
        <v>46</v>
      </c>
      <c r="H16" s="7">
        <v>0</v>
      </c>
      <c r="I16" s="7"/>
      <c r="J16" s="7" t="s">
        <v>120</v>
      </c>
      <c r="K16" s="7">
        <v>93.97</v>
      </c>
      <c r="L16" s="9">
        <v>10.38</v>
      </c>
      <c r="M16" s="7" t="s">
        <v>121</v>
      </c>
      <c r="N16" s="7">
        <v>8.15</v>
      </c>
      <c r="O16" s="9">
        <v>1.45</v>
      </c>
      <c r="P16" s="9">
        <v>0</v>
      </c>
      <c r="Q16" s="7" t="s">
        <v>122</v>
      </c>
      <c r="R16" s="7">
        <v>38.25</v>
      </c>
      <c r="S16" s="9">
        <v>0.64</v>
      </c>
      <c r="T16" s="9">
        <v>1.36</v>
      </c>
      <c r="U16" s="7" t="s">
        <v>123</v>
      </c>
      <c r="V16" s="7">
        <v>26.4</v>
      </c>
      <c r="W16" s="9">
        <v>0.99</v>
      </c>
      <c r="X16" s="9">
        <v>0.72</v>
      </c>
      <c r="Y16" s="7" t="s">
        <v>124</v>
      </c>
      <c r="Z16" s="7">
        <v>54.44</v>
      </c>
      <c r="AA16" s="9">
        <v>1.32</v>
      </c>
      <c r="AB16" s="9">
        <v>1.1399999999999999</v>
      </c>
      <c r="AC16" s="7" t="s">
        <v>125</v>
      </c>
      <c r="AD16" s="7">
        <v>4.0599999999999996</v>
      </c>
      <c r="AE16" s="9">
        <v>0.99</v>
      </c>
      <c r="AF16" s="9">
        <v>6.56</v>
      </c>
      <c r="AG16" s="7" t="s">
        <v>126</v>
      </c>
      <c r="AH16" s="7">
        <v>3.34</v>
      </c>
      <c r="AI16" s="9">
        <v>2.33</v>
      </c>
      <c r="AJ16" s="9">
        <v>1.76</v>
      </c>
      <c r="AK16" s="7" t="s">
        <v>127</v>
      </c>
      <c r="AL16" s="7">
        <v>140</v>
      </c>
      <c r="AM16" s="9">
        <v>5.3</v>
      </c>
      <c r="AN16" s="9">
        <v>8.0299999999999994</v>
      </c>
    </row>
    <row r="17" spans="1:40" x14ac:dyDescent="0.3">
      <c r="A17" s="14">
        <v>45524</v>
      </c>
      <c r="B17" s="7" t="s">
        <v>19</v>
      </c>
      <c r="C17" s="7" t="str">
        <f t="shared" si="0"/>
        <v>45524B</v>
      </c>
      <c r="D17" s="7" t="s">
        <v>96</v>
      </c>
      <c r="E17" s="7">
        <v>14.23</v>
      </c>
      <c r="F17" s="8">
        <v>25.37</v>
      </c>
      <c r="G17" s="7" t="s">
        <v>128</v>
      </c>
      <c r="H17" s="7">
        <v>0</v>
      </c>
      <c r="I17" s="8">
        <v>100</v>
      </c>
      <c r="J17" s="7" t="s">
        <v>129</v>
      </c>
      <c r="K17" s="7">
        <v>73.459999999999994</v>
      </c>
      <c r="L17" s="9">
        <v>22.94</v>
      </c>
      <c r="M17" s="7" t="s">
        <v>130</v>
      </c>
      <c r="N17" s="7">
        <v>8.07</v>
      </c>
      <c r="O17" s="9">
        <v>1.1000000000000001</v>
      </c>
      <c r="P17" s="9">
        <v>0.98</v>
      </c>
      <c r="Q17" s="7" t="s">
        <v>131</v>
      </c>
      <c r="R17" s="7">
        <v>38.5</v>
      </c>
      <c r="S17" s="9">
        <v>0.51</v>
      </c>
      <c r="T17" s="9">
        <v>0.72</v>
      </c>
      <c r="U17" s="7" t="s">
        <v>132</v>
      </c>
      <c r="V17" s="7">
        <v>26.9</v>
      </c>
      <c r="W17" s="9">
        <v>2.08</v>
      </c>
      <c r="X17" s="9">
        <v>2.63</v>
      </c>
      <c r="Y17" s="7" t="s">
        <v>133</v>
      </c>
      <c r="Z17" s="7">
        <v>56.44</v>
      </c>
      <c r="AA17" s="9">
        <v>2.89</v>
      </c>
      <c r="AB17" s="9">
        <v>2.48</v>
      </c>
      <c r="AC17" s="7" t="s">
        <v>117</v>
      </c>
      <c r="AD17" s="7">
        <v>4.0599999999999996</v>
      </c>
      <c r="AE17" s="9">
        <v>0.49</v>
      </c>
      <c r="AF17" s="9">
        <v>6.56</v>
      </c>
      <c r="AG17" s="7" t="s">
        <v>134</v>
      </c>
      <c r="AH17" s="7">
        <v>3.28</v>
      </c>
      <c r="AI17" s="9">
        <v>4.37</v>
      </c>
      <c r="AJ17" s="9">
        <v>3.52</v>
      </c>
      <c r="AK17" s="7" t="s">
        <v>135</v>
      </c>
      <c r="AL17" s="7">
        <v>154</v>
      </c>
      <c r="AM17" s="9">
        <v>4.6900000000000004</v>
      </c>
      <c r="AN17" s="9">
        <v>1.1599999999999999</v>
      </c>
    </row>
    <row r="18" spans="1:40" ht="18" x14ac:dyDescent="0.35">
      <c r="A18" s="14">
        <v>45524</v>
      </c>
      <c r="B18" s="7" t="s">
        <v>20</v>
      </c>
      <c r="C18" s="7" t="str">
        <f t="shared" si="0"/>
        <v>45524C</v>
      </c>
      <c r="D18" s="7" t="s">
        <v>136</v>
      </c>
      <c r="E18" s="7">
        <v>13.98</v>
      </c>
      <c r="F18" s="8">
        <v>27.93</v>
      </c>
      <c r="G18" s="7" t="s">
        <v>46</v>
      </c>
      <c r="H18" s="7">
        <v>0</v>
      </c>
      <c r="I18" s="7"/>
      <c r="J18" s="7" t="s">
        <v>137</v>
      </c>
      <c r="K18" s="7">
        <v>91.96</v>
      </c>
      <c r="L18" s="9">
        <v>3.33</v>
      </c>
      <c r="M18" s="7" t="s">
        <v>138</v>
      </c>
      <c r="N18" s="7">
        <v>8.11</v>
      </c>
      <c r="O18" s="9">
        <v>1.75</v>
      </c>
      <c r="P18" s="9">
        <v>0.49</v>
      </c>
      <c r="Q18" s="7" t="s">
        <v>114</v>
      </c>
      <c r="R18" s="7">
        <v>37.71</v>
      </c>
      <c r="S18" s="9">
        <v>1.74</v>
      </c>
      <c r="T18" s="9">
        <v>2.75</v>
      </c>
      <c r="U18" s="7" t="s">
        <v>77</v>
      </c>
      <c r="V18" s="7">
        <v>26.22</v>
      </c>
      <c r="W18" s="9">
        <v>0.71</v>
      </c>
      <c r="X18" s="9">
        <v>0.03</v>
      </c>
      <c r="Y18" s="7" t="s">
        <v>139</v>
      </c>
      <c r="Z18" s="7">
        <v>56.43</v>
      </c>
      <c r="AA18" s="9">
        <v>0.26</v>
      </c>
      <c r="AB18" s="9">
        <v>2.46</v>
      </c>
      <c r="AC18" s="7" t="s">
        <v>140</v>
      </c>
      <c r="AD18" s="7">
        <v>3.65</v>
      </c>
      <c r="AE18" s="9">
        <v>6.64</v>
      </c>
      <c r="AF18" s="9">
        <v>4.1900000000000004</v>
      </c>
      <c r="AG18" s="7" t="s">
        <v>141</v>
      </c>
      <c r="AH18" s="7">
        <v>3.25</v>
      </c>
      <c r="AI18" s="9">
        <v>1.51</v>
      </c>
      <c r="AJ18" s="9">
        <v>4.41</v>
      </c>
      <c r="AK18" s="7" t="s">
        <v>142</v>
      </c>
      <c r="AL18" s="7">
        <v>147.57</v>
      </c>
      <c r="AM18" s="9">
        <v>1.22</v>
      </c>
      <c r="AN18" s="9">
        <v>3.06</v>
      </c>
    </row>
    <row r="19" spans="1:40" x14ac:dyDescent="0.3">
      <c r="A19" s="14">
        <v>45525</v>
      </c>
      <c r="B19" s="7" t="s">
        <v>22</v>
      </c>
      <c r="C19" s="7" t="str">
        <f t="shared" si="0"/>
        <v>45525A</v>
      </c>
      <c r="D19" s="7" t="s">
        <v>143</v>
      </c>
      <c r="E19" s="7">
        <v>21.47</v>
      </c>
      <c r="F19" s="8">
        <v>44.09</v>
      </c>
      <c r="G19" s="7" t="s">
        <v>46</v>
      </c>
      <c r="H19" s="7">
        <v>0</v>
      </c>
      <c r="I19" s="7"/>
      <c r="J19" s="7" t="s">
        <v>144</v>
      </c>
      <c r="K19" s="7">
        <v>114.27</v>
      </c>
      <c r="L19" s="8">
        <v>65.099999999999994</v>
      </c>
      <c r="M19" s="7" t="s">
        <v>145</v>
      </c>
      <c r="N19" s="7">
        <v>7.9</v>
      </c>
      <c r="O19" s="9">
        <v>0.62</v>
      </c>
      <c r="P19" s="8">
        <v>3.06</v>
      </c>
      <c r="Q19" s="7" t="s">
        <v>146</v>
      </c>
      <c r="R19" s="7">
        <v>37.67</v>
      </c>
      <c r="S19" s="9">
        <v>1.79</v>
      </c>
      <c r="T19" s="9">
        <v>2.86</v>
      </c>
      <c r="U19" s="7" t="s">
        <v>147</v>
      </c>
      <c r="V19" s="7">
        <v>25.9</v>
      </c>
      <c r="W19" s="9">
        <v>2.63</v>
      </c>
      <c r="X19" s="9">
        <v>1.18</v>
      </c>
      <c r="Y19" s="7" t="s">
        <v>148</v>
      </c>
      <c r="Z19" s="10">
        <v>55.79</v>
      </c>
      <c r="AA19" s="9">
        <v>0.83</v>
      </c>
      <c r="AB19" s="9">
        <v>1.3</v>
      </c>
      <c r="AC19" s="7" t="s">
        <v>52</v>
      </c>
      <c r="AD19" s="7">
        <v>3.65</v>
      </c>
      <c r="AE19" s="9">
        <v>2.14</v>
      </c>
      <c r="AF19" s="9">
        <v>4.1900000000000004</v>
      </c>
      <c r="AG19" s="7" t="s">
        <v>149</v>
      </c>
      <c r="AH19" s="7">
        <v>3.32</v>
      </c>
      <c r="AI19" s="9">
        <v>0.59</v>
      </c>
      <c r="AJ19" s="9">
        <v>2.35</v>
      </c>
      <c r="AK19" s="7" t="s">
        <v>150</v>
      </c>
      <c r="AL19" s="7">
        <v>142.33000000000001</v>
      </c>
      <c r="AM19" s="9">
        <v>4.4000000000000004</v>
      </c>
      <c r="AN19" s="9">
        <v>6.5</v>
      </c>
    </row>
    <row r="20" spans="1:40" x14ac:dyDescent="0.3">
      <c r="A20" s="14">
        <v>45525</v>
      </c>
      <c r="B20" s="7" t="s">
        <v>19</v>
      </c>
      <c r="C20" s="7" t="str">
        <f t="shared" si="0"/>
        <v>45525B</v>
      </c>
      <c r="D20" s="7" t="s">
        <v>151</v>
      </c>
      <c r="E20" s="7">
        <v>20.350000000000001</v>
      </c>
      <c r="F20" s="9">
        <v>0.63</v>
      </c>
      <c r="G20" s="7" t="s">
        <v>46</v>
      </c>
      <c r="H20" s="7">
        <v>0</v>
      </c>
      <c r="I20" s="7"/>
      <c r="J20" s="7" t="s">
        <v>152</v>
      </c>
      <c r="K20" s="7">
        <v>63.12</v>
      </c>
      <c r="L20" s="8">
        <v>27.62</v>
      </c>
      <c r="M20" s="7" t="s">
        <v>153</v>
      </c>
      <c r="N20" s="7">
        <v>7.96</v>
      </c>
      <c r="O20" s="9">
        <v>2.33</v>
      </c>
      <c r="P20" s="9">
        <v>2.33</v>
      </c>
      <c r="Q20" s="7" t="s">
        <v>154</v>
      </c>
      <c r="R20" s="7">
        <v>38</v>
      </c>
      <c r="S20" s="9">
        <v>2.56</v>
      </c>
      <c r="T20" s="9">
        <v>2.0099999999999998</v>
      </c>
      <c r="U20" s="7" t="s">
        <v>155</v>
      </c>
      <c r="V20" s="7">
        <v>26.9</v>
      </c>
      <c r="W20" s="9">
        <v>1.28</v>
      </c>
      <c r="X20" s="9">
        <v>2.63</v>
      </c>
      <c r="Y20" s="7" t="s">
        <v>156</v>
      </c>
      <c r="Z20" s="7">
        <v>55.09</v>
      </c>
      <c r="AA20" s="9">
        <v>1.1399999999999999</v>
      </c>
      <c r="AB20" s="9">
        <v>0.03</v>
      </c>
      <c r="AC20" s="7" t="s">
        <v>52</v>
      </c>
      <c r="AD20" s="7">
        <v>3.65</v>
      </c>
      <c r="AE20" s="9">
        <v>2.14</v>
      </c>
      <c r="AF20" s="9">
        <v>4.1900000000000004</v>
      </c>
      <c r="AG20" s="7" t="s">
        <v>157</v>
      </c>
      <c r="AH20" s="7">
        <v>3.41</v>
      </c>
      <c r="AI20" s="9">
        <v>0.88</v>
      </c>
      <c r="AJ20" s="9">
        <v>0.28999999999999998</v>
      </c>
      <c r="AK20" s="7" t="s">
        <v>158</v>
      </c>
      <c r="AL20" s="7">
        <v>139</v>
      </c>
      <c r="AM20" s="9">
        <v>7.35</v>
      </c>
      <c r="AN20" s="9">
        <v>8.69</v>
      </c>
    </row>
    <row r="21" spans="1:40" x14ac:dyDescent="0.3">
      <c r="A21" s="14">
        <v>45525</v>
      </c>
      <c r="B21" s="7" t="s">
        <v>20</v>
      </c>
      <c r="C21" s="7" t="str">
        <f t="shared" si="0"/>
        <v>45525C</v>
      </c>
      <c r="D21" s="7" t="s">
        <v>159</v>
      </c>
      <c r="E21" s="7">
        <v>16.21</v>
      </c>
      <c r="F21" s="8">
        <v>43.32</v>
      </c>
      <c r="G21" s="7" t="s">
        <v>46</v>
      </c>
      <c r="H21" s="7">
        <v>0</v>
      </c>
      <c r="I21" s="7"/>
      <c r="J21" s="7" t="s">
        <v>160</v>
      </c>
      <c r="K21" s="7">
        <v>73.64</v>
      </c>
      <c r="L21" s="9">
        <v>7.91</v>
      </c>
      <c r="M21" s="7" t="s">
        <v>161</v>
      </c>
      <c r="N21" s="7">
        <v>8.3000000000000007</v>
      </c>
      <c r="O21" s="9">
        <v>2.59</v>
      </c>
      <c r="P21" s="9">
        <v>1.84</v>
      </c>
      <c r="Q21" s="7" t="s">
        <v>162</v>
      </c>
      <c r="R21" s="7">
        <v>38.5</v>
      </c>
      <c r="S21" s="9">
        <v>0.77</v>
      </c>
      <c r="T21" s="9">
        <v>0.72</v>
      </c>
      <c r="U21" s="7" t="s">
        <v>163</v>
      </c>
      <c r="V21" s="7">
        <v>26.5</v>
      </c>
      <c r="W21" s="9">
        <v>0.63</v>
      </c>
      <c r="X21" s="9">
        <v>1.1000000000000001</v>
      </c>
      <c r="Y21" s="7" t="s">
        <v>164</v>
      </c>
      <c r="Z21" s="7">
        <v>55.08</v>
      </c>
      <c r="AA21" s="9">
        <v>0.39</v>
      </c>
      <c r="AB21" s="9">
        <v>0.01</v>
      </c>
      <c r="AC21" s="7" t="s">
        <v>101</v>
      </c>
      <c r="AD21" s="7">
        <v>3.65</v>
      </c>
      <c r="AE21" s="9">
        <v>3.18</v>
      </c>
      <c r="AF21" s="9">
        <v>4.1900000000000004</v>
      </c>
      <c r="AG21" s="7" t="s">
        <v>53</v>
      </c>
      <c r="AH21" s="7">
        <v>3.43</v>
      </c>
      <c r="AI21" s="9">
        <v>0.88</v>
      </c>
      <c r="AJ21" s="9">
        <v>0.88</v>
      </c>
      <c r="AK21" s="7" t="s">
        <v>165</v>
      </c>
      <c r="AL21" s="7">
        <v>147.5</v>
      </c>
      <c r="AM21" s="9">
        <v>0.04</v>
      </c>
      <c r="AN21" s="9">
        <v>3.1</v>
      </c>
    </row>
    <row r="22" spans="1:40" x14ac:dyDescent="0.3">
      <c r="A22" s="14">
        <v>45526</v>
      </c>
      <c r="B22" s="7" t="s">
        <v>22</v>
      </c>
      <c r="C22" s="7" t="str">
        <f t="shared" si="0"/>
        <v>45526A</v>
      </c>
      <c r="D22" s="7" t="s">
        <v>45</v>
      </c>
      <c r="E22" s="7">
        <v>21.21</v>
      </c>
      <c r="F22" s="8">
        <v>87.03</v>
      </c>
      <c r="G22" s="7" t="s">
        <v>46</v>
      </c>
      <c r="H22" s="7">
        <v>0</v>
      </c>
      <c r="I22" s="7"/>
      <c r="J22" s="7" t="s">
        <v>166</v>
      </c>
      <c r="K22" s="7">
        <v>79.739999999999995</v>
      </c>
      <c r="L22" s="9">
        <v>13.2</v>
      </c>
      <c r="M22" s="7" t="s">
        <v>167</v>
      </c>
      <c r="N22" s="7">
        <v>7.85</v>
      </c>
      <c r="O22" s="8">
        <v>4.1500000000000004</v>
      </c>
      <c r="P22" s="8">
        <v>3.68</v>
      </c>
      <c r="Q22" s="7" t="s">
        <v>168</v>
      </c>
      <c r="R22" s="7">
        <v>39.33</v>
      </c>
      <c r="S22" s="9">
        <v>1.49</v>
      </c>
      <c r="T22" s="9">
        <v>1.41</v>
      </c>
      <c r="U22" s="7" t="s">
        <v>169</v>
      </c>
      <c r="V22" s="7">
        <v>25</v>
      </c>
      <c r="W22" s="8">
        <v>5.51</v>
      </c>
      <c r="X22" s="9">
        <v>4.6100000000000003</v>
      </c>
      <c r="Y22" s="7" t="s">
        <v>170</v>
      </c>
      <c r="Z22" s="7">
        <v>55.08</v>
      </c>
      <c r="AA22" s="9">
        <v>0.25</v>
      </c>
      <c r="AB22" s="9">
        <v>0.01</v>
      </c>
      <c r="AC22" s="7" t="s">
        <v>171</v>
      </c>
      <c r="AD22" s="7">
        <v>3.65</v>
      </c>
      <c r="AE22" s="9">
        <v>2.92</v>
      </c>
      <c r="AF22" s="9">
        <v>4.1900000000000004</v>
      </c>
      <c r="AG22" s="7" t="s">
        <v>172</v>
      </c>
      <c r="AH22" s="7">
        <v>3.37</v>
      </c>
      <c r="AI22" s="9">
        <v>1.17</v>
      </c>
      <c r="AJ22" s="9">
        <v>0.88</v>
      </c>
      <c r="AK22" s="7" t="s">
        <v>173</v>
      </c>
      <c r="AL22" s="7">
        <v>147.33000000000001</v>
      </c>
      <c r="AM22" s="9">
        <v>1.1200000000000001</v>
      </c>
      <c r="AN22" s="9">
        <v>3.21</v>
      </c>
    </row>
    <row r="23" spans="1:40" ht="18" x14ac:dyDescent="0.35">
      <c r="A23" s="14">
        <v>45526</v>
      </c>
      <c r="B23" s="7" t="s">
        <v>19</v>
      </c>
      <c r="C23" s="7" t="str">
        <f t="shared" si="0"/>
        <v>45526B</v>
      </c>
      <c r="D23" s="7" t="s">
        <v>174</v>
      </c>
      <c r="E23" s="7">
        <v>19.45</v>
      </c>
      <c r="F23" s="8">
        <v>30.71</v>
      </c>
      <c r="G23" s="7" t="s">
        <v>46</v>
      </c>
      <c r="H23" s="7">
        <v>0</v>
      </c>
      <c r="I23" s="7"/>
      <c r="J23" s="7" t="s">
        <v>175</v>
      </c>
      <c r="K23" s="7">
        <v>67.91</v>
      </c>
      <c r="L23" s="9">
        <v>1.76</v>
      </c>
      <c r="M23" s="7" t="s">
        <v>176</v>
      </c>
      <c r="N23" s="7">
        <v>7.98</v>
      </c>
      <c r="O23" s="9">
        <v>0.74</v>
      </c>
      <c r="P23" s="9">
        <v>2.08</v>
      </c>
      <c r="Q23" s="7" t="s">
        <v>177</v>
      </c>
      <c r="R23" s="11">
        <v>36</v>
      </c>
      <c r="S23" s="8">
        <v>7.45</v>
      </c>
      <c r="T23" s="8">
        <v>7.16</v>
      </c>
      <c r="U23" s="7" t="s">
        <v>178</v>
      </c>
      <c r="V23" s="7">
        <v>27.9</v>
      </c>
      <c r="W23" s="8">
        <v>5.48</v>
      </c>
      <c r="X23" s="8">
        <v>6.44</v>
      </c>
      <c r="Y23" s="7" t="s">
        <v>92</v>
      </c>
      <c r="Z23" s="7">
        <v>55.88</v>
      </c>
      <c r="AA23" s="9">
        <v>1.17</v>
      </c>
      <c r="AB23" s="9">
        <v>1.47</v>
      </c>
      <c r="AC23" s="7" t="s">
        <v>179</v>
      </c>
      <c r="AD23" s="10">
        <v>3.84</v>
      </c>
      <c r="AE23" s="9">
        <v>1.05</v>
      </c>
      <c r="AF23" s="9">
        <v>0.78</v>
      </c>
      <c r="AG23" s="7" t="s">
        <v>172</v>
      </c>
      <c r="AH23" s="7">
        <v>3.42</v>
      </c>
      <c r="AI23" s="9">
        <v>0.28999999999999998</v>
      </c>
      <c r="AJ23" s="9">
        <v>0.57999999999999996</v>
      </c>
      <c r="AK23" s="7" t="s">
        <v>180</v>
      </c>
      <c r="AL23" s="7">
        <v>142</v>
      </c>
      <c r="AM23" s="9">
        <v>4.92</v>
      </c>
      <c r="AN23" s="9">
        <v>6.72</v>
      </c>
    </row>
    <row r="24" spans="1:40" x14ac:dyDescent="0.3">
      <c r="A24" s="14">
        <v>45526</v>
      </c>
      <c r="B24" s="7" t="s">
        <v>20</v>
      </c>
      <c r="C24" s="7" t="str">
        <f t="shared" si="0"/>
        <v>45526C</v>
      </c>
      <c r="D24" s="7" t="s">
        <v>181</v>
      </c>
      <c r="E24" s="7">
        <v>16.95</v>
      </c>
      <c r="F24" s="8">
        <v>49.6</v>
      </c>
      <c r="G24" s="7" t="s">
        <v>46</v>
      </c>
      <c r="H24" s="7">
        <v>0</v>
      </c>
      <c r="I24" s="7"/>
      <c r="J24" s="7" t="s">
        <v>182</v>
      </c>
      <c r="K24" s="7">
        <v>86.76</v>
      </c>
      <c r="L24" s="9">
        <v>2.16</v>
      </c>
      <c r="M24" s="7" t="s">
        <v>183</v>
      </c>
      <c r="N24" s="7">
        <v>8.5500000000000007</v>
      </c>
      <c r="O24" s="8">
        <v>4.6500000000000004</v>
      </c>
      <c r="P24" s="8">
        <v>4.9000000000000004</v>
      </c>
      <c r="Q24" s="7" t="s">
        <v>99</v>
      </c>
      <c r="R24" s="7">
        <v>38.67</v>
      </c>
      <c r="S24" s="9">
        <v>0.25</v>
      </c>
      <c r="T24" s="9">
        <v>0.28000000000000003</v>
      </c>
      <c r="U24" s="7" t="s">
        <v>85</v>
      </c>
      <c r="V24" s="7">
        <v>25.61</v>
      </c>
      <c r="W24" s="9">
        <v>3.46</v>
      </c>
      <c r="X24" s="9">
        <v>2.2799999999999998</v>
      </c>
      <c r="Y24" s="7" t="s">
        <v>184</v>
      </c>
      <c r="Z24" s="7">
        <v>55.24</v>
      </c>
      <c r="AA24" s="9">
        <v>0.61</v>
      </c>
      <c r="AB24" s="9">
        <v>0.3</v>
      </c>
      <c r="AC24" s="7" t="s">
        <v>185</v>
      </c>
      <c r="AD24" s="7">
        <v>3.84</v>
      </c>
      <c r="AE24" s="9">
        <v>2.29</v>
      </c>
      <c r="AF24" s="9">
        <v>0.78</v>
      </c>
      <c r="AG24" s="7" t="s">
        <v>172</v>
      </c>
      <c r="AH24" s="11">
        <v>3.59</v>
      </c>
      <c r="AI24" s="9">
        <v>5.27</v>
      </c>
      <c r="AJ24" s="9">
        <v>5.58</v>
      </c>
      <c r="AK24" s="7" t="s">
        <v>186</v>
      </c>
      <c r="AL24" s="7">
        <v>147.33000000000001</v>
      </c>
      <c r="AM24" s="9">
        <v>0.62</v>
      </c>
      <c r="AN24" s="9">
        <v>3.21</v>
      </c>
    </row>
    <row r="25" spans="1:40" x14ac:dyDescent="0.3">
      <c r="A25" s="14">
        <v>45530</v>
      </c>
      <c r="B25" s="7" t="s">
        <v>22</v>
      </c>
      <c r="C25" s="7" t="str">
        <f t="shared" si="0"/>
        <v>45530A</v>
      </c>
      <c r="D25" s="7" t="s">
        <v>45</v>
      </c>
      <c r="E25" s="7">
        <v>16.440000000000001</v>
      </c>
      <c r="F25" s="8">
        <v>44.97</v>
      </c>
      <c r="G25" s="7" t="s">
        <v>187</v>
      </c>
      <c r="H25" s="7">
        <v>17.75</v>
      </c>
      <c r="I25" s="8">
        <v>69.040000000000006</v>
      </c>
      <c r="J25" s="7" t="s">
        <v>188</v>
      </c>
      <c r="K25" s="7">
        <v>73.59</v>
      </c>
      <c r="L25" s="9">
        <v>13.1</v>
      </c>
      <c r="M25" s="7" t="s">
        <v>189</v>
      </c>
      <c r="N25" s="10">
        <v>8.41</v>
      </c>
      <c r="O25" s="9">
        <v>0</v>
      </c>
      <c r="P25" s="8">
        <v>3.19</v>
      </c>
      <c r="Q25" s="7" t="s">
        <v>190</v>
      </c>
      <c r="R25" s="10">
        <v>38.4</v>
      </c>
      <c r="S25" s="9">
        <v>0.64</v>
      </c>
      <c r="T25" s="9">
        <v>0.97</v>
      </c>
      <c r="U25" s="7" t="s">
        <v>191</v>
      </c>
      <c r="V25" s="10">
        <v>26.08</v>
      </c>
      <c r="W25" s="9">
        <v>0.34</v>
      </c>
      <c r="X25" s="9">
        <v>0.49</v>
      </c>
      <c r="Y25" s="7" t="s">
        <v>192</v>
      </c>
      <c r="Z25" s="10">
        <v>56.12</v>
      </c>
      <c r="AA25" s="9">
        <v>1.4</v>
      </c>
      <c r="AB25" s="9">
        <v>1.9</v>
      </c>
      <c r="AC25" s="7" t="s">
        <v>193</v>
      </c>
      <c r="AD25" s="10">
        <v>3.75</v>
      </c>
      <c r="AE25" s="9">
        <v>6.01</v>
      </c>
      <c r="AF25" s="9">
        <v>1.57</v>
      </c>
      <c r="AG25" s="7" t="s">
        <v>194</v>
      </c>
      <c r="AH25" s="12">
        <v>3.55</v>
      </c>
      <c r="AI25" s="9">
        <v>1.71</v>
      </c>
      <c r="AJ25" s="9">
        <v>4.41</v>
      </c>
      <c r="AK25" s="7" t="s">
        <v>195</v>
      </c>
      <c r="AL25" s="10">
        <v>134</v>
      </c>
      <c r="AM25" s="9">
        <v>8.48</v>
      </c>
      <c r="AN25" s="8">
        <v>11.97</v>
      </c>
    </row>
    <row r="26" spans="1:40" ht="18" x14ac:dyDescent="0.35">
      <c r="A26" s="14">
        <v>45530</v>
      </c>
      <c r="B26" s="7" t="s">
        <v>19</v>
      </c>
      <c r="C26" s="7" t="str">
        <f t="shared" si="0"/>
        <v>45530B</v>
      </c>
      <c r="D26" s="7" t="s">
        <v>96</v>
      </c>
      <c r="E26" s="7">
        <v>11.12</v>
      </c>
      <c r="F26" s="9">
        <v>2.02</v>
      </c>
      <c r="G26" s="7" t="s">
        <v>196</v>
      </c>
      <c r="H26" s="7">
        <v>9.81</v>
      </c>
      <c r="I26" s="9">
        <v>4.1399999999999997</v>
      </c>
      <c r="J26" s="7" t="s">
        <v>197</v>
      </c>
      <c r="K26" s="7">
        <v>80.28</v>
      </c>
      <c r="L26" s="9">
        <v>9.93</v>
      </c>
      <c r="M26" s="7" t="s">
        <v>198</v>
      </c>
      <c r="N26" s="7">
        <v>8.86</v>
      </c>
      <c r="O26" s="8">
        <v>3.86</v>
      </c>
      <c r="P26" s="8">
        <v>8.7100000000000009</v>
      </c>
      <c r="Q26" s="7" t="s">
        <v>199</v>
      </c>
      <c r="R26" s="7">
        <v>41</v>
      </c>
      <c r="S26" s="8">
        <v>5.37</v>
      </c>
      <c r="T26" s="8">
        <v>5.72</v>
      </c>
      <c r="U26" s="7" t="s">
        <v>200</v>
      </c>
      <c r="V26" s="7">
        <v>27.15</v>
      </c>
      <c r="W26" s="9">
        <v>2.41</v>
      </c>
      <c r="X26" s="9">
        <v>3.58</v>
      </c>
      <c r="Y26" s="7" t="s">
        <v>201</v>
      </c>
      <c r="Z26" s="7">
        <v>56.47</v>
      </c>
      <c r="AA26" s="9">
        <v>0.49</v>
      </c>
      <c r="AB26" s="9">
        <v>2.54</v>
      </c>
      <c r="AC26" s="7" t="s">
        <v>185</v>
      </c>
      <c r="AD26" s="7">
        <v>4.29</v>
      </c>
      <c r="AE26" s="8">
        <v>9.16</v>
      </c>
      <c r="AF26" s="8">
        <v>12.59</v>
      </c>
      <c r="AG26" s="11" t="s">
        <v>202</v>
      </c>
      <c r="AH26" s="11">
        <v>3.68</v>
      </c>
      <c r="AI26" s="9">
        <v>4.54</v>
      </c>
      <c r="AJ26" s="8">
        <v>8.23</v>
      </c>
      <c r="AK26" s="7" t="s">
        <v>203</v>
      </c>
      <c r="AL26" s="7">
        <v>145.5</v>
      </c>
      <c r="AM26" s="9">
        <v>1.94</v>
      </c>
      <c r="AN26" s="9">
        <v>4.42</v>
      </c>
    </row>
    <row r="27" spans="1:40" ht="18" x14ac:dyDescent="0.35">
      <c r="A27" s="14">
        <v>45530</v>
      </c>
      <c r="B27" s="7" t="s">
        <v>20</v>
      </c>
      <c r="C27" s="7" t="str">
        <f t="shared" si="0"/>
        <v>45530C</v>
      </c>
      <c r="D27" s="7" t="s">
        <v>204</v>
      </c>
      <c r="E27" s="7">
        <v>9.32</v>
      </c>
      <c r="F27" s="8">
        <v>18.38</v>
      </c>
      <c r="G27" s="7" t="s">
        <v>205</v>
      </c>
      <c r="H27" s="7">
        <v>11.4</v>
      </c>
      <c r="I27" s="8">
        <v>36.729999999999997</v>
      </c>
      <c r="J27" s="7" t="s">
        <v>206</v>
      </c>
      <c r="K27" s="7">
        <v>87.47</v>
      </c>
      <c r="L27" s="9">
        <v>21.53</v>
      </c>
      <c r="M27" s="7" t="s">
        <v>207</v>
      </c>
      <c r="N27" s="7">
        <v>8.5</v>
      </c>
      <c r="O27" s="9">
        <v>2.96</v>
      </c>
      <c r="P27" s="8">
        <v>4.29</v>
      </c>
      <c r="Q27" s="7" t="s">
        <v>208</v>
      </c>
      <c r="R27" s="7">
        <v>38.33</v>
      </c>
      <c r="S27" s="9">
        <v>0.02</v>
      </c>
      <c r="T27" s="9">
        <v>1.1599999999999999</v>
      </c>
      <c r="U27" s="7" t="s">
        <v>209</v>
      </c>
      <c r="V27" s="7">
        <v>25.75</v>
      </c>
      <c r="W27" s="9">
        <v>2.12</v>
      </c>
      <c r="X27" s="9">
        <v>1.75</v>
      </c>
      <c r="Y27" s="7" t="s">
        <v>210</v>
      </c>
      <c r="Z27" s="7">
        <v>56.46</v>
      </c>
      <c r="AA27" s="9">
        <v>7.0000000000000007E-2</v>
      </c>
      <c r="AB27" s="9">
        <v>2.52</v>
      </c>
      <c r="AC27" s="7" t="s">
        <v>211</v>
      </c>
      <c r="AD27" s="7">
        <v>4.29</v>
      </c>
      <c r="AE27" s="9">
        <v>0.46</v>
      </c>
      <c r="AF27" s="8">
        <v>12.59</v>
      </c>
      <c r="AG27" s="11" t="s">
        <v>212</v>
      </c>
      <c r="AH27" s="11">
        <v>3.58</v>
      </c>
      <c r="AI27" s="9">
        <v>1.99</v>
      </c>
      <c r="AJ27" s="9">
        <v>5.29</v>
      </c>
      <c r="AK27" s="7" t="s">
        <v>213</v>
      </c>
      <c r="AL27" s="7">
        <v>144.83000000000001</v>
      </c>
      <c r="AM27" s="9">
        <v>1.41</v>
      </c>
      <c r="AN27" s="9">
        <v>4.8600000000000003</v>
      </c>
    </row>
    <row r="28" spans="1:40" x14ac:dyDescent="0.3">
      <c r="A28" s="14">
        <v>45531</v>
      </c>
      <c r="B28" s="7" t="s">
        <v>22</v>
      </c>
      <c r="C28" s="7" t="str">
        <f t="shared" si="0"/>
        <v>45531A</v>
      </c>
      <c r="D28" s="7" t="s">
        <v>119</v>
      </c>
      <c r="E28" s="7">
        <v>15.69</v>
      </c>
      <c r="F28" s="8">
        <v>37.99</v>
      </c>
      <c r="G28" s="7" t="s">
        <v>214</v>
      </c>
      <c r="H28" s="7">
        <v>17.27</v>
      </c>
      <c r="I28" s="9">
        <v>3.73</v>
      </c>
      <c r="J28" s="7" t="s">
        <v>215</v>
      </c>
      <c r="K28" s="7">
        <v>107.54</v>
      </c>
      <c r="L28" s="9">
        <v>21.78</v>
      </c>
      <c r="M28" s="7" t="s">
        <v>216</v>
      </c>
      <c r="N28" s="10">
        <v>8.4</v>
      </c>
      <c r="O28" s="9">
        <v>0.47</v>
      </c>
      <c r="P28" s="8">
        <v>3.06</v>
      </c>
      <c r="Q28" s="7" t="s">
        <v>217</v>
      </c>
      <c r="R28" s="11">
        <v>36</v>
      </c>
      <c r="S28" s="8">
        <v>6.39</v>
      </c>
      <c r="T28" s="8">
        <v>7.16</v>
      </c>
      <c r="U28" s="7" t="s">
        <v>218</v>
      </c>
      <c r="V28" s="7">
        <v>25.46</v>
      </c>
      <c r="W28" s="9">
        <v>2.37</v>
      </c>
      <c r="X28" s="9">
        <v>2.86</v>
      </c>
      <c r="Y28" s="7" t="s">
        <v>210</v>
      </c>
      <c r="Z28" s="10">
        <v>57.09</v>
      </c>
      <c r="AA28" s="9">
        <v>1.18</v>
      </c>
      <c r="AB28" s="9">
        <v>3.66</v>
      </c>
      <c r="AC28" s="7" t="s">
        <v>219</v>
      </c>
      <c r="AD28" s="10">
        <v>4.29</v>
      </c>
      <c r="AE28" s="9">
        <v>0.7</v>
      </c>
      <c r="AF28" s="8">
        <v>12.59</v>
      </c>
      <c r="AG28" s="7" t="s">
        <v>220</v>
      </c>
      <c r="AH28" s="7">
        <v>3.2</v>
      </c>
      <c r="AI28" s="8">
        <v>7.78</v>
      </c>
      <c r="AJ28" s="9">
        <v>5.88</v>
      </c>
      <c r="AK28" s="7" t="s">
        <v>221</v>
      </c>
      <c r="AL28" s="11">
        <v>121</v>
      </c>
      <c r="AM28" s="8">
        <v>16.22</v>
      </c>
      <c r="AN28" s="8">
        <v>20.51</v>
      </c>
    </row>
    <row r="29" spans="1:40" x14ac:dyDescent="0.3">
      <c r="A29" s="14">
        <v>45531</v>
      </c>
      <c r="B29" s="7" t="s">
        <v>19</v>
      </c>
      <c r="C29" s="7" t="str">
        <f t="shared" si="0"/>
        <v>45531B</v>
      </c>
      <c r="D29" s="7" t="s">
        <v>222</v>
      </c>
      <c r="E29" s="7">
        <v>14.72</v>
      </c>
      <c r="F29" s="8">
        <v>30.03</v>
      </c>
      <c r="G29" s="7" t="s">
        <v>223</v>
      </c>
      <c r="H29" s="7">
        <v>17.649999999999999</v>
      </c>
      <c r="I29" s="8">
        <v>140.79</v>
      </c>
      <c r="J29" s="7" t="s">
        <v>224</v>
      </c>
      <c r="K29" s="7">
        <v>75.78</v>
      </c>
      <c r="L29" s="9">
        <v>0.85</v>
      </c>
      <c r="M29" s="7" t="s">
        <v>167</v>
      </c>
      <c r="N29" s="7">
        <v>8.4499999999999993</v>
      </c>
      <c r="O29" s="8">
        <v>3.17</v>
      </c>
      <c r="P29" s="8">
        <v>3.68</v>
      </c>
      <c r="Q29" s="7" t="s">
        <v>49</v>
      </c>
      <c r="R29" s="7">
        <v>37.799999999999997</v>
      </c>
      <c r="S29" s="9">
        <v>2.04</v>
      </c>
      <c r="T29" s="9">
        <v>2.52</v>
      </c>
      <c r="U29" s="7" t="s">
        <v>225</v>
      </c>
      <c r="V29" s="7">
        <v>27.46</v>
      </c>
      <c r="W29" s="9">
        <v>3.74</v>
      </c>
      <c r="X29" s="9">
        <v>4.76</v>
      </c>
      <c r="Y29" s="7" t="s">
        <v>226</v>
      </c>
      <c r="Z29" s="11">
        <v>57.78</v>
      </c>
      <c r="AA29" s="9">
        <v>1.26</v>
      </c>
      <c r="AB29" s="9">
        <v>4.92</v>
      </c>
      <c r="AC29" s="7" t="s">
        <v>219</v>
      </c>
      <c r="AD29" s="7">
        <v>4.29</v>
      </c>
      <c r="AE29" s="9">
        <v>0.7</v>
      </c>
      <c r="AF29" s="8">
        <v>12.59</v>
      </c>
      <c r="AG29" s="7" t="s">
        <v>108</v>
      </c>
      <c r="AH29" s="7">
        <v>3.38</v>
      </c>
      <c r="AI29" s="9">
        <v>2.02</v>
      </c>
      <c r="AJ29" s="9">
        <v>0.57999999999999996</v>
      </c>
      <c r="AK29" s="7" t="s">
        <v>227</v>
      </c>
      <c r="AL29" s="7">
        <v>144</v>
      </c>
      <c r="AM29" s="9">
        <v>1.24</v>
      </c>
      <c r="AN29" s="9">
        <v>5.4</v>
      </c>
    </row>
    <row r="30" spans="1:40" x14ac:dyDescent="0.3">
      <c r="A30" s="14">
        <v>45531</v>
      </c>
      <c r="B30" s="7" t="s">
        <v>20</v>
      </c>
      <c r="C30" s="7" t="str">
        <f t="shared" si="0"/>
        <v>45531C</v>
      </c>
      <c r="D30" s="7" t="s">
        <v>228</v>
      </c>
      <c r="E30" s="7">
        <v>13.62</v>
      </c>
      <c r="F30" s="8">
        <v>12.09</v>
      </c>
      <c r="G30" s="7" t="s">
        <v>46</v>
      </c>
      <c r="H30" s="7">
        <v>12.74</v>
      </c>
      <c r="I30" s="7"/>
      <c r="J30" s="7" t="s">
        <v>229</v>
      </c>
      <c r="K30" s="7">
        <v>98.94</v>
      </c>
      <c r="L30" s="9">
        <v>1.64</v>
      </c>
      <c r="M30" s="7" t="s">
        <v>153</v>
      </c>
      <c r="N30" s="7">
        <v>8.32</v>
      </c>
      <c r="O30" s="9">
        <v>2.08</v>
      </c>
      <c r="P30" s="9">
        <v>2.08</v>
      </c>
      <c r="Q30" s="7" t="s">
        <v>230</v>
      </c>
      <c r="R30" s="7">
        <v>38.43</v>
      </c>
      <c r="S30" s="9">
        <v>0.33</v>
      </c>
      <c r="T30" s="9">
        <v>0.9</v>
      </c>
      <c r="U30" s="7" t="s">
        <v>231</v>
      </c>
      <c r="V30" s="7">
        <v>26.34</v>
      </c>
      <c r="W30" s="9">
        <v>7.0000000000000007E-2</v>
      </c>
      <c r="X30" s="9">
        <v>0.49</v>
      </c>
      <c r="Y30" s="11" t="s">
        <v>232</v>
      </c>
      <c r="Z30" s="11">
        <v>57.78</v>
      </c>
      <c r="AA30" s="9">
        <v>0.53</v>
      </c>
      <c r="AB30" s="9">
        <v>4.92</v>
      </c>
      <c r="AC30" s="7" t="s">
        <v>233</v>
      </c>
      <c r="AD30" s="7">
        <v>4.29</v>
      </c>
      <c r="AE30" s="9">
        <v>3.12</v>
      </c>
      <c r="AF30" s="8">
        <v>12.59</v>
      </c>
      <c r="AG30" s="7" t="s">
        <v>234</v>
      </c>
      <c r="AH30" s="7">
        <v>3.41</v>
      </c>
      <c r="AI30" s="9">
        <v>1.18</v>
      </c>
      <c r="AJ30" s="9">
        <v>0.28999999999999998</v>
      </c>
      <c r="AK30" s="7" t="s">
        <v>235</v>
      </c>
      <c r="AL30" s="7">
        <v>144.71</v>
      </c>
      <c r="AM30" s="9">
        <v>1.06</v>
      </c>
      <c r="AN30" s="9">
        <v>4.93</v>
      </c>
    </row>
    <row r="31" spans="1:40" x14ac:dyDescent="0.3">
      <c r="A31" s="14">
        <v>45532</v>
      </c>
      <c r="B31" s="7" t="s">
        <v>22</v>
      </c>
      <c r="C31" s="7" t="str">
        <f t="shared" si="0"/>
        <v>45532A</v>
      </c>
      <c r="D31" s="7" t="s">
        <v>236</v>
      </c>
      <c r="E31" s="7">
        <v>19.82</v>
      </c>
      <c r="F31" s="8">
        <v>66.83</v>
      </c>
      <c r="G31" s="7" t="s">
        <v>46</v>
      </c>
      <c r="H31" s="7">
        <v>17.04</v>
      </c>
      <c r="I31" s="7"/>
      <c r="J31" s="7" t="s">
        <v>237</v>
      </c>
      <c r="K31" s="7">
        <v>86.19</v>
      </c>
      <c r="L31" s="9">
        <v>11.76</v>
      </c>
      <c r="M31" s="7" t="s">
        <v>238</v>
      </c>
      <c r="N31" s="7">
        <v>8.33</v>
      </c>
      <c r="O31" s="9">
        <v>2.33</v>
      </c>
      <c r="P31" s="9">
        <v>2.2000000000000002</v>
      </c>
      <c r="Q31" s="7" t="s">
        <v>239</v>
      </c>
      <c r="R31" s="7">
        <v>38</v>
      </c>
      <c r="S31" s="9">
        <v>1.17</v>
      </c>
      <c r="T31" s="9">
        <v>2.0099999999999998</v>
      </c>
      <c r="U31" s="7" t="s">
        <v>240</v>
      </c>
      <c r="V31" s="7">
        <v>25.6</v>
      </c>
      <c r="W31" s="9">
        <v>2.4700000000000002</v>
      </c>
      <c r="X31" s="9">
        <v>2.3199999999999998</v>
      </c>
      <c r="Y31" s="11" t="s">
        <v>241</v>
      </c>
      <c r="Z31" s="10">
        <v>56.04</v>
      </c>
      <c r="AA31" s="9">
        <v>2.5</v>
      </c>
      <c r="AB31" s="9">
        <v>1.76</v>
      </c>
      <c r="AC31" s="7" t="s">
        <v>242</v>
      </c>
      <c r="AD31" s="10">
        <v>4.0199999999999996</v>
      </c>
      <c r="AE31" s="9">
        <v>5.18</v>
      </c>
      <c r="AF31" s="9">
        <v>5.51</v>
      </c>
      <c r="AG31" s="7" t="s">
        <v>172</v>
      </c>
      <c r="AH31" s="7">
        <v>3.41</v>
      </c>
      <c r="AI31" s="9">
        <v>0</v>
      </c>
      <c r="AJ31" s="9">
        <v>0.28999999999999998</v>
      </c>
      <c r="AK31" s="7" t="s">
        <v>243</v>
      </c>
      <c r="AL31" s="7">
        <v>139.33000000000001</v>
      </c>
      <c r="AM31" s="9">
        <v>4.28</v>
      </c>
      <c r="AN31" s="9">
        <v>8.4700000000000006</v>
      </c>
    </row>
    <row r="32" spans="1:40" x14ac:dyDescent="0.3">
      <c r="A32" s="14">
        <v>45532</v>
      </c>
      <c r="B32" s="7" t="s">
        <v>19</v>
      </c>
      <c r="C32" s="7" t="str">
        <f t="shared" si="0"/>
        <v>45532B</v>
      </c>
      <c r="D32" s="7" t="s">
        <v>159</v>
      </c>
      <c r="E32" s="7">
        <v>20.47</v>
      </c>
      <c r="F32" s="8">
        <v>80.989999999999995</v>
      </c>
      <c r="G32" s="7" t="s">
        <v>46</v>
      </c>
      <c r="H32" s="7">
        <v>16.440000000000001</v>
      </c>
      <c r="I32" s="7"/>
      <c r="J32" s="7" t="s">
        <v>244</v>
      </c>
      <c r="K32" s="7">
        <v>92.98</v>
      </c>
      <c r="L32" s="9">
        <v>17.100000000000001</v>
      </c>
      <c r="M32" s="7" t="s">
        <v>183</v>
      </c>
      <c r="N32" s="10">
        <v>8.36</v>
      </c>
      <c r="O32" s="9">
        <v>2.3199999999999998</v>
      </c>
      <c r="P32" s="9">
        <v>2.57</v>
      </c>
      <c r="Q32" s="7" t="s">
        <v>90</v>
      </c>
      <c r="R32" s="7">
        <v>39</v>
      </c>
      <c r="S32" s="9">
        <v>0.74</v>
      </c>
      <c r="T32" s="9">
        <v>0.56000000000000005</v>
      </c>
      <c r="U32" s="7" t="s">
        <v>115</v>
      </c>
      <c r="V32" s="7">
        <v>26.6</v>
      </c>
      <c r="W32" s="9">
        <v>0.11</v>
      </c>
      <c r="X32" s="9">
        <v>1.48</v>
      </c>
      <c r="Y32" s="7" t="s">
        <v>245</v>
      </c>
      <c r="Z32" s="7">
        <v>56.03</v>
      </c>
      <c r="AA32" s="9">
        <v>0.17</v>
      </c>
      <c r="AB32" s="9">
        <v>1.74</v>
      </c>
      <c r="AC32" s="7" t="s">
        <v>246</v>
      </c>
      <c r="AD32" s="10">
        <v>4.0199999999999996</v>
      </c>
      <c r="AE32" s="9">
        <v>1.22</v>
      </c>
      <c r="AF32" s="9">
        <v>5.51</v>
      </c>
      <c r="AG32" s="7" t="s">
        <v>134</v>
      </c>
      <c r="AH32" s="11">
        <v>3.52</v>
      </c>
      <c r="AI32" s="9">
        <v>2.62</v>
      </c>
      <c r="AJ32" s="9">
        <v>3.52</v>
      </c>
      <c r="AK32" s="7" t="s">
        <v>247</v>
      </c>
      <c r="AL32" s="7">
        <v>145</v>
      </c>
      <c r="AM32" s="9">
        <v>0.65</v>
      </c>
      <c r="AN32" s="9">
        <v>4.74</v>
      </c>
    </row>
    <row r="33" spans="1:40" x14ac:dyDescent="0.3">
      <c r="A33" s="14">
        <v>45532</v>
      </c>
      <c r="B33" s="7" t="s">
        <v>20</v>
      </c>
      <c r="C33" s="7" t="str">
        <f t="shared" si="0"/>
        <v>45532C</v>
      </c>
      <c r="D33" s="7" t="s">
        <v>248</v>
      </c>
      <c r="E33" s="7">
        <v>14.23</v>
      </c>
      <c r="F33" s="8">
        <v>24.71</v>
      </c>
      <c r="G33" s="7" t="s">
        <v>249</v>
      </c>
      <c r="H33" s="7">
        <v>17.190000000000001</v>
      </c>
      <c r="I33" s="9">
        <v>6.24</v>
      </c>
      <c r="J33" s="7" t="s">
        <v>250</v>
      </c>
      <c r="K33" s="7">
        <v>63.25</v>
      </c>
      <c r="L33" s="8">
        <v>43.24</v>
      </c>
      <c r="M33" s="7" t="s">
        <v>48</v>
      </c>
      <c r="N33" s="7">
        <v>9</v>
      </c>
      <c r="O33" s="8">
        <v>8.56</v>
      </c>
      <c r="P33" s="8">
        <v>10.42</v>
      </c>
      <c r="Q33" s="7" t="s">
        <v>251</v>
      </c>
      <c r="R33" s="7">
        <v>39</v>
      </c>
      <c r="S33" s="9">
        <v>0.93</v>
      </c>
      <c r="T33" s="9">
        <v>0.56000000000000005</v>
      </c>
      <c r="U33" s="7" t="s">
        <v>252</v>
      </c>
      <c r="V33" s="7">
        <v>25.85</v>
      </c>
      <c r="W33" s="9">
        <v>1.86</v>
      </c>
      <c r="X33" s="9">
        <v>1.37</v>
      </c>
      <c r="Y33" s="7" t="s">
        <v>253</v>
      </c>
      <c r="Z33" s="10">
        <v>56.84</v>
      </c>
      <c r="AA33" s="9">
        <v>0.85</v>
      </c>
      <c r="AB33" s="9">
        <v>3.21</v>
      </c>
      <c r="AC33" s="7" t="s">
        <v>254</v>
      </c>
      <c r="AD33" s="10">
        <v>4.0199999999999996</v>
      </c>
      <c r="AE33" s="9">
        <v>1.77</v>
      </c>
      <c r="AF33" s="9">
        <v>5.51</v>
      </c>
      <c r="AG33" s="7" t="s">
        <v>53</v>
      </c>
      <c r="AH33" s="11">
        <v>3.78</v>
      </c>
      <c r="AI33" s="8">
        <v>11.17</v>
      </c>
      <c r="AJ33" s="8">
        <v>11.17</v>
      </c>
      <c r="AK33" s="7" t="s">
        <v>142</v>
      </c>
      <c r="AL33" s="7">
        <v>152</v>
      </c>
      <c r="AM33" s="9">
        <v>1.74</v>
      </c>
      <c r="AN33" s="9">
        <v>0.15</v>
      </c>
    </row>
    <row r="34" spans="1:40" x14ac:dyDescent="0.3">
      <c r="A34" s="14">
        <v>45533</v>
      </c>
      <c r="B34" s="7" t="s">
        <v>22</v>
      </c>
      <c r="C34" s="7" t="str">
        <f t="shared" si="0"/>
        <v>45533A</v>
      </c>
      <c r="D34" s="7" t="s">
        <v>248</v>
      </c>
      <c r="E34" s="7">
        <v>10.57</v>
      </c>
      <c r="F34" s="8">
        <v>7.36</v>
      </c>
      <c r="G34" s="7" t="s">
        <v>255</v>
      </c>
      <c r="H34" s="7">
        <v>16.899999999999999</v>
      </c>
      <c r="I34" s="9">
        <v>6.11</v>
      </c>
      <c r="J34" s="7" t="s">
        <v>256</v>
      </c>
      <c r="K34" s="7">
        <v>73.11</v>
      </c>
      <c r="L34" s="8">
        <v>31.83</v>
      </c>
      <c r="M34" s="7" t="s">
        <v>257</v>
      </c>
      <c r="N34" s="10">
        <v>8.65</v>
      </c>
      <c r="O34" s="9">
        <v>2.14</v>
      </c>
      <c r="P34" s="8">
        <v>6.13</v>
      </c>
      <c r="Q34" s="7" t="s">
        <v>258</v>
      </c>
      <c r="R34" s="7">
        <v>38</v>
      </c>
      <c r="S34" s="9">
        <v>2.08</v>
      </c>
      <c r="T34" s="9">
        <v>2.0099999999999998</v>
      </c>
      <c r="U34" s="7" t="s">
        <v>259</v>
      </c>
      <c r="V34" s="7">
        <v>25.4</v>
      </c>
      <c r="W34" s="9">
        <v>1.66</v>
      </c>
      <c r="X34" s="9">
        <v>3.09</v>
      </c>
      <c r="Y34" s="7" t="s">
        <v>260</v>
      </c>
      <c r="Z34" s="12">
        <v>53.2</v>
      </c>
      <c r="AA34" s="9">
        <v>6</v>
      </c>
      <c r="AB34" s="9">
        <v>3.39</v>
      </c>
      <c r="AC34" s="7" t="s">
        <v>261</v>
      </c>
      <c r="AD34" s="10">
        <v>4.0199999999999996</v>
      </c>
      <c r="AE34" s="9">
        <v>3.82</v>
      </c>
      <c r="AF34" s="9">
        <v>5.51</v>
      </c>
      <c r="AG34" s="11" t="s">
        <v>262</v>
      </c>
      <c r="AH34" s="7">
        <v>3.36</v>
      </c>
      <c r="AI34" s="9">
        <v>5.88</v>
      </c>
      <c r="AJ34" s="9">
        <v>1.17</v>
      </c>
      <c r="AK34" s="7" t="s">
        <v>263</v>
      </c>
      <c r="AL34" s="7">
        <v>148</v>
      </c>
      <c r="AM34" s="9">
        <v>2.54</v>
      </c>
      <c r="AN34" s="9">
        <v>2.77</v>
      </c>
    </row>
    <row r="35" spans="1:40" x14ac:dyDescent="0.3">
      <c r="A35" s="14">
        <v>45533</v>
      </c>
      <c r="B35" s="7" t="s">
        <v>19</v>
      </c>
      <c r="C35" s="7" t="str">
        <f t="shared" si="0"/>
        <v>45533B</v>
      </c>
      <c r="D35" s="7" t="s">
        <v>264</v>
      </c>
      <c r="E35" s="7">
        <v>11.84</v>
      </c>
      <c r="F35" s="9">
        <v>3.95</v>
      </c>
      <c r="G35" s="7" t="s">
        <v>265</v>
      </c>
      <c r="H35" s="7">
        <v>17.89</v>
      </c>
      <c r="I35" s="8">
        <v>167.81</v>
      </c>
      <c r="J35" s="7" t="s">
        <v>266</v>
      </c>
      <c r="K35" s="7">
        <v>104.85</v>
      </c>
      <c r="L35" s="9">
        <v>5.73</v>
      </c>
      <c r="M35" s="7" t="s">
        <v>267</v>
      </c>
      <c r="N35" s="7">
        <v>8.2799999999999994</v>
      </c>
      <c r="O35" s="9">
        <v>2.58</v>
      </c>
      <c r="P35" s="9">
        <v>1.59</v>
      </c>
      <c r="Q35" s="7" t="s">
        <v>230</v>
      </c>
      <c r="R35" s="11">
        <v>36</v>
      </c>
      <c r="S35" s="8">
        <v>6.63</v>
      </c>
      <c r="T35" s="8">
        <v>7.16</v>
      </c>
      <c r="U35" s="7" t="s">
        <v>225</v>
      </c>
      <c r="V35" s="7">
        <v>26.87</v>
      </c>
      <c r="W35" s="9">
        <v>1.51</v>
      </c>
      <c r="X35" s="9">
        <v>2.5099999999999998</v>
      </c>
      <c r="Y35" s="11" t="s">
        <v>268</v>
      </c>
      <c r="Z35" s="7">
        <v>54.98</v>
      </c>
      <c r="AA35" s="9">
        <v>2.09</v>
      </c>
      <c r="AB35" s="9">
        <v>0.16</v>
      </c>
      <c r="AC35" s="7" t="s">
        <v>269</v>
      </c>
      <c r="AD35" s="7">
        <v>4.0199999999999996</v>
      </c>
      <c r="AE35" s="9">
        <v>0.24</v>
      </c>
      <c r="AF35" s="9">
        <v>5.51</v>
      </c>
      <c r="AG35" s="7" t="s">
        <v>194</v>
      </c>
      <c r="AH35" s="7">
        <v>3.23</v>
      </c>
      <c r="AI35" s="8">
        <v>7.44</v>
      </c>
      <c r="AJ35" s="9">
        <v>4.99</v>
      </c>
      <c r="AK35" s="7" t="s">
        <v>270</v>
      </c>
      <c r="AL35" s="7">
        <v>142.66999999999999</v>
      </c>
      <c r="AM35" s="9">
        <v>1.61</v>
      </c>
      <c r="AN35" s="9">
        <v>6.27</v>
      </c>
    </row>
    <row r="36" spans="1:40" x14ac:dyDescent="0.3">
      <c r="A36" s="14">
        <v>45533</v>
      </c>
      <c r="B36" s="7" t="s">
        <v>20</v>
      </c>
      <c r="C36" s="7" t="str">
        <f t="shared" si="0"/>
        <v>45533C</v>
      </c>
      <c r="D36" s="7" t="s">
        <v>96</v>
      </c>
      <c r="E36" s="7">
        <v>14.83</v>
      </c>
      <c r="F36" s="8">
        <v>30.66</v>
      </c>
      <c r="G36" s="7" t="s">
        <v>46</v>
      </c>
      <c r="H36" s="7">
        <v>9.58</v>
      </c>
      <c r="I36" s="7"/>
      <c r="J36" s="7" t="s">
        <v>271</v>
      </c>
      <c r="K36" s="7">
        <v>98.92</v>
      </c>
      <c r="L36" s="9">
        <v>0.06</v>
      </c>
      <c r="M36" s="7" t="s">
        <v>272</v>
      </c>
      <c r="N36" s="7">
        <v>8.1</v>
      </c>
      <c r="O36" s="9">
        <v>1.75</v>
      </c>
      <c r="P36" s="9">
        <v>0.61</v>
      </c>
      <c r="Q36" s="7" t="s">
        <v>114</v>
      </c>
      <c r="R36" s="7">
        <v>37.71</v>
      </c>
      <c r="S36" s="9">
        <v>1.74</v>
      </c>
      <c r="T36" s="9">
        <v>2.75</v>
      </c>
      <c r="U36" s="7" t="s">
        <v>273</v>
      </c>
      <c r="V36" s="7">
        <v>26.17</v>
      </c>
      <c r="W36" s="9">
        <v>1.39</v>
      </c>
      <c r="X36" s="9">
        <v>0.15</v>
      </c>
      <c r="Y36" s="7" t="s">
        <v>274</v>
      </c>
      <c r="Z36" s="7">
        <v>56.77</v>
      </c>
      <c r="AA36" s="9">
        <v>2.71</v>
      </c>
      <c r="AB36" s="9">
        <v>3.08</v>
      </c>
      <c r="AC36" s="7" t="s">
        <v>185</v>
      </c>
      <c r="AD36" s="7">
        <v>4.0199999999999996</v>
      </c>
      <c r="AE36" s="9">
        <v>2.29</v>
      </c>
      <c r="AF36" s="9">
        <v>5.51</v>
      </c>
      <c r="AG36" s="7" t="s">
        <v>149</v>
      </c>
      <c r="AH36" s="7">
        <v>3.29</v>
      </c>
      <c r="AI36" s="9">
        <v>1.49</v>
      </c>
      <c r="AJ36" s="9">
        <v>3.23</v>
      </c>
      <c r="AK36" s="7" t="s">
        <v>275</v>
      </c>
      <c r="AL36" s="7">
        <v>142.71</v>
      </c>
      <c r="AM36" s="9">
        <v>3.02</v>
      </c>
      <c r="AN36" s="9">
        <v>6.25</v>
      </c>
    </row>
    <row r="37" spans="1:40" ht="18" x14ac:dyDescent="0.35">
      <c r="A37" s="14">
        <v>45538</v>
      </c>
      <c r="B37" s="7" t="s">
        <v>22</v>
      </c>
      <c r="C37" s="7" t="str">
        <f t="shared" si="0"/>
        <v>45538A</v>
      </c>
      <c r="D37" s="7" t="s">
        <v>276</v>
      </c>
      <c r="E37" s="7">
        <v>21.41</v>
      </c>
      <c r="F37" s="8">
        <v>58.35</v>
      </c>
      <c r="G37" s="7" t="s">
        <v>46</v>
      </c>
      <c r="H37" s="7">
        <v>16.329999999999998</v>
      </c>
      <c r="I37" s="7"/>
      <c r="J37" s="7" t="s">
        <v>277</v>
      </c>
      <c r="K37" s="7">
        <v>69.78</v>
      </c>
      <c r="L37" s="9">
        <v>1.8</v>
      </c>
      <c r="M37" s="7" t="s">
        <v>278</v>
      </c>
      <c r="N37" s="7">
        <v>8.09</v>
      </c>
      <c r="O37" s="9">
        <v>2.5299999999999998</v>
      </c>
      <c r="P37" s="9">
        <v>0.73</v>
      </c>
      <c r="Q37" s="7" t="s">
        <v>279</v>
      </c>
      <c r="R37" s="7">
        <v>38.67</v>
      </c>
      <c r="S37" s="9">
        <v>0.7</v>
      </c>
      <c r="T37" s="9">
        <v>0.28000000000000003</v>
      </c>
      <c r="U37" s="7" t="s">
        <v>91</v>
      </c>
      <c r="V37" s="7">
        <v>26.23</v>
      </c>
      <c r="W37" s="9">
        <v>1.57</v>
      </c>
      <c r="X37" s="9">
        <v>7.0000000000000007E-2</v>
      </c>
      <c r="Y37" s="7" t="s">
        <v>280</v>
      </c>
      <c r="Z37" s="7">
        <v>55.8</v>
      </c>
      <c r="AA37" s="9">
        <v>1.51</v>
      </c>
      <c r="AB37" s="9">
        <v>1.32</v>
      </c>
      <c r="AC37" s="7" t="s">
        <v>281</v>
      </c>
      <c r="AD37" s="7">
        <v>4.0199999999999996</v>
      </c>
      <c r="AE37" s="9">
        <v>1.25</v>
      </c>
      <c r="AF37" s="9">
        <v>5.51</v>
      </c>
      <c r="AG37" s="7" t="s">
        <v>71</v>
      </c>
      <c r="AH37" s="7">
        <v>3.41</v>
      </c>
      <c r="AI37" s="9">
        <v>2.4</v>
      </c>
      <c r="AJ37" s="9">
        <v>0.28999999999999998</v>
      </c>
      <c r="AK37" s="7" t="s">
        <v>282</v>
      </c>
      <c r="AL37" s="7">
        <v>143.5</v>
      </c>
      <c r="AM37" s="9">
        <v>1.95</v>
      </c>
      <c r="AN37" s="9">
        <v>5.73</v>
      </c>
    </row>
    <row r="38" spans="1:40" x14ac:dyDescent="0.3">
      <c r="A38" s="14">
        <v>45538</v>
      </c>
      <c r="B38" s="7" t="s">
        <v>19</v>
      </c>
      <c r="C38" s="7" t="str">
        <f t="shared" si="0"/>
        <v>45538B</v>
      </c>
      <c r="D38" s="7" t="s">
        <v>119</v>
      </c>
      <c r="E38" s="7">
        <v>18.22</v>
      </c>
      <c r="F38" s="8">
        <v>60.24</v>
      </c>
      <c r="G38" s="7" t="s">
        <v>283</v>
      </c>
      <c r="H38" s="7">
        <v>17.91</v>
      </c>
      <c r="I38" s="9">
        <v>0</v>
      </c>
      <c r="J38" s="7" t="s">
        <v>284</v>
      </c>
      <c r="K38" s="7">
        <v>73.239999999999995</v>
      </c>
      <c r="L38" s="9">
        <v>16.22</v>
      </c>
      <c r="M38" s="7" t="s">
        <v>153</v>
      </c>
      <c r="N38" s="7">
        <v>8.3000000000000007</v>
      </c>
      <c r="O38" s="9">
        <v>1.84</v>
      </c>
      <c r="P38" s="9">
        <v>1.84</v>
      </c>
      <c r="Q38" s="7" t="s">
        <v>285</v>
      </c>
      <c r="R38" s="7">
        <v>38.4</v>
      </c>
      <c r="S38" s="9">
        <v>0.72</v>
      </c>
      <c r="T38" s="9">
        <v>0.97</v>
      </c>
      <c r="U38" s="7" t="s">
        <v>286</v>
      </c>
      <c r="V38" s="7">
        <v>28.1</v>
      </c>
      <c r="W38" s="8">
        <v>6.92</v>
      </c>
      <c r="X38" s="8">
        <v>7.21</v>
      </c>
      <c r="Y38" s="7" t="s">
        <v>287</v>
      </c>
      <c r="Z38" s="10">
        <v>56</v>
      </c>
      <c r="AA38" s="9">
        <v>0.17</v>
      </c>
      <c r="AB38" s="9">
        <v>1.68</v>
      </c>
      <c r="AC38" s="7" t="s">
        <v>193</v>
      </c>
      <c r="AD38" s="7">
        <v>3.97</v>
      </c>
      <c r="AE38" s="9">
        <v>0.5</v>
      </c>
      <c r="AF38" s="9">
        <v>4.1900000000000004</v>
      </c>
      <c r="AG38" s="7" t="s">
        <v>134</v>
      </c>
      <c r="AH38" s="7">
        <v>3.44</v>
      </c>
      <c r="AI38" s="9">
        <v>0.28999999999999998</v>
      </c>
      <c r="AJ38" s="9">
        <v>1.17</v>
      </c>
      <c r="AK38" s="7" t="s">
        <v>288</v>
      </c>
      <c r="AL38" s="7">
        <v>144.4</v>
      </c>
      <c r="AM38" s="9">
        <v>2.95</v>
      </c>
      <c r="AN38" s="9">
        <v>5.14</v>
      </c>
    </row>
    <row r="39" spans="1:40" ht="18" x14ac:dyDescent="0.35">
      <c r="A39" s="14">
        <v>45538</v>
      </c>
      <c r="B39" s="7" t="s">
        <v>20</v>
      </c>
      <c r="C39" s="7" t="str">
        <f t="shared" si="0"/>
        <v>45538C</v>
      </c>
      <c r="D39" s="7" t="s">
        <v>55</v>
      </c>
      <c r="E39" s="7">
        <v>16.36</v>
      </c>
      <c r="F39" s="8">
        <v>44.01</v>
      </c>
      <c r="G39" s="7" t="s">
        <v>46</v>
      </c>
      <c r="H39" s="7">
        <v>6.99</v>
      </c>
      <c r="I39" s="7"/>
      <c r="J39" s="7" t="s">
        <v>289</v>
      </c>
      <c r="K39" s="7">
        <v>87.2</v>
      </c>
      <c r="L39" s="9">
        <v>14.94</v>
      </c>
      <c r="M39" s="7" t="s">
        <v>167</v>
      </c>
      <c r="N39" s="7">
        <v>8.4700000000000006</v>
      </c>
      <c r="O39" s="8">
        <v>3.41</v>
      </c>
      <c r="P39" s="8">
        <v>3.92</v>
      </c>
      <c r="Q39" s="7" t="s">
        <v>290</v>
      </c>
      <c r="R39" s="7">
        <v>37.25</v>
      </c>
      <c r="S39" s="9">
        <v>3.02</v>
      </c>
      <c r="T39" s="9">
        <v>3.94</v>
      </c>
      <c r="U39" s="7" t="s">
        <v>291</v>
      </c>
      <c r="V39" s="7">
        <v>26.52</v>
      </c>
      <c r="W39" s="9">
        <v>7.0000000000000007E-2</v>
      </c>
      <c r="X39" s="9">
        <v>1.18</v>
      </c>
      <c r="Y39" s="7" t="s">
        <v>292</v>
      </c>
      <c r="Z39" s="7">
        <v>55.99</v>
      </c>
      <c r="AA39" s="9">
        <v>0.03</v>
      </c>
      <c r="AB39" s="9">
        <v>1.67</v>
      </c>
      <c r="AC39" s="7" t="s">
        <v>293</v>
      </c>
      <c r="AD39" s="7">
        <v>3.91</v>
      </c>
      <c r="AE39" s="9">
        <v>0.51</v>
      </c>
      <c r="AF39" s="9">
        <v>2.62</v>
      </c>
      <c r="AG39" s="7" t="s">
        <v>234</v>
      </c>
      <c r="AH39" s="7">
        <v>3.5</v>
      </c>
      <c r="AI39" s="9">
        <v>3.85</v>
      </c>
      <c r="AJ39" s="9">
        <v>2.94</v>
      </c>
      <c r="AK39" s="7" t="s">
        <v>294</v>
      </c>
      <c r="AL39" s="7">
        <v>141.75</v>
      </c>
      <c r="AM39" s="9">
        <v>2.62</v>
      </c>
      <c r="AN39" s="9">
        <v>6.88</v>
      </c>
    </row>
    <row r="40" spans="1:40" ht="18" x14ac:dyDescent="0.35">
      <c r="A40" s="14">
        <v>45539</v>
      </c>
      <c r="B40" s="7" t="s">
        <v>22</v>
      </c>
      <c r="C40" s="7" t="str">
        <f t="shared" si="0"/>
        <v>45539A</v>
      </c>
      <c r="D40" s="7" t="s">
        <v>222</v>
      </c>
      <c r="E40" s="7">
        <v>19.89</v>
      </c>
      <c r="F40" s="8">
        <v>75.7</v>
      </c>
      <c r="G40" s="7" t="s">
        <v>46</v>
      </c>
      <c r="H40" s="7">
        <v>18.010000000000002</v>
      </c>
      <c r="I40" s="7"/>
      <c r="J40" s="7" t="s">
        <v>295</v>
      </c>
      <c r="K40" s="7">
        <v>66.72</v>
      </c>
      <c r="L40" s="9">
        <v>21.5</v>
      </c>
      <c r="M40" s="7" t="s">
        <v>98</v>
      </c>
      <c r="N40" s="7">
        <v>8.32</v>
      </c>
      <c r="O40" s="9">
        <v>1.46</v>
      </c>
      <c r="P40" s="9">
        <v>2.08</v>
      </c>
      <c r="Q40" s="7" t="s">
        <v>296</v>
      </c>
      <c r="R40" s="7">
        <v>38.14</v>
      </c>
      <c r="S40" s="9">
        <v>0.26</v>
      </c>
      <c r="T40" s="9">
        <v>1.65</v>
      </c>
      <c r="U40" s="7" t="s">
        <v>297</v>
      </c>
      <c r="V40" s="7">
        <v>27.31</v>
      </c>
      <c r="W40" s="9">
        <v>2.4300000000000002</v>
      </c>
      <c r="X40" s="9">
        <v>4.1900000000000004</v>
      </c>
      <c r="Y40" s="7" t="s">
        <v>298</v>
      </c>
      <c r="Z40" s="7">
        <v>54.89</v>
      </c>
      <c r="AA40" s="9">
        <v>1.98</v>
      </c>
      <c r="AB40" s="9">
        <v>0.32</v>
      </c>
      <c r="AC40" s="7" t="s">
        <v>299</v>
      </c>
      <c r="AD40" s="7">
        <v>4.05</v>
      </c>
      <c r="AE40" s="9">
        <v>2.0099999999999998</v>
      </c>
      <c r="AF40" s="9">
        <v>6.29</v>
      </c>
      <c r="AG40" s="7" t="s">
        <v>157</v>
      </c>
      <c r="AH40" s="11">
        <v>3.51</v>
      </c>
      <c r="AI40" s="9">
        <v>3.84</v>
      </c>
      <c r="AJ40" s="9">
        <v>3.23</v>
      </c>
      <c r="AK40" s="7" t="s">
        <v>300</v>
      </c>
      <c r="AL40" s="7">
        <v>147.43</v>
      </c>
      <c r="AM40" s="9">
        <v>4.2</v>
      </c>
      <c r="AN40" s="9">
        <v>3.15</v>
      </c>
    </row>
    <row r="41" spans="1:40" x14ac:dyDescent="0.3">
      <c r="A41" s="14">
        <v>45539</v>
      </c>
      <c r="B41" s="7" t="s">
        <v>19</v>
      </c>
      <c r="C41" s="7" t="str">
        <f t="shared" si="0"/>
        <v>45539B</v>
      </c>
      <c r="D41" s="7" t="s">
        <v>264</v>
      </c>
      <c r="E41" s="7">
        <v>17.64</v>
      </c>
      <c r="F41" s="8">
        <v>54.87</v>
      </c>
      <c r="G41" s="7" t="s">
        <v>301</v>
      </c>
      <c r="H41" s="7">
        <v>16.47</v>
      </c>
      <c r="I41" s="8">
        <v>110.88</v>
      </c>
      <c r="J41" s="7" t="s">
        <v>302</v>
      </c>
      <c r="K41" s="7">
        <v>76.55</v>
      </c>
      <c r="L41" s="8">
        <v>30.28</v>
      </c>
      <c r="M41" s="7" t="s">
        <v>303</v>
      </c>
      <c r="N41" s="7">
        <v>8.32</v>
      </c>
      <c r="O41" s="9">
        <v>0.84</v>
      </c>
      <c r="P41" s="9">
        <v>2.08</v>
      </c>
      <c r="Q41" s="7" t="s">
        <v>304</v>
      </c>
      <c r="R41" s="7">
        <v>38.25</v>
      </c>
      <c r="S41" s="9">
        <v>0.98</v>
      </c>
      <c r="T41" s="9">
        <v>1.36</v>
      </c>
      <c r="U41" s="7" t="s">
        <v>305</v>
      </c>
      <c r="V41" s="7">
        <v>27.45</v>
      </c>
      <c r="W41" s="9">
        <v>4.97</v>
      </c>
      <c r="X41" s="9">
        <v>4.7300000000000004</v>
      </c>
      <c r="Y41" s="7" t="s">
        <v>306</v>
      </c>
      <c r="Z41" s="7">
        <v>55.24</v>
      </c>
      <c r="AA41" s="9">
        <v>0.19</v>
      </c>
      <c r="AB41" s="9">
        <v>0.3</v>
      </c>
      <c r="AC41" s="7" t="s">
        <v>125</v>
      </c>
      <c r="AD41" s="7">
        <v>4.05</v>
      </c>
      <c r="AE41" s="9">
        <v>0.74</v>
      </c>
      <c r="AF41" s="9">
        <v>6.29</v>
      </c>
      <c r="AG41" s="7" t="s">
        <v>126</v>
      </c>
      <c r="AH41" s="11">
        <v>3.53</v>
      </c>
      <c r="AI41" s="9">
        <v>3.21</v>
      </c>
      <c r="AJ41" s="9">
        <v>3.82</v>
      </c>
      <c r="AK41" s="7" t="s">
        <v>307</v>
      </c>
      <c r="AL41" s="7">
        <v>146.5</v>
      </c>
      <c r="AM41" s="9">
        <v>1.39</v>
      </c>
      <c r="AN41" s="9">
        <v>3.76</v>
      </c>
    </row>
    <row r="42" spans="1:40" x14ac:dyDescent="0.3">
      <c r="A42" s="14">
        <v>45539</v>
      </c>
      <c r="B42" s="7" t="s">
        <v>20</v>
      </c>
      <c r="C42" s="7" t="str">
        <f t="shared" si="0"/>
        <v>45539C</v>
      </c>
      <c r="D42" s="7" t="s">
        <v>55</v>
      </c>
      <c r="E42" s="7">
        <v>13.39</v>
      </c>
      <c r="F42" s="8">
        <v>17.86</v>
      </c>
      <c r="G42" s="7" t="s">
        <v>46</v>
      </c>
      <c r="H42" s="7">
        <v>9.5299999999999994</v>
      </c>
      <c r="I42" s="7"/>
      <c r="J42" s="7" t="s">
        <v>308</v>
      </c>
      <c r="K42" s="7">
        <v>82.54</v>
      </c>
      <c r="L42" s="9">
        <v>20.25</v>
      </c>
      <c r="M42" s="7" t="s">
        <v>309</v>
      </c>
      <c r="N42" s="7">
        <v>8.5</v>
      </c>
      <c r="O42" s="8">
        <v>3.4</v>
      </c>
      <c r="P42" s="8">
        <v>4.29</v>
      </c>
      <c r="Q42" s="7" t="s">
        <v>114</v>
      </c>
      <c r="R42" s="7">
        <v>38.71</v>
      </c>
      <c r="S42" s="9">
        <v>0.85</v>
      </c>
      <c r="T42" s="9">
        <v>0.18</v>
      </c>
      <c r="U42" s="7" t="s">
        <v>310</v>
      </c>
      <c r="V42" s="7">
        <v>26.89</v>
      </c>
      <c r="W42" s="9">
        <v>2.0099999999999998</v>
      </c>
      <c r="X42" s="9">
        <v>2.59</v>
      </c>
      <c r="Y42" s="7" t="s">
        <v>311</v>
      </c>
      <c r="Z42" s="7">
        <v>54.89</v>
      </c>
      <c r="AA42" s="9">
        <v>0.9</v>
      </c>
      <c r="AB42" s="9">
        <v>0.32</v>
      </c>
      <c r="AC42" s="7" t="s">
        <v>269</v>
      </c>
      <c r="AD42" s="7">
        <v>4.05</v>
      </c>
      <c r="AE42" s="9">
        <v>0.49</v>
      </c>
      <c r="AF42" s="9">
        <v>6.29</v>
      </c>
      <c r="AG42" s="7" t="s">
        <v>157</v>
      </c>
      <c r="AH42" s="11">
        <v>3.51</v>
      </c>
      <c r="AI42" s="9">
        <v>3.84</v>
      </c>
      <c r="AJ42" s="9">
        <v>3.23</v>
      </c>
      <c r="AK42" s="7" t="s">
        <v>312</v>
      </c>
      <c r="AL42" s="7">
        <v>145.86000000000001</v>
      </c>
      <c r="AM42" s="9">
        <v>0.53</v>
      </c>
      <c r="AN42" s="9">
        <v>4.18</v>
      </c>
    </row>
    <row r="43" spans="1:40" x14ac:dyDescent="0.3">
      <c r="A43" s="14">
        <v>45540</v>
      </c>
      <c r="B43" s="7" t="s">
        <v>22</v>
      </c>
      <c r="C43" s="7" t="str">
        <f t="shared" si="0"/>
        <v>45540A</v>
      </c>
      <c r="D43" s="7" t="s">
        <v>103</v>
      </c>
      <c r="E43" s="7">
        <v>16.13</v>
      </c>
      <c r="F43" s="8">
        <v>41.73</v>
      </c>
      <c r="G43" s="7" t="s">
        <v>313</v>
      </c>
      <c r="H43" s="7">
        <v>16.91</v>
      </c>
      <c r="I43" s="8">
        <v>538.11</v>
      </c>
      <c r="J43" s="7" t="s">
        <v>314</v>
      </c>
      <c r="K43" s="7">
        <v>56.98</v>
      </c>
      <c r="L43" s="8">
        <v>47.86</v>
      </c>
      <c r="M43" s="7" t="s">
        <v>216</v>
      </c>
      <c r="N43" s="7">
        <v>8.4</v>
      </c>
      <c r="O43" s="9">
        <v>0.47</v>
      </c>
      <c r="P43" s="8">
        <v>3.06</v>
      </c>
      <c r="Q43" s="7" t="s">
        <v>251</v>
      </c>
      <c r="R43" s="11">
        <v>36.33</v>
      </c>
      <c r="S43" s="8">
        <v>5.97</v>
      </c>
      <c r="T43" s="8">
        <v>6.31</v>
      </c>
      <c r="U43" s="7" t="s">
        <v>315</v>
      </c>
      <c r="V43" s="7">
        <v>27.73</v>
      </c>
      <c r="W43" s="8">
        <v>6</v>
      </c>
      <c r="X43" s="8">
        <v>5.79</v>
      </c>
      <c r="Y43" s="7" t="s">
        <v>306</v>
      </c>
      <c r="Z43" s="11">
        <v>54.1</v>
      </c>
      <c r="AA43" s="9">
        <v>1.86</v>
      </c>
      <c r="AB43" s="9">
        <v>1.76</v>
      </c>
      <c r="AC43" s="7" t="s">
        <v>316</v>
      </c>
      <c r="AD43" s="7">
        <v>4.05</v>
      </c>
      <c r="AE43" s="9">
        <v>0</v>
      </c>
      <c r="AF43" s="9">
        <v>6.29</v>
      </c>
      <c r="AG43" s="7" t="s">
        <v>108</v>
      </c>
      <c r="AH43" s="7">
        <v>3.5</v>
      </c>
      <c r="AI43" s="9">
        <v>1.44</v>
      </c>
      <c r="AJ43" s="9">
        <v>2.94</v>
      </c>
      <c r="AK43" s="7" t="s">
        <v>317</v>
      </c>
      <c r="AL43" s="7">
        <v>138.66999999999999</v>
      </c>
      <c r="AM43" s="9">
        <v>5.45</v>
      </c>
      <c r="AN43" s="9">
        <v>8.9</v>
      </c>
    </row>
    <row r="44" spans="1:40" ht="18" x14ac:dyDescent="0.35">
      <c r="A44" s="14">
        <v>45540</v>
      </c>
      <c r="B44" s="7" t="s">
        <v>19</v>
      </c>
      <c r="C44" s="7" t="str">
        <f t="shared" si="0"/>
        <v>45540B</v>
      </c>
      <c r="D44" s="7" t="s">
        <v>103</v>
      </c>
      <c r="E44" s="7">
        <v>14.98</v>
      </c>
      <c r="F44" s="8">
        <v>31.63</v>
      </c>
      <c r="G44" s="7" t="s">
        <v>318</v>
      </c>
      <c r="H44" s="7">
        <v>18.170000000000002</v>
      </c>
      <c r="I44" s="8">
        <v>1014.72</v>
      </c>
      <c r="J44" s="7" t="s">
        <v>319</v>
      </c>
      <c r="K44" s="7">
        <v>81.48</v>
      </c>
      <c r="L44" s="8">
        <v>26.68</v>
      </c>
      <c r="M44" s="7" t="s">
        <v>320</v>
      </c>
      <c r="N44" s="7">
        <v>8.35</v>
      </c>
      <c r="O44" s="9">
        <v>1.41</v>
      </c>
      <c r="P44" s="9">
        <v>2.4500000000000002</v>
      </c>
      <c r="Q44" s="7" t="s">
        <v>321</v>
      </c>
      <c r="R44" s="7">
        <v>37.67</v>
      </c>
      <c r="S44" s="9">
        <v>2.25</v>
      </c>
      <c r="T44" s="9">
        <v>2.86</v>
      </c>
      <c r="U44" s="7" t="s">
        <v>322</v>
      </c>
      <c r="V44" s="7">
        <v>26.5</v>
      </c>
      <c r="W44" s="9">
        <v>0.74</v>
      </c>
      <c r="X44" s="9">
        <v>1.1000000000000001</v>
      </c>
      <c r="Y44" s="7" t="s">
        <v>323</v>
      </c>
      <c r="Z44" s="10">
        <v>56.24</v>
      </c>
      <c r="AA44" s="9">
        <v>3.06</v>
      </c>
      <c r="AB44" s="9">
        <v>2.12</v>
      </c>
      <c r="AC44" s="7" t="s">
        <v>246</v>
      </c>
      <c r="AD44" s="7">
        <v>4</v>
      </c>
      <c r="AE44" s="9">
        <v>1.71</v>
      </c>
      <c r="AF44" s="9">
        <v>4.9800000000000004</v>
      </c>
      <c r="AG44" s="7" t="s">
        <v>108</v>
      </c>
      <c r="AH44" s="7">
        <v>3.46</v>
      </c>
      <c r="AI44" s="9">
        <v>0.28000000000000003</v>
      </c>
      <c r="AJ44" s="9">
        <v>1.76</v>
      </c>
      <c r="AK44" s="7" t="s">
        <v>324</v>
      </c>
      <c r="AL44" s="7">
        <v>147.33000000000001</v>
      </c>
      <c r="AM44" s="9">
        <v>1.8</v>
      </c>
      <c r="AN44" s="9">
        <v>3.21</v>
      </c>
    </row>
    <row r="45" spans="1:40" x14ac:dyDescent="0.3">
      <c r="A45" s="14">
        <v>45540</v>
      </c>
      <c r="B45" s="7" t="s">
        <v>20</v>
      </c>
      <c r="C45" s="7" t="str">
        <f t="shared" si="0"/>
        <v>45540C</v>
      </c>
      <c r="D45" s="7" t="s">
        <v>55</v>
      </c>
      <c r="E45" s="7">
        <v>11.36</v>
      </c>
      <c r="F45" s="9">
        <v>0</v>
      </c>
      <c r="G45" s="7" t="s">
        <v>325</v>
      </c>
      <c r="H45" s="7">
        <v>16.71</v>
      </c>
      <c r="I45" s="8">
        <v>636.12</v>
      </c>
      <c r="J45" s="7" t="s">
        <v>326</v>
      </c>
      <c r="K45" s="7">
        <v>87.68</v>
      </c>
      <c r="L45" s="9">
        <v>10.78</v>
      </c>
      <c r="M45" s="7" t="s">
        <v>327</v>
      </c>
      <c r="N45" s="7">
        <v>8.5</v>
      </c>
      <c r="O45" s="8">
        <v>3.15</v>
      </c>
      <c r="P45" s="8">
        <v>4.29</v>
      </c>
      <c r="Q45" s="7" t="s">
        <v>90</v>
      </c>
      <c r="R45" s="7">
        <v>38.75</v>
      </c>
      <c r="S45" s="9">
        <v>0.1</v>
      </c>
      <c r="T45" s="9">
        <v>7.0000000000000007E-2</v>
      </c>
      <c r="U45" s="7" t="s">
        <v>231</v>
      </c>
      <c r="V45" s="7">
        <v>25.43</v>
      </c>
      <c r="W45" s="9">
        <v>3.38</v>
      </c>
      <c r="X45" s="9">
        <v>2.97</v>
      </c>
      <c r="Y45" s="7" t="s">
        <v>328</v>
      </c>
      <c r="Z45" s="7">
        <v>56.24</v>
      </c>
      <c r="AA45" s="9">
        <v>0.03</v>
      </c>
      <c r="AB45" s="9">
        <v>2.12</v>
      </c>
      <c r="AC45" s="7" t="s">
        <v>125</v>
      </c>
      <c r="AD45" s="7">
        <v>4</v>
      </c>
      <c r="AE45" s="9">
        <v>0.49</v>
      </c>
      <c r="AF45" s="9">
        <v>4.9800000000000004</v>
      </c>
      <c r="AG45" s="7" t="s">
        <v>126</v>
      </c>
      <c r="AH45" s="7">
        <v>3.47</v>
      </c>
      <c r="AI45" s="9">
        <v>1.46</v>
      </c>
      <c r="AJ45" s="9">
        <v>2.0499999999999998</v>
      </c>
      <c r="AK45" s="7" t="s">
        <v>329</v>
      </c>
      <c r="AL45" s="7">
        <v>144.25</v>
      </c>
      <c r="AM45" s="9">
        <v>1.88</v>
      </c>
      <c r="AN45" s="9">
        <v>5.24</v>
      </c>
    </row>
    <row r="46" spans="1:40" x14ac:dyDescent="0.3">
      <c r="A46" s="14">
        <v>45541</v>
      </c>
      <c r="B46" s="7" t="s">
        <v>22</v>
      </c>
      <c r="C46" s="7" t="str">
        <f t="shared" si="0"/>
        <v>45541A</v>
      </c>
      <c r="D46" s="7" t="s">
        <v>330</v>
      </c>
      <c r="E46" s="7">
        <v>12.05</v>
      </c>
      <c r="F46" s="8">
        <v>6.63</v>
      </c>
      <c r="G46" s="7" t="s">
        <v>46</v>
      </c>
      <c r="H46" s="7">
        <v>16.87</v>
      </c>
      <c r="I46" s="7"/>
      <c r="J46" s="7" t="s">
        <v>331</v>
      </c>
      <c r="K46" s="7">
        <v>77.63</v>
      </c>
      <c r="L46" s="9">
        <v>3.19</v>
      </c>
      <c r="M46" s="7" t="s">
        <v>309</v>
      </c>
      <c r="N46" s="7">
        <v>8.1999999999999993</v>
      </c>
      <c r="O46" s="9">
        <v>0.24</v>
      </c>
      <c r="P46" s="9">
        <v>0.61</v>
      </c>
      <c r="Q46" s="7" t="s">
        <v>190</v>
      </c>
      <c r="R46" s="7">
        <v>37.67</v>
      </c>
      <c r="S46" s="9">
        <v>2.5299999999999998</v>
      </c>
      <c r="T46" s="9">
        <v>2.86</v>
      </c>
      <c r="U46" s="7" t="s">
        <v>332</v>
      </c>
      <c r="V46" s="7">
        <v>25.74</v>
      </c>
      <c r="W46" s="9">
        <v>2.64</v>
      </c>
      <c r="X46" s="9">
        <v>1.79</v>
      </c>
      <c r="Y46" s="7" t="s">
        <v>328</v>
      </c>
      <c r="Z46" s="7">
        <v>56.56</v>
      </c>
      <c r="AA46" s="9">
        <v>0.6</v>
      </c>
      <c r="AB46" s="9">
        <v>2.7</v>
      </c>
      <c r="AC46" s="7" t="s">
        <v>246</v>
      </c>
      <c r="AD46" s="7">
        <v>3.89</v>
      </c>
      <c r="AE46" s="9">
        <v>4.42</v>
      </c>
      <c r="AF46" s="9">
        <v>2.09</v>
      </c>
      <c r="AG46" s="7" t="s">
        <v>134</v>
      </c>
      <c r="AH46" s="7">
        <v>3.42</v>
      </c>
      <c r="AI46" s="9">
        <v>0.28999999999999998</v>
      </c>
      <c r="AJ46" s="9">
        <v>0.57999999999999996</v>
      </c>
      <c r="AK46" s="7" t="s">
        <v>333</v>
      </c>
      <c r="AL46" s="7">
        <v>142.16999999999999</v>
      </c>
      <c r="AM46" s="9">
        <v>1.82</v>
      </c>
      <c r="AN46" s="9">
        <v>6.6</v>
      </c>
    </row>
    <row r="47" spans="1:40" x14ac:dyDescent="0.3">
      <c r="A47" s="14">
        <v>45541</v>
      </c>
      <c r="B47" s="7" t="s">
        <v>19</v>
      </c>
      <c r="C47" s="7" t="str">
        <f t="shared" si="0"/>
        <v>45541B</v>
      </c>
      <c r="D47" s="7" t="s">
        <v>159</v>
      </c>
      <c r="E47" s="7">
        <v>14.94</v>
      </c>
      <c r="F47" s="8">
        <v>32.090000000000003</v>
      </c>
      <c r="G47" s="7" t="s">
        <v>46</v>
      </c>
      <c r="H47" s="7">
        <v>16.559999999999999</v>
      </c>
      <c r="I47" s="7"/>
      <c r="J47" s="7" t="s">
        <v>334</v>
      </c>
      <c r="K47" s="7">
        <v>77.09</v>
      </c>
      <c r="L47" s="9">
        <v>2.71</v>
      </c>
      <c r="M47" s="7" t="s">
        <v>153</v>
      </c>
      <c r="N47" s="7">
        <v>8</v>
      </c>
      <c r="O47" s="9">
        <v>1.84</v>
      </c>
      <c r="P47" s="9">
        <v>1.84</v>
      </c>
      <c r="Q47" s="7" t="s">
        <v>131</v>
      </c>
      <c r="R47" s="7">
        <v>37.4</v>
      </c>
      <c r="S47" s="9">
        <v>3.35</v>
      </c>
      <c r="T47" s="9">
        <v>3.55</v>
      </c>
      <c r="U47" s="7" t="s">
        <v>335</v>
      </c>
      <c r="V47" s="7">
        <v>26.98</v>
      </c>
      <c r="W47" s="9">
        <v>1.88</v>
      </c>
      <c r="X47" s="9">
        <v>2.93</v>
      </c>
      <c r="Y47" s="7" t="s">
        <v>336</v>
      </c>
      <c r="Z47" s="7">
        <v>56.56</v>
      </c>
      <c r="AA47" s="9">
        <v>0.14000000000000001</v>
      </c>
      <c r="AB47" s="9">
        <v>2.7</v>
      </c>
      <c r="AC47" s="7" t="s">
        <v>281</v>
      </c>
      <c r="AD47" s="7">
        <v>3.7</v>
      </c>
      <c r="AE47" s="9">
        <v>6.8</v>
      </c>
      <c r="AF47" s="9">
        <v>2.88</v>
      </c>
      <c r="AG47" s="7" t="s">
        <v>126</v>
      </c>
      <c r="AH47" s="7">
        <v>3.25</v>
      </c>
      <c r="AI47" s="9">
        <v>4.97</v>
      </c>
      <c r="AJ47" s="9">
        <v>4.41</v>
      </c>
      <c r="AK47" s="7" t="s">
        <v>337</v>
      </c>
      <c r="AL47" s="7">
        <v>144.6</v>
      </c>
      <c r="AM47" s="9">
        <v>1.38</v>
      </c>
      <c r="AN47" s="9">
        <v>5.01</v>
      </c>
    </row>
    <row r="48" spans="1:40" ht="18" x14ac:dyDescent="0.35">
      <c r="A48" s="14">
        <v>45541</v>
      </c>
      <c r="B48" s="7" t="s">
        <v>20</v>
      </c>
      <c r="C48" s="7" t="str">
        <f t="shared" si="0"/>
        <v>45541C</v>
      </c>
      <c r="D48" s="7" t="s">
        <v>338</v>
      </c>
      <c r="E48" s="7">
        <v>16.91</v>
      </c>
      <c r="F48" s="8">
        <v>31.9</v>
      </c>
      <c r="G48" s="7" t="s">
        <v>46</v>
      </c>
      <c r="H48" s="7">
        <v>12.37</v>
      </c>
      <c r="I48" s="7"/>
      <c r="J48" s="7" t="s">
        <v>339</v>
      </c>
      <c r="K48" s="7">
        <v>84.71</v>
      </c>
      <c r="L48" s="9">
        <v>13.93</v>
      </c>
      <c r="M48" s="7" t="s">
        <v>340</v>
      </c>
      <c r="N48" s="7">
        <v>8.1999999999999993</v>
      </c>
      <c r="O48" s="8">
        <v>3.92</v>
      </c>
      <c r="P48" s="9">
        <v>0.61</v>
      </c>
      <c r="Q48" s="7" t="s">
        <v>58</v>
      </c>
      <c r="R48" s="7">
        <v>37.880000000000003</v>
      </c>
      <c r="S48" s="9">
        <v>1.32</v>
      </c>
      <c r="T48" s="9">
        <v>2.3199999999999998</v>
      </c>
      <c r="U48" s="7" t="s">
        <v>341</v>
      </c>
      <c r="V48" s="7">
        <v>27.12</v>
      </c>
      <c r="W48" s="9">
        <v>1.42</v>
      </c>
      <c r="X48" s="9">
        <v>3.47</v>
      </c>
      <c r="Y48" s="7" t="s">
        <v>342</v>
      </c>
      <c r="Z48" s="7">
        <v>56.56</v>
      </c>
      <c r="AA48" s="9">
        <v>0.23</v>
      </c>
      <c r="AB48" s="9">
        <v>2.7</v>
      </c>
      <c r="AC48" s="7" t="s">
        <v>343</v>
      </c>
      <c r="AD48" s="7">
        <v>3.7</v>
      </c>
      <c r="AE48" s="9">
        <v>0.8</v>
      </c>
      <c r="AF48" s="9">
        <v>2.88</v>
      </c>
      <c r="AG48" s="7" t="s">
        <v>344</v>
      </c>
      <c r="AH48" s="7">
        <v>3.3</v>
      </c>
      <c r="AI48" s="9">
        <v>0.6</v>
      </c>
      <c r="AJ48" s="9">
        <v>2.94</v>
      </c>
      <c r="AK48" s="7" t="s">
        <v>345</v>
      </c>
      <c r="AL48" s="7">
        <v>146.75</v>
      </c>
      <c r="AM48" s="9">
        <v>0.79</v>
      </c>
      <c r="AN48" s="9">
        <v>3.59</v>
      </c>
    </row>
    <row r="49" spans="1:40" x14ac:dyDescent="0.3">
      <c r="A49" s="14">
        <v>45544</v>
      </c>
      <c r="B49" s="7" t="s">
        <v>22</v>
      </c>
      <c r="C49" s="7" t="str">
        <f t="shared" si="0"/>
        <v>45544A</v>
      </c>
      <c r="D49" s="7" t="s">
        <v>159</v>
      </c>
      <c r="E49" s="7">
        <v>19.64</v>
      </c>
      <c r="F49" s="8">
        <v>73.650000000000006</v>
      </c>
      <c r="G49" s="7" t="s">
        <v>46</v>
      </c>
      <c r="H49" s="7">
        <v>15.06</v>
      </c>
      <c r="I49" s="7"/>
      <c r="J49" s="7" t="s">
        <v>346</v>
      </c>
      <c r="K49" s="7">
        <v>61</v>
      </c>
      <c r="L49" s="9">
        <v>21.89</v>
      </c>
      <c r="M49" s="7" t="s">
        <v>138</v>
      </c>
      <c r="N49" s="7">
        <v>8.6</v>
      </c>
      <c r="O49" s="8">
        <v>7.9</v>
      </c>
      <c r="P49" s="8">
        <v>5.52</v>
      </c>
      <c r="Q49" s="7" t="s">
        <v>347</v>
      </c>
      <c r="R49" s="7">
        <v>37.14</v>
      </c>
      <c r="S49" s="9">
        <v>2.95</v>
      </c>
      <c r="T49" s="9">
        <v>4.22</v>
      </c>
      <c r="U49" s="7" t="s">
        <v>348</v>
      </c>
      <c r="V49" s="11">
        <v>30.01</v>
      </c>
      <c r="W49" s="8">
        <v>12.73</v>
      </c>
      <c r="X49" s="8">
        <v>14.49</v>
      </c>
      <c r="Y49" s="7" t="s">
        <v>349</v>
      </c>
      <c r="Z49" s="10">
        <v>56.2</v>
      </c>
      <c r="AA49" s="9">
        <v>0.37</v>
      </c>
      <c r="AB49" s="9">
        <v>2.0499999999999998</v>
      </c>
      <c r="AC49" s="7" t="s">
        <v>350</v>
      </c>
      <c r="AD49" s="10">
        <v>3.7</v>
      </c>
      <c r="AE49" s="9">
        <v>1.33</v>
      </c>
      <c r="AF49" s="9">
        <v>2.88</v>
      </c>
      <c r="AG49" s="7" t="s">
        <v>71</v>
      </c>
      <c r="AH49" s="11">
        <v>3.59</v>
      </c>
      <c r="AI49" s="8">
        <v>7.8</v>
      </c>
      <c r="AJ49" s="9">
        <v>5.58</v>
      </c>
      <c r="AK49" s="7" t="s">
        <v>351</v>
      </c>
      <c r="AL49" s="7">
        <v>131.71</v>
      </c>
      <c r="AM49" s="8">
        <v>10.77</v>
      </c>
      <c r="AN49" s="8">
        <v>13.47</v>
      </c>
    </row>
    <row r="50" spans="1:40" x14ac:dyDescent="0.3">
      <c r="A50" s="14">
        <v>45544</v>
      </c>
      <c r="B50" s="7" t="s">
        <v>19</v>
      </c>
      <c r="C50" s="7" t="str">
        <f t="shared" si="0"/>
        <v>45544B</v>
      </c>
      <c r="D50" s="7" t="s">
        <v>103</v>
      </c>
      <c r="E50" s="7">
        <v>17.36</v>
      </c>
      <c r="F50" s="8">
        <v>52.54</v>
      </c>
      <c r="G50" s="7" t="s">
        <v>46</v>
      </c>
      <c r="H50" s="7">
        <v>15.71</v>
      </c>
      <c r="I50" s="7"/>
      <c r="J50" s="7" t="s">
        <v>104</v>
      </c>
      <c r="K50" s="7">
        <v>66.260000000000005</v>
      </c>
      <c r="L50" s="8">
        <v>40.35</v>
      </c>
      <c r="M50" s="7" t="s">
        <v>352</v>
      </c>
      <c r="N50" s="7">
        <v>8.64</v>
      </c>
      <c r="O50" s="9">
        <v>0.46</v>
      </c>
      <c r="P50" s="8">
        <v>6.01</v>
      </c>
      <c r="Q50" s="7" t="s">
        <v>217</v>
      </c>
      <c r="R50" s="11">
        <v>44</v>
      </c>
      <c r="S50" s="8">
        <v>14.4</v>
      </c>
      <c r="T50" s="8">
        <v>13.46</v>
      </c>
      <c r="U50" s="7" t="s">
        <v>353</v>
      </c>
      <c r="V50" s="7">
        <v>26.75</v>
      </c>
      <c r="W50" s="9">
        <v>0.28999999999999998</v>
      </c>
      <c r="X50" s="9">
        <v>2.06</v>
      </c>
      <c r="Y50" s="7" t="s">
        <v>201</v>
      </c>
      <c r="Z50" s="11">
        <v>57.41</v>
      </c>
      <c r="AA50" s="9">
        <v>2.17</v>
      </c>
      <c r="AB50" s="9">
        <v>4.24</v>
      </c>
      <c r="AC50" s="7" t="s">
        <v>354</v>
      </c>
      <c r="AD50" s="7">
        <v>4.1900000000000004</v>
      </c>
      <c r="AE50" s="8">
        <v>8.5399999999999991</v>
      </c>
      <c r="AF50" s="8">
        <v>9.9700000000000006</v>
      </c>
      <c r="AG50" s="7" t="s">
        <v>220</v>
      </c>
      <c r="AH50" s="11">
        <v>3.85</v>
      </c>
      <c r="AI50" s="8">
        <v>10.95</v>
      </c>
      <c r="AJ50" s="8">
        <v>13.23</v>
      </c>
      <c r="AK50" s="7" t="s">
        <v>355</v>
      </c>
      <c r="AL50" s="7">
        <v>157</v>
      </c>
      <c r="AM50" s="8">
        <v>10.24</v>
      </c>
      <c r="AN50" s="9">
        <v>3.13</v>
      </c>
    </row>
    <row r="51" spans="1:40" ht="18" x14ac:dyDescent="0.35">
      <c r="A51" s="14">
        <v>45547</v>
      </c>
      <c r="B51" s="7" t="s">
        <v>22</v>
      </c>
      <c r="C51" s="7" t="str">
        <f t="shared" si="0"/>
        <v>45547A</v>
      </c>
      <c r="D51" s="7" t="s">
        <v>264</v>
      </c>
      <c r="E51" s="7">
        <v>11.92</v>
      </c>
      <c r="F51" s="9">
        <v>4.6500000000000004</v>
      </c>
      <c r="G51" s="7" t="s">
        <v>356</v>
      </c>
      <c r="H51" s="7">
        <v>16.45</v>
      </c>
      <c r="I51" s="9">
        <v>8.4</v>
      </c>
      <c r="J51" s="7" t="s">
        <v>357</v>
      </c>
      <c r="K51" s="7">
        <v>62.22</v>
      </c>
      <c r="L51" s="8">
        <v>35.9</v>
      </c>
      <c r="M51" s="7" t="s">
        <v>358</v>
      </c>
      <c r="N51" s="7">
        <v>8.5500000000000007</v>
      </c>
      <c r="O51" s="9">
        <v>0.46</v>
      </c>
      <c r="P51" s="8">
        <v>4.9000000000000004</v>
      </c>
      <c r="Q51" s="7" t="s">
        <v>321</v>
      </c>
      <c r="R51" s="7">
        <v>38.67</v>
      </c>
      <c r="S51" s="9">
        <v>0.33</v>
      </c>
      <c r="T51" s="9">
        <v>0.28000000000000003</v>
      </c>
      <c r="U51" s="7" t="s">
        <v>359</v>
      </c>
      <c r="V51" s="7">
        <v>26.77</v>
      </c>
      <c r="W51" s="9">
        <v>2.84</v>
      </c>
      <c r="X51" s="9">
        <v>2.13</v>
      </c>
      <c r="Y51" s="7" t="s">
        <v>360</v>
      </c>
      <c r="Z51" s="10">
        <v>56.59</v>
      </c>
      <c r="AA51" s="9">
        <v>0.91</v>
      </c>
      <c r="AB51" s="9">
        <v>2.76</v>
      </c>
      <c r="AC51" s="7" t="s">
        <v>361</v>
      </c>
      <c r="AD51" s="7">
        <v>4.2300000000000004</v>
      </c>
      <c r="AE51" s="9">
        <v>2.91</v>
      </c>
      <c r="AF51" s="8">
        <v>11.02</v>
      </c>
      <c r="AG51" s="7" t="s">
        <v>194</v>
      </c>
      <c r="AH51" s="11">
        <v>3.67</v>
      </c>
      <c r="AI51" s="9">
        <v>5.15</v>
      </c>
      <c r="AJ51" s="8">
        <v>7.94</v>
      </c>
      <c r="AK51" s="7" t="s">
        <v>362</v>
      </c>
      <c r="AL51" s="7">
        <v>135.66999999999999</v>
      </c>
      <c r="AM51" s="9">
        <v>6.21</v>
      </c>
      <c r="AN51" s="8">
        <v>10.87</v>
      </c>
    </row>
    <row r="52" spans="1:40" ht="18" x14ac:dyDescent="0.35">
      <c r="A52" s="14">
        <v>45547</v>
      </c>
      <c r="B52" s="7" t="s">
        <v>19</v>
      </c>
      <c r="C52" s="7" t="str">
        <f t="shared" si="0"/>
        <v>45547B</v>
      </c>
      <c r="D52" s="7" t="s">
        <v>248</v>
      </c>
      <c r="E52" s="7">
        <v>10.71</v>
      </c>
      <c r="F52" s="8">
        <v>6.13</v>
      </c>
      <c r="G52" s="7" t="s">
        <v>255</v>
      </c>
      <c r="H52" s="7">
        <v>14.43</v>
      </c>
      <c r="I52" s="8">
        <v>19.829999999999998</v>
      </c>
      <c r="J52" s="7" t="s">
        <v>363</v>
      </c>
      <c r="K52" s="7">
        <v>80.63</v>
      </c>
      <c r="L52" s="9">
        <v>24.37</v>
      </c>
      <c r="M52" s="7" t="s">
        <v>364</v>
      </c>
      <c r="N52" s="7">
        <v>8.36</v>
      </c>
      <c r="O52" s="8">
        <v>3.24</v>
      </c>
      <c r="P52" s="9">
        <v>2.57</v>
      </c>
      <c r="Q52" s="7" t="s">
        <v>190</v>
      </c>
      <c r="R52" s="7">
        <v>37.33</v>
      </c>
      <c r="S52" s="9">
        <v>3.41</v>
      </c>
      <c r="T52" s="9">
        <v>3.73</v>
      </c>
      <c r="U52" s="7" t="s">
        <v>365</v>
      </c>
      <c r="V52" s="7">
        <v>27.63</v>
      </c>
      <c r="W52" s="8">
        <v>6.1</v>
      </c>
      <c r="X52" s="8">
        <v>5.41</v>
      </c>
      <c r="Y52" s="7" t="s">
        <v>366</v>
      </c>
      <c r="Z52" s="7">
        <v>57.07</v>
      </c>
      <c r="AA52" s="9">
        <v>0.91</v>
      </c>
      <c r="AB52" s="9">
        <v>3.63</v>
      </c>
      <c r="AC52" s="7" t="s">
        <v>367</v>
      </c>
      <c r="AD52" s="7">
        <v>3.99</v>
      </c>
      <c r="AE52" s="9">
        <v>6.11</v>
      </c>
      <c r="AF52" s="9">
        <v>4.72</v>
      </c>
      <c r="AG52" s="11" t="s">
        <v>202</v>
      </c>
      <c r="AH52" s="7">
        <v>3.49</v>
      </c>
      <c r="AI52" s="9">
        <v>0.85</v>
      </c>
      <c r="AJ52" s="9">
        <v>2.64</v>
      </c>
      <c r="AK52" s="7" t="s">
        <v>368</v>
      </c>
      <c r="AL52" s="7">
        <v>135.25</v>
      </c>
      <c r="AM52" s="9">
        <v>5.12</v>
      </c>
      <c r="AN52" s="8">
        <v>11.15</v>
      </c>
    </row>
    <row r="53" spans="1:40" x14ac:dyDescent="0.3">
      <c r="A53" s="14">
        <v>45547</v>
      </c>
      <c r="B53" s="7" t="s">
        <v>20</v>
      </c>
      <c r="C53" s="7" t="str">
        <f t="shared" si="0"/>
        <v>45547C</v>
      </c>
      <c r="D53" s="7" t="s">
        <v>55</v>
      </c>
      <c r="E53" s="7">
        <v>7.4</v>
      </c>
      <c r="F53" s="8">
        <v>34.85</v>
      </c>
      <c r="G53" s="7" t="s">
        <v>46</v>
      </c>
      <c r="H53" s="7">
        <v>6.89</v>
      </c>
      <c r="I53" s="7"/>
      <c r="J53" s="7" t="s">
        <v>369</v>
      </c>
      <c r="K53" s="7">
        <v>95.03</v>
      </c>
      <c r="L53" s="9">
        <v>5.12</v>
      </c>
      <c r="M53" s="7" t="s">
        <v>370</v>
      </c>
      <c r="N53" s="7">
        <v>8.32</v>
      </c>
      <c r="O53" s="9">
        <v>0.83</v>
      </c>
      <c r="P53" s="9">
        <v>2.08</v>
      </c>
      <c r="Q53" s="7" t="s">
        <v>217</v>
      </c>
      <c r="R53" s="7">
        <v>39</v>
      </c>
      <c r="S53" s="9">
        <v>1.4</v>
      </c>
      <c r="T53" s="9">
        <v>0.56000000000000005</v>
      </c>
      <c r="U53" s="7" t="s">
        <v>291</v>
      </c>
      <c r="V53" s="7">
        <v>26.43</v>
      </c>
      <c r="W53" s="9">
        <v>0.26</v>
      </c>
      <c r="X53" s="9">
        <v>0.83</v>
      </c>
      <c r="Y53" s="7" t="s">
        <v>371</v>
      </c>
      <c r="Z53" s="7">
        <v>57.07</v>
      </c>
      <c r="AA53" s="9">
        <v>0.54</v>
      </c>
      <c r="AB53" s="9">
        <v>3.63</v>
      </c>
      <c r="AC53" s="7" t="s">
        <v>117</v>
      </c>
      <c r="AD53" s="7">
        <v>3.99</v>
      </c>
      <c r="AE53" s="9">
        <v>1.23</v>
      </c>
      <c r="AF53" s="9">
        <v>4.72</v>
      </c>
      <c r="AG53" s="7" t="s">
        <v>372</v>
      </c>
      <c r="AH53" s="7">
        <v>3.41</v>
      </c>
      <c r="AI53" s="9">
        <v>0.87</v>
      </c>
      <c r="AJ53" s="9">
        <v>0.28999999999999998</v>
      </c>
      <c r="AK53" s="7" t="s">
        <v>373</v>
      </c>
      <c r="AL53" s="7">
        <v>140.29</v>
      </c>
      <c r="AM53" s="9">
        <v>0.81</v>
      </c>
      <c r="AN53" s="9">
        <v>7.84</v>
      </c>
    </row>
    <row r="54" spans="1:40" ht="18" x14ac:dyDescent="0.35">
      <c r="A54" s="14">
        <v>45548</v>
      </c>
      <c r="B54" s="7" t="s">
        <v>19</v>
      </c>
      <c r="C54" s="7" t="str">
        <f t="shared" si="0"/>
        <v>45548B</v>
      </c>
      <c r="D54" s="7" t="s">
        <v>330</v>
      </c>
      <c r="E54" s="7">
        <v>13.64</v>
      </c>
      <c r="F54" s="8">
        <v>20.7</v>
      </c>
      <c r="G54" s="7" t="s">
        <v>46</v>
      </c>
      <c r="H54" s="7">
        <v>16.03</v>
      </c>
      <c r="I54" s="7"/>
      <c r="J54" s="7" t="s">
        <v>374</v>
      </c>
      <c r="K54" s="7">
        <v>79.010000000000005</v>
      </c>
      <c r="L54" s="9">
        <v>9.2200000000000006</v>
      </c>
      <c r="M54" s="7" t="s">
        <v>130</v>
      </c>
      <c r="N54" s="7">
        <v>7.7</v>
      </c>
      <c r="O54" s="8">
        <v>5.63</v>
      </c>
      <c r="P54" s="8">
        <v>5.52</v>
      </c>
      <c r="Q54" s="7" t="s">
        <v>279</v>
      </c>
      <c r="R54" s="7">
        <v>38</v>
      </c>
      <c r="S54" s="9">
        <v>1.04</v>
      </c>
      <c r="T54" s="9">
        <v>2.0099999999999998</v>
      </c>
      <c r="U54" s="7" t="s">
        <v>375</v>
      </c>
      <c r="V54" s="7">
        <v>26.54</v>
      </c>
      <c r="W54" s="9">
        <v>0.18</v>
      </c>
      <c r="X54" s="9">
        <v>1.25</v>
      </c>
      <c r="Y54" s="7" t="s">
        <v>376</v>
      </c>
      <c r="Z54" s="10">
        <v>57.13</v>
      </c>
      <c r="AA54" s="9">
        <v>0.36</v>
      </c>
      <c r="AB54" s="9">
        <v>3.74</v>
      </c>
      <c r="AC54" s="7" t="s">
        <v>125</v>
      </c>
      <c r="AD54" s="10">
        <v>3.6</v>
      </c>
      <c r="AE54" s="8">
        <v>10.44</v>
      </c>
      <c r="AF54" s="9">
        <v>5.51</v>
      </c>
      <c r="AG54" s="7" t="s">
        <v>53</v>
      </c>
      <c r="AH54" s="7">
        <v>3.28</v>
      </c>
      <c r="AI54" s="9">
        <v>3.52</v>
      </c>
      <c r="AJ54" s="9">
        <v>3.52</v>
      </c>
      <c r="AK54" s="7" t="s">
        <v>377</v>
      </c>
      <c r="AL54" s="7">
        <v>145.75</v>
      </c>
      <c r="AM54" s="9">
        <v>1.78</v>
      </c>
      <c r="AN54" s="9">
        <v>4.25</v>
      </c>
    </row>
    <row r="55" spans="1:40" x14ac:dyDescent="0.3">
      <c r="A55" s="14">
        <v>45548</v>
      </c>
      <c r="B55" s="7" t="s">
        <v>20</v>
      </c>
      <c r="C55" s="7" t="str">
        <f t="shared" si="0"/>
        <v>45548C</v>
      </c>
      <c r="D55" s="7" t="s">
        <v>378</v>
      </c>
      <c r="E55" s="7">
        <v>14.34</v>
      </c>
      <c r="F55" s="8">
        <v>37.020000000000003</v>
      </c>
      <c r="G55" s="7" t="s">
        <v>46</v>
      </c>
      <c r="H55" s="7">
        <v>12</v>
      </c>
      <c r="I55" s="7"/>
      <c r="J55" s="7" t="s">
        <v>379</v>
      </c>
      <c r="K55" s="7">
        <v>95.07</v>
      </c>
      <c r="L55" s="8">
        <v>32.06</v>
      </c>
      <c r="M55" s="7" t="s">
        <v>138</v>
      </c>
      <c r="N55" s="7">
        <v>8.08</v>
      </c>
      <c r="O55" s="9">
        <v>1.38</v>
      </c>
      <c r="P55" s="9">
        <v>0.85</v>
      </c>
      <c r="Q55" s="7" t="s">
        <v>239</v>
      </c>
      <c r="R55" s="7">
        <v>38.44</v>
      </c>
      <c r="S55" s="9">
        <v>0.02</v>
      </c>
      <c r="T55" s="9">
        <v>0.87</v>
      </c>
      <c r="U55" s="7" t="s">
        <v>341</v>
      </c>
      <c r="V55" s="7">
        <v>25.8</v>
      </c>
      <c r="W55" s="9">
        <v>3.51</v>
      </c>
      <c r="X55" s="9">
        <v>1.56</v>
      </c>
      <c r="Y55" s="7" t="s">
        <v>371</v>
      </c>
      <c r="Z55" s="7">
        <v>57.13</v>
      </c>
      <c r="AA55" s="9">
        <v>0.65</v>
      </c>
      <c r="AB55" s="9">
        <v>3.74</v>
      </c>
      <c r="AC55" s="7" t="s">
        <v>380</v>
      </c>
      <c r="AD55" s="7">
        <v>3.6</v>
      </c>
      <c r="AE55" s="9">
        <v>1.36</v>
      </c>
      <c r="AF55" s="9">
        <v>5.51</v>
      </c>
      <c r="AG55" s="7" t="s">
        <v>381</v>
      </c>
      <c r="AH55" s="7">
        <v>3.33</v>
      </c>
      <c r="AI55" s="9">
        <v>0.9</v>
      </c>
      <c r="AJ55" s="9">
        <v>2.0499999999999998</v>
      </c>
      <c r="AK55" s="7" t="s">
        <v>382</v>
      </c>
      <c r="AL55" s="7">
        <v>149.78</v>
      </c>
      <c r="AM55" s="9">
        <v>0.89</v>
      </c>
      <c r="AN55" s="9">
        <v>1.6</v>
      </c>
    </row>
    <row r="56" spans="1:40" ht="18" x14ac:dyDescent="0.35">
      <c r="A56" s="14">
        <v>45549</v>
      </c>
      <c r="B56" s="7" t="s">
        <v>22</v>
      </c>
      <c r="C56" s="7" t="str">
        <f t="shared" si="0"/>
        <v>45549A</v>
      </c>
      <c r="D56" s="7" t="s">
        <v>383</v>
      </c>
      <c r="E56" s="7">
        <v>22.96</v>
      </c>
      <c r="F56" s="8">
        <v>34.82</v>
      </c>
      <c r="G56" s="7" t="s">
        <v>46</v>
      </c>
      <c r="H56" s="7">
        <v>16.93</v>
      </c>
      <c r="I56" s="7"/>
      <c r="J56" s="7" t="s">
        <v>384</v>
      </c>
      <c r="K56" s="7">
        <v>85.92</v>
      </c>
      <c r="L56" s="9">
        <v>24.23</v>
      </c>
      <c r="M56" s="7" t="s">
        <v>385</v>
      </c>
      <c r="N56" s="7">
        <v>7.7</v>
      </c>
      <c r="O56" s="9">
        <v>2.16</v>
      </c>
      <c r="P56" s="8">
        <v>5.52</v>
      </c>
      <c r="Q56" s="7" t="s">
        <v>239</v>
      </c>
      <c r="R56" s="7">
        <v>37</v>
      </c>
      <c r="S56" s="9">
        <v>3.77</v>
      </c>
      <c r="T56" s="9">
        <v>4.58</v>
      </c>
      <c r="U56" s="7" t="s">
        <v>291</v>
      </c>
      <c r="V56" s="7">
        <v>26.77</v>
      </c>
      <c r="W56" s="9">
        <v>1.01</v>
      </c>
      <c r="X56" s="9">
        <v>2.13</v>
      </c>
      <c r="Y56" s="7" t="s">
        <v>386</v>
      </c>
      <c r="Z56" s="10">
        <v>54.95</v>
      </c>
      <c r="AA56" s="9">
        <v>3.17</v>
      </c>
      <c r="AB56" s="9">
        <v>0.21</v>
      </c>
      <c r="AC56" s="7" t="s">
        <v>387</v>
      </c>
      <c r="AD56" s="7">
        <v>3.51</v>
      </c>
      <c r="AE56" s="9">
        <v>4.09</v>
      </c>
      <c r="AF56" s="9">
        <v>7.87</v>
      </c>
      <c r="AG56" s="7" t="s">
        <v>388</v>
      </c>
      <c r="AH56" s="7">
        <v>3.23</v>
      </c>
      <c r="AI56" s="9">
        <v>1.82</v>
      </c>
      <c r="AJ56" s="9">
        <v>4.99</v>
      </c>
      <c r="AK56" s="7" t="s">
        <v>389</v>
      </c>
      <c r="AL56" s="7">
        <v>141</v>
      </c>
      <c r="AM56" s="9">
        <v>3.97</v>
      </c>
      <c r="AN56" s="9">
        <v>7.37</v>
      </c>
    </row>
    <row r="57" spans="1:40" ht="18" x14ac:dyDescent="0.35">
      <c r="A57" s="14">
        <v>45549</v>
      </c>
      <c r="B57" s="7" t="s">
        <v>19</v>
      </c>
      <c r="C57" s="7" t="str">
        <f t="shared" si="0"/>
        <v>45549B</v>
      </c>
      <c r="D57" s="7" t="s">
        <v>390</v>
      </c>
      <c r="E57" s="7">
        <v>23.18</v>
      </c>
      <c r="F57" s="8">
        <v>104.77</v>
      </c>
      <c r="G57" s="7" t="s">
        <v>46</v>
      </c>
      <c r="H57" s="7">
        <v>15.4</v>
      </c>
      <c r="I57" s="7"/>
      <c r="J57" s="7" t="s">
        <v>391</v>
      </c>
      <c r="K57" s="7">
        <v>94.12</v>
      </c>
      <c r="L57" s="9">
        <v>14.18</v>
      </c>
      <c r="M57" s="7" t="s">
        <v>392</v>
      </c>
      <c r="N57" s="7">
        <v>8.1</v>
      </c>
      <c r="O57" s="9">
        <v>2.92</v>
      </c>
      <c r="P57" s="9">
        <v>0.61</v>
      </c>
      <c r="Q57" s="7" t="s">
        <v>122</v>
      </c>
      <c r="R57" s="7">
        <v>38.25</v>
      </c>
      <c r="S57" s="9">
        <v>0.64</v>
      </c>
      <c r="T57" s="9">
        <v>1.36</v>
      </c>
      <c r="U57" s="7" t="s">
        <v>393</v>
      </c>
      <c r="V57" s="7">
        <v>26.9</v>
      </c>
      <c r="W57" s="9">
        <v>0.14000000000000001</v>
      </c>
      <c r="X57" s="9">
        <v>2.63</v>
      </c>
      <c r="Y57" s="7" t="s">
        <v>116</v>
      </c>
      <c r="Z57" s="7">
        <v>54.95</v>
      </c>
      <c r="AA57" s="9">
        <v>0.43</v>
      </c>
      <c r="AB57" s="9">
        <v>0.21</v>
      </c>
      <c r="AC57" s="7" t="s">
        <v>394</v>
      </c>
      <c r="AD57" s="7">
        <v>3.82</v>
      </c>
      <c r="AE57" s="9">
        <v>6.7</v>
      </c>
      <c r="AF57" s="9">
        <v>0.26</v>
      </c>
      <c r="AG57" s="7" t="s">
        <v>395</v>
      </c>
      <c r="AH57" s="7">
        <v>3.38</v>
      </c>
      <c r="AI57" s="9">
        <v>1.8</v>
      </c>
      <c r="AJ57" s="9">
        <v>0.57999999999999996</v>
      </c>
      <c r="AK57" s="7" t="s">
        <v>396</v>
      </c>
      <c r="AL57" s="7">
        <v>146.75</v>
      </c>
      <c r="AM57" s="9">
        <v>1.4</v>
      </c>
      <c r="AN57" s="9">
        <v>3.59</v>
      </c>
    </row>
    <row r="58" spans="1:40" ht="18" x14ac:dyDescent="0.35">
      <c r="A58" s="14">
        <v>45549</v>
      </c>
      <c r="B58" s="7" t="s">
        <v>20</v>
      </c>
      <c r="C58" s="7" t="str">
        <f t="shared" si="0"/>
        <v>45549C</v>
      </c>
      <c r="D58" s="7" t="s">
        <v>397</v>
      </c>
      <c r="E58" s="7">
        <v>22.04</v>
      </c>
      <c r="F58" s="8">
        <v>94.18</v>
      </c>
      <c r="G58" s="7" t="s">
        <v>46</v>
      </c>
      <c r="H58" s="7">
        <v>8.75</v>
      </c>
      <c r="I58" s="7"/>
      <c r="J58" s="7" t="s">
        <v>398</v>
      </c>
      <c r="K58" s="7">
        <v>102.68</v>
      </c>
      <c r="L58" s="9">
        <v>5.84</v>
      </c>
      <c r="M58" s="7" t="s">
        <v>57</v>
      </c>
      <c r="N58" s="7">
        <v>8.3000000000000007</v>
      </c>
      <c r="O58" s="8">
        <v>3.75</v>
      </c>
      <c r="P58" s="9">
        <v>1.84</v>
      </c>
      <c r="Q58" s="7" t="s">
        <v>67</v>
      </c>
      <c r="R58" s="7">
        <v>39.33</v>
      </c>
      <c r="S58" s="9">
        <v>2.34</v>
      </c>
      <c r="T58" s="9">
        <v>1.41</v>
      </c>
      <c r="U58" s="7" t="s">
        <v>147</v>
      </c>
      <c r="V58" s="7">
        <v>27.23</v>
      </c>
      <c r="W58" s="9">
        <v>2.36</v>
      </c>
      <c r="X58" s="9">
        <v>3.89</v>
      </c>
      <c r="Y58" s="7" t="s">
        <v>124</v>
      </c>
      <c r="Z58" s="7">
        <v>54.95</v>
      </c>
      <c r="AA58" s="9">
        <v>0.39</v>
      </c>
      <c r="AB58" s="9">
        <v>0.21</v>
      </c>
      <c r="AC58" s="7" t="s">
        <v>399</v>
      </c>
      <c r="AD58" s="7">
        <v>3.82</v>
      </c>
      <c r="AE58" s="9">
        <v>0.79</v>
      </c>
      <c r="AF58" s="9">
        <v>0.26</v>
      </c>
      <c r="AG58" s="7" t="s">
        <v>71</v>
      </c>
      <c r="AH58" s="7">
        <v>3.44</v>
      </c>
      <c r="AI58" s="9">
        <v>3.3</v>
      </c>
      <c r="AJ58" s="9">
        <v>1.17</v>
      </c>
      <c r="AK58" s="7" t="s">
        <v>400</v>
      </c>
      <c r="AL58" s="7">
        <v>145.16999999999999</v>
      </c>
      <c r="AM58" s="9">
        <v>1.84</v>
      </c>
      <c r="AN58" s="9">
        <v>4.63</v>
      </c>
    </row>
    <row r="59" spans="1:40" x14ac:dyDescent="0.3">
      <c r="A59" s="14">
        <v>45551</v>
      </c>
      <c r="B59" s="7" t="s">
        <v>22</v>
      </c>
      <c r="C59" s="7" t="str">
        <f t="shared" si="0"/>
        <v>45551A</v>
      </c>
      <c r="D59" s="7" t="s">
        <v>55</v>
      </c>
      <c r="E59" s="7">
        <v>16.39</v>
      </c>
      <c r="F59" s="8">
        <v>44.27</v>
      </c>
      <c r="G59" s="7" t="s">
        <v>46</v>
      </c>
      <c r="H59" s="7">
        <v>12.27</v>
      </c>
      <c r="I59" s="7"/>
      <c r="J59" s="7" t="s">
        <v>401</v>
      </c>
      <c r="K59" s="7">
        <v>64.16</v>
      </c>
      <c r="L59" s="8">
        <v>36.49</v>
      </c>
      <c r="M59" s="7" t="s">
        <v>121</v>
      </c>
      <c r="N59" s="7">
        <v>8.31</v>
      </c>
      <c r="O59" s="9">
        <v>0.48</v>
      </c>
      <c r="P59" s="9">
        <v>1.96</v>
      </c>
      <c r="Q59" s="7" t="s">
        <v>402</v>
      </c>
      <c r="R59" s="7">
        <v>38</v>
      </c>
      <c r="S59" s="9">
        <v>1.0900000000000001</v>
      </c>
      <c r="T59" s="9">
        <v>2.0099999999999998</v>
      </c>
      <c r="U59" s="7" t="s">
        <v>403</v>
      </c>
      <c r="V59" s="7">
        <v>27.63</v>
      </c>
      <c r="W59" s="9">
        <v>4.6500000000000004</v>
      </c>
      <c r="X59" s="8">
        <v>5.41</v>
      </c>
      <c r="Y59" s="7" t="s">
        <v>124</v>
      </c>
      <c r="Z59" s="7">
        <v>55.87</v>
      </c>
      <c r="AA59" s="9">
        <v>1.26</v>
      </c>
      <c r="AB59" s="9">
        <v>1.45</v>
      </c>
      <c r="AC59" s="7" t="s">
        <v>354</v>
      </c>
      <c r="AD59" s="7">
        <v>3.82</v>
      </c>
      <c r="AE59" s="9">
        <v>1.03</v>
      </c>
      <c r="AF59" s="9">
        <v>0.26</v>
      </c>
      <c r="AG59" s="7" t="s">
        <v>172</v>
      </c>
      <c r="AH59" s="11">
        <v>3.64</v>
      </c>
      <c r="AI59" s="9">
        <v>6.74</v>
      </c>
      <c r="AJ59" s="8">
        <v>7.05</v>
      </c>
      <c r="AK59" s="7" t="s">
        <v>404</v>
      </c>
      <c r="AL59" s="7">
        <v>142</v>
      </c>
      <c r="AM59" s="9">
        <v>2.69</v>
      </c>
      <c r="AN59" s="9">
        <v>6.72</v>
      </c>
    </row>
    <row r="60" spans="1:40" ht="18" x14ac:dyDescent="0.35">
      <c r="A60" s="14">
        <v>45551</v>
      </c>
      <c r="B60" s="7" t="s">
        <v>19</v>
      </c>
      <c r="C60" s="7" t="str">
        <f t="shared" si="0"/>
        <v>45551B</v>
      </c>
      <c r="D60" s="7" t="s">
        <v>119</v>
      </c>
      <c r="E60" s="7">
        <v>12.2</v>
      </c>
      <c r="F60" s="8">
        <v>7.29</v>
      </c>
      <c r="G60" s="7" t="s">
        <v>46</v>
      </c>
      <c r="H60" s="7">
        <v>10.55</v>
      </c>
      <c r="I60" s="7"/>
      <c r="J60" s="7" t="s">
        <v>405</v>
      </c>
      <c r="K60" s="7">
        <v>79.08</v>
      </c>
      <c r="L60" s="8">
        <v>25.83</v>
      </c>
      <c r="M60" s="7" t="s">
        <v>406</v>
      </c>
      <c r="N60" s="7">
        <v>8.5</v>
      </c>
      <c r="O60" s="9">
        <v>0.35</v>
      </c>
      <c r="P60" s="8">
        <v>4.29</v>
      </c>
      <c r="Q60" s="7" t="s">
        <v>407</v>
      </c>
      <c r="R60" s="7">
        <v>39</v>
      </c>
      <c r="S60" s="9">
        <v>0.56000000000000005</v>
      </c>
      <c r="T60" s="9">
        <v>0.56000000000000005</v>
      </c>
      <c r="U60" s="7" t="s">
        <v>403</v>
      </c>
      <c r="V60" s="7">
        <v>27.78</v>
      </c>
      <c r="W60" s="8">
        <v>5.22</v>
      </c>
      <c r="X60" s="8">
        <v>5.99</v>
      </c>
      <c r="Y60" s="7" t="s">
        <v>408</v>
      </c>
      <c r="Z60" s="11">
        <v>57.41</v>
      </c>
      <c r="AA60" s="9">
        <v>2.64</v>
      </c>
      <c r="AB60" s="9">
        <v>4.24</v>
      </c>
      <c r="AC60" s="7" t="s">
        <v>409</v>
      </c>
      <c r="AD60" s="7">
        <v>4.28</v>
      </c>
      <c r="AE60" s="8">
        <v>8.08</v>
      </c>
      <c r="AF60" s="8">
        <v>12.33</v>
      </c>
      <c r="AG60" s="7" t="s">
        <v>410</v>
      </c>
      <c r="AH60" s="11">
        <v>3.74</v>
      </c>
      <c r="AI60" s="8">
        <v>7.78</v>
      </c>
      <c r="AJ60" s="8">
        <v>10</v>
      </c>
      <c r="AK60" s="7" t="s">
        <v>411</v>
      </c>
      <c r="AL60" s="7">
        <v>151.19999999999999</v>
      </c>
      <c r="AM60" s="9">
        <v>4.9400000000000004</v>
      </c>
      <c r="AN60" s="9">
        <v>0.67</v>
      </c>
    </row>
    <row r="61" spans="1:40" ht="18" x14ac:dyDescent="0.35">
      <c r="A61" s="14">
        <v>45551</v>
      </c>
      <c r="B61" s="7" t="s">
        <v>20</v>
      </c>
      <c r="C61" s="7" t="str">
        <f t="shared" si="0"/>
        <v>45551C</v>
      </c>
      <c r="D61" s="7" t="s">
        <v>204</v>
      </c>
      <c r="E61" s="7">
        <v>7.61</v>
      </c>
      <c r="F61" s="8">
        <v>33.36</v>
      </c>
      <c r="G61" s="7" t="s">
        <v>412</v>
      </c>
      <c r="H61" s="7">
        <v>7.1</v>
      </c>
      <c r="I61" s="8">
        <v>60.57</v>
      </c>
      <c r="J61" s="7" t="s">
        <v>413</v>
      </c>
      <c r="K61" s="7">
        <v>96.75</v>
      </c>
      <c r="L61" s="9">
        <v>13.14</v>
      </c>
      <c r="M61" s="7" t="s">
        <v>267</v>
      </c>
      <c r="N61" s="7">
        <v>8.1999999999999993</v>
      </c>
      <c r="O61" s="8">
        <v>3.52</v>
      </c>
      <c r="P61" s="9">
        <v>0.61</v>
      </c>
      <c r="Q61" s="7" t="s">
        <v>414</v>
      </c>
      <c r="R61" s="7">
        <v>38.17</v>
      </c>
      <c r="S61" s="9">
        <v>0.98</v>
      </c>
      <c r="T61" s="9">
        <v>1.57</v>
      </c>
      <c r="U61" s="7" t="s">
        <v>415</v>
      </c>
      <c r="V61" s="7">
        <v>25.9</v>
      </c>
      <c r="W61" s="9">
        <v>0.26</v>
      </c>
      <c r="X61" s="9">
        <v>1.18</v>
      </c>
      <c r="Y61" s="7" t="s">
        <v>226</v>
      </c>
      <c r="Z61" s="7">
        <v>57.4</v>
      </c>
      <c r="AA61" s="9">
        <v>0.59</v>
      </c>
      <c r="AB61" s="9">
        <v>4.2300000000000004</v>
      </c>
      <c r="AC61" s="7" t="s">
        <v>416</v>
      </c>
      <c r="AD61" s="7">
        <v>4.1399999999999997</v>
      </c>
      <c r="AE61" s="9">
        <v>0.48</v>
      </c>
      <c r="AF61" s="8">
        <v>8.66</v>
      </c>
      <c r="AG61" s="7" t="s">
        <v>417</v>
      </c>
      <c r="AH61" s="7">
        <v>3.46</v>
      </c>
      <c r="AI61" s="9">
        <v>0.28000000000000003</v>
      </c>
      <c r="AJ61" s="9">
        <v>1.76</v>
      </c>
      <c r="AK61" s="7" t="s">
        <v>418</v>
      </c>
      <c r="AL61" s="7">
        <v>146.5</v>
      </c>
      <c r="AM61" s="9">
        <v>0.04</v>
      </c>
      <c r="AN61" s="9">
        <v>3.76</v>
      </c>
    </row>
    <row r="62" spans="1:40" ht="18" x14ac:dyDescent="0.35">
      <c r="A62" s="14">
        <v>45552</v>
      </c>
      <c r="B62" s="7" t="s">
        <v>22</v>
      </c>
      <c r="C62" s="7" t="str">
        <f t="shared" si="0"/>
        <v>45552A</v>
      </c>
      <c r="D62" s="7" t="s">
        <v>419</v>
      </c>
      <c r="E62" s="7">
        <v>14.21</v>
      </c>
      <c r="F62" s="9">
        <v>0.85</v>
      </c>
      <c r="G62" s="7" t="s">
        <v>420</v>
      </c>
      <c r="H62" s="7">
        <v>15.93</v>
      </c>
      <c r="I62" s="8">
        <v>494.4</v>
      </c>
      <c r="J62" s="7" t="s">
        <v>421</v>
      </c>
      <c r="K62" s="7">
        <v>96.16</v>
      </c>
      <c r="L62" s="8">
        <v>28.45</v>
      </c>
      <c r="M62" s="7" t="s">
        <v>130</v>
      </c>
      <c r="N62" s="7">
        <v>8.02</v>
      </c>
      <c r="O62" s="9">
        <v>1.71</v>
      </c>
      <c r="P62" s="9">
        <v>1.59</v>
      </c>
      <c r="Q62" s="7" t="s">
        <v>321</v>
      </c>
      <c r="R62" s="7">
        <v>37.17</v>
      </c>
      <c r="S62" s="9">
        <v>3.55</v>
      </c>
      <c r="T62" s="9">
        <v>4.1500000000000004</v>
      </c>
      <c r="U62" s="7" t="s">
        <v>240</v>
      </c>
      <c r="V62" s="7">
        <v>27.38</v>
      </c>
      <c r="W62" s="9">
        <v>4.3</v>
      </c>
      <c r="X62" s="9">
        <v>4.46</v>
      </c>
      <c r="Y62" s="7" t="s">
        <v>422</v>
      </c>
      <c r="Z62" s="7">
        <v>56.15</v>
      </c>
      <c r="AA62" s="9">
        <v>1.68</v>
      </c>
      <c r="AB62" s="9">
        <v>1.96</v>
      </c>
      <c r="AC62" s="7" t="s">
        <v>423</v>
      </c>
      <c r="AD62" s="7">
        <v>4.1399999999999997</v>
      </c>
      <c r="AE62" s="9">
        <v>0.24</v>
      </c>
      <c r="AF62" s="8">
        <v>8.66</v>
      </c>
      <c r="AG62" s="7" t="s">
        <v>172</v>
      </c>
      <c r="AH62" s="7">
        <v>3.23</v>
      </c>
      <c r="AI62" s="9">
        <v>5.27</v>
      </c>
      <c r="AJ62" s="9">
        <v>4.99</v>
      </c>
      <c r="AK62" s="7" t="s">
        <v>424</v>
      </c>
      <c r="AL62" s="7">
        <v>140.5</v>
      </c>
      <c r="AM62" s="9">
        <v>4.21</v>
      </c>
      <c r="AN62" s="9">
        <v>7.7</v>
      </c>
    </row>
    <row r="63" spans="1:40" x14ac:dyDescent="0.3">
      <c r="A63" s="14">
        <v>45552</v>
      </c>
      <c r="B63" s="7" t="s">
        <v>19</v>
      </c>
      <c r="C63" s="7" t="str">
        <f t="shared" si="0"/>
        <v>45552B</v>
      </c>
      <c r="D63" s="7" t="s">
        <v>181</v>
      </c>
      <c r="E63" s="7">
        <v>16.16</v>
      </c>
      <c r="F63" s="8">
        <v>42.63</v>
      </c>
      <c r="G63" s="7" t="s">
        <v>46</v>
      </c>
      <c r="H63" s="7">
        <v>17</v>
      </c>
      <c r="I63" s="7"/>
      <c r="J63" s="7" t="s">
        <v>425</v>
      </c>
      <c r="K63" s="7">
        <v>90.3</v>
      </c>
      <c r="L63" s="9">
        <v>0.74</v>
      </c>
      <c r="M63" s="7" t="s">
        <v>426</v>
      </c>
      <c r="N63" s="7">
        <v>7.75</v>
      </c>
      <c r="O63" s="9">
        <v>2.2599999999999998</v>
      </c>
      <c r="P63" s="8">
        <v>4.9000000000000004</v>
      </c>
      <c r="Q63" s="7" t="s">
        <v>427</v>
      </c>
      <c r="R63" s="7">
        <v>38.71</v>
      </c>
      <c r="S63" s="9">
        <v>0.88</v>
      </c>
      <c r="T63" s="9">
        <v>0.18</v>
      </c>
      <c r="U63" s="7" t="s">
        <v>155</v>
      </c>
      <c r="V63" s="7">
        <v>25.94</v>
      </c>
      <c r="W63" s="9">
        <v>2.33</v>
      </c>
      <c r="X63" s="9">
        <v>1.03</v>
      </c>
      <c r="Y63" s="7" t="s">
        <v>148</v>
      </c>
      <c r="Z63" s="7">
        <v>56.01</v>
      </c>
      <c r="AA63" s="9">
        <v>0.44</v>
      </c>
      <c r="AB63" s="9">
        <v>1.7</v>
      </c>
      <c r="AC63" s="7" t="s">
        <v>269</v>
      </c>
      <c r="AD63" s="7">
        <v>3.81</v>
      </c>
      <c r="AE63" s="9">
        <v>5.45</v>
      </c>
      <c r="AF63" s="9">
        <v>0</v>
      </c>
      <c r="AG63" s="7" t="s">
        <v>94</v>
      </c>
      <c r="AH63" s="7">
        <v>3.19</v>
      </c>
      <c r="AI63" s="9">
        <v>4.7699999999999996</v>
      </c>
      <c r="AJ63" s="9">
        <v>6.17</v>
      </c>
      <c r="AK63" s="7" t="s">
        <v>428</v>
      </c>
      <c r="AL63" s="7">
        <v>148.13999999999999</v>
      </c>
      <c r="AM63" s="9">
        <v>1.4</v>
      </c>
      <c r="AN63" s="9">
        <v>2.68</v>
      </c>
    </row>
    <row r="64" spans="1:40" x14ac:dyDescent="0.3">
      <c r="A64" s="14">
        <v>45552</v>
      </c>
      <c r="B64" s="7" t="s">
        <v>20</v>
      </c>
      <c r="C64" s="7" t="str">
        <f t="shared" si="0"/>
        <v>45552C</v>
      </c>
      <c r="D64" s="7" t="s">
        <v>429</v>
      </c>
      <c r="E64" s="7">
        <v>20.32</v>
      </c>
      <c r="F64" s="9">
        <v>3.14</v>
      </c>
      <c r="G64" s="7" t="s">
        <v>46</v>
      </c>
      <c r="H64" s="7">
        <v>15.18</v>
      </c>
      <c r="I64" s="7"/>
      <c r="J64" s="7" t="s">
        <v>144</v>
      </c>
      <c r="K64" s="7">
        <v>86.96</v>
      </c>
      <c r="L64" s="8">
        <v>25.64</v>
      </c>
      <c r="M64" s="7" t="s">
        <v>430</v>
      </c>
      <c r="N64" s="7">
        <v>7.8</v>
      </c>
      <c r="O64" s="9">
        <v>0.25</v>
      </c>
      <c r="P64" s="8">
        <v>4.29</v>
      </c>
      <c r="Q64" s="7" t="s">
        <v>296</v>
      </c>
      <c r="R64" s="7">
        <v>39</v>
      </c>
      <c r="S64" s="9">
        <v>1.98</v>
      </c>
      <c r="T64" s="9">
        <v>0.56000000000000005</v>
      </c>
      <c r="U64" s="7" t="s">
        <v>431</v>
      </c>
      <c r="V64" s="7">
        <v>26.5</v>
      </c>
      <c r="W64" s="9">
        <v>0.03</v>
      </c>
      <c r="X64" s="9">
        <v>1.1000000000000001</v>
      </c>
      <c r="Y64" s="7" t="s">
        <v>432</v>
      </c>
      <c r="Z64" s="10">
        <v>56.01</v>
      </c>
      <c r="AA64" s="9">
        <v>0.17</v>
      </c>
      <c r="AB64" s="9">
        <v>1.7</v>
      </c>
      <c r="AC64" s="7" t="s">
        <v>171</v>
      </c>
      <c r="AD64" s="10">
        <v>3.81</v>
      </c>
      <c r="AE64" s="9">
        <v>1.32</v>
      </c>
      <c r="AF64" s="9">
        <v>0</v>
      </c>
      <c r="AG64" s="7" t="s">
        <v>433</v>
      </c>
      <c r="AH64" s="7">
        <v>3.2</v>
      </c>
      <c r="AI64" s="9">
        <v>2.4300000000000002</v>
      </c>
      <c r="AJ64" s="9">
        <v>5.88</v>
      </c>
      <c r="AK64" s="7" t="s">
        <v>434</v>
      </c>
      <c r="AL64" s="7">
        <v>152.5</v>
      </c>
      <c r="AM64" s="9">
        <v>2.5299999999999998</v>
      </c>
      <c r="AN64" s="9">
        <v>0.17</v>
      </c>
    </row>
    <row r="65" spans="1:40" x14ac:dyDescent="0.3">
      <c r="A65" s="14">
        <v>45553</v>
      </c>
      <c r="B65" s="7" t="s">
        <v>22</v>
      </c>
      <c r="C65" s="7" t="str">
        <f t="shared" si="0"/>
        <v>45553A</v>
      </c>
      <c r="D65" s="7" t="s">
        <v>435</v>
      </c>
      <c r="E65" s="7">
        <v>26.84</v>
      </c>
      <c r="F65" s="8">
        <v>11.13</v>
      </c>
      <c r="G65" s="7" t="s">
        <v>46</v>
      </c>
      <c r="H65" s="7">
        <v>15.51</v>
      </c>
      <c r="I65" s="7"/>
      <c r="J65" s="7" t="s">
        <v>436</v>
      </c>
      <c r="K65" s="7">
        <v>63.54</v>
      </c>
      <c r="L65" s="9">
        <v>15.5</v>
      </c>
      <c r="M65" s="7" t="s">
        <v>437</v>
      </c>
      <c r="N65" s="7">
        <v>8.07</v>
      </c>
      <c r="O65" s="9">
        <v>2.8</v>
      </c>
      <c r="P65" s="9">
        <v>0.98</v>
      </c>
      <c r="Q65" s="7" t="s">
        <v>438</v>
      </c>
      <c r="R65" s="7">
        <v>37.67</v>
      </c>
      <c r="S65" s="9">
        <v>1.51</v>
      </c>
      <c r="T65" s="9">
        <v>2.86</v>
      </c>
      <c r="U65" s="7" t="s">
        <v>85</v>
      </c>
      <c r="V65" s="7">
        <v>27.33</v>
      </c>
      <c r="W65" s="9">
        <v>3.01</v>
      </c>
      <c r="X65" s="9">
        <v>4.2699999999999996</v>
      </c>
      <c r="Y65" s="7" t="s">
        <v>439</v>
      </c>
      <c r="Z65" s="7">
        <v>54.87</v>
      </c>
      <c r="AA65" s="9">
        <v>1.68</v>
      </c>
      <c r="AB65" s="9">
        <v>0.36</v>
      </c>
      <c r="AC65" s="7" t="s">
        <v>350</v>
      </c>
      <c r="AD65" s="7">
        <v>3.81</v>
      </c>
      <c r="AE65" s="9">
        <v>1.6</v>
      </c>
      <c r="AF65" s="9">
        <v>0</v>
      </c>
      <c r="AG65" s="7" t="s">
        <v>440</v>
      </c>
      <c r="AH65" s="7">
        <v>3.48</v>
      </c>
      <c r="AI65" s="9">
        <v>6.74</v>
      </c>
      <c r="AJ65" s="9">
        <v>2.35</v>
      </c>
      <c r="AK65" s="7" t="s">
        <v>441</v>
      </c>
      <c r="AL65" s="7">
        <v>152.33000000000001</v>
      </c>
      <c r="AM65" s="9">
        <v>1.2</v>
      </c>
      <c r="AN65" s="9">
        <v>0.06</v>
      </c>
    </row>
    <row r="66" spans="1:40" x14ac:dyDescent="0.3">
      <c r="A66" s="14">
        <v>45553</v>
      </c>
      <c r="B66" s="7" t="s">
        <v>19</v>
      </c>
      <c r="C66" s="7" t="str">
        <f t="shared" si="0"/>
        <v>45553B</v>
      </c>
      <c r="D66" s="7" t="s">
        <v>442</v>
      </c>
      <c r="E66" s="7">
        <v>22.15</v>
      </c>
      <c r="F66" s="8">
        <v>67.040000000000006</v>
      </c>
      <c r="G66" s="7" t="s">
        <v>46</v>
      </c>
      <c r="H66" s="7">
        <v>13.13</v>
      </c>
      <c r="I66" s="7"/>
      <c r="J66" s="7" t="s">
        <v>319</v>
      </c>
      <c r="K66" s="7">
        <v>84.47</v>
      </c>
      <c r="L66" s="9">
        <v>23.98</v>
      </c>
      <c r="M66" s="7" t="s">
        <v>443</v>
      </c>
      <c r="N66" s="7">
        <v>8</v>
      </c>
      <c r="O66" s="9">
        <v>0.86</v>
      </c>
      <c r="P66" s="9">
        <v>1.84</v>
      </c>
      <c r="Q66" s="7" t="s">
        <v>444</v>
      </c>
      <c r="R66" s="7">
        <v>39</v>
      </c>
      <c r="S66" s="9">
        <v>0.46</v>
      </c>
      <c r="T66" s="9">
        <v>0.56000000000000005</v>
      </c>
      <c r="U66" s="7" t="s">
        <v>375</v>
      </c>
      <c r="V66" s="7">
        <v>28.05</v>
      </c>
      <c r="W66" s="8">
        <v>5.49</v>
      </c>
      <c r="X66" s="8">
        <v>7.02</v>
      </c>
      <c r="Y66" s="7" t="s">
        <v>445</v>
      </c>
      <c r="Z66" s="10">
        <v>56.21</v>
      </c>
      <c r="AA66" s="9">
        <v>2.1</v>
      </c>
      <c r="AB66" s="9">
        <v>2.0699999999999998</v>
      </c>
      <c r="AC66" s="7" t="s">
        <v>446</v>
      </c>
      <c r="AD66" s="7">
        <v>3.95</v>
      </c>
      <c r="AE66" s="9">
        <v>4.49</v>
      </c>
      <c r="AF66" s="9">
        <v>3.67</v>
      </c>
      <c r="AG66" s="7" t="s">
        <v>94</v>
      </c>
      <c r="AH66" s="11">
        <v>3.57</v>
      </c>
      <c r="AI66" s="9">
        <v>6.56</v>
      </c>
      <c r="AJ66" s="9">
        <v>4.99</v>
      </c>
      <c r="AK66" s="7" t="s">
        <v>447</v>
      </c>
      <c r="AL66" s="7">
        <v>143</v>
      </c>
      <c r="AM66" s="9">
        <v>6.08</v>
      </c>
      <c r="AN66" s="9">
        <v>6.06</v>
      </c>
    </row>
    <row r="67" spans="1:40" x14ac:dyDescent="0.3">
      <c r="A67" s="14">
        <v>45553</v>
      </c>
      <c r="B67" s="7" t="s">
        <v>20</v>
      </c>
      <c r="C67" s="7" t="str">
        <f t="shared" si="0"/>
        <v>45553C</v>
      </c>
      <c r="D67" s="7" t="s">
        <v>103</v>
      </c>
      <c r="E67" s="7">
        <v>7.5</v>
      </c>
      <c r="F67" s="8">
        <v>34.090000000000003</v>
      </c>
      <c r="G67" s="7" t="s">
        <v>46</v>
      </c>
      <c r="H67" s="7">
        <v>8.8800000000000008</v>
      </c>
      <c r="I67" s="7"/>
      <c r="J67" s="7" t="s">
        <v>104</v>
      </c>
      <c r="K67" s="7">
        <v>76.55</v>
      </c>
      <c r="L67" s="8">
        <v>31.09</v>
      </c>
      <c r="M67" s="7" t="s">
        <v>448</v>
      </c>
      <c r="N67" s="7">
        <v>8.6</v>
      </c>
      <c r="O67" s="9">
        <v>2.0099999999999998</v>
      </c>
      <c r="P67" s="8">
        <v>5.52</v>
      </c>
      <c r="Q67" s="7" t="s">
        <v>90</v>
      </c>
      <c r="R67" s="7">
        <v>39.43</v>
      </c>
      <c r="S67" s="9">
        <v>1.85</v>
      </c>
      <c r="T67" s="9">
        <v>1.67</v>
      </c>
      <c r="U67" s="7" t="s">
        <v>155</v>
      </c>
      <c r="V67" s="7">
        <v>27.38</v>
      </c>
      <c r="W67" s="9">
        <v>3.08</v>
      </c>
      <c r="X67" s="9">
        <v>4.46</v>
      </c>
      <c r="Y67" s="7" t="s">
        <v>449</v>
      </c>
      <c r="Z67" s="7">
        <v>56.21</v>
      </c>
      <c r="AA67" s="9">
        <v>0.19</v>
      </c>
      <c r="AB67" s="9">
        <v>2.0699999999999998</v>
      </c>
      <c r="AC67" s="7" t="s">
        <v>354</v>
      </c>
      <c r="AD67" s="7">
        <v>3.78</v>
      </c>
      <c r="AE67" s="9">
        <v>2.0699999999999998</v>
      </c>
      <c r="AF67" s="9">
        <v>0.78</v>
      </c>
      <c r="AG67" s="7" t="s">
        <v>126</v>
      </c>
      <c r="AH67" s="11">
        <v>3.65</v>
      </c>
      <c r="AI67" s="9">
        <v>6.72</v>
      </c>
      <c r="AJ67" s="8">
        <v>7.35</v>
      </c>
      <c r="AK67" s="7" t="s">
        <v>450</v>
      </c>
      <c r="AL67" s="7">
        <v>152.86000000000001</v>
      </c>
      <c r="AM67" s="9">
        <v>2.92</v>
      </c>
      <c r="AN67" s="9">
        <v>0.41</v>
      </c>
    </row>
    <row r="68" spans="1:40" x14ac:dyDescent="0.3">
      <c r="A68" s="25">
        <v>45554</v>
      </c>
      <c r="B68" s="24" t="s">
        <v>22</v>
      </c>
      <c r="C68" s="26" t="str">
        <f t="shared" si="0"/>
        <v>45554A</v>
      </c>
      <c r="D68" s="26" t="s">
        <v>530</v>
      </c>
      <c r="E68" s="26">
        <v>12.1</v>
      </c>
      <c r="F68" s="27">
        <v>56.53</v>
      </c>
      <c r="G68" s="26" t="s">
        <v>46</v>
      </c>
      <c r="H68" s="26">
        <v>15.59</v>
      </c>
      <c r="I68" s="26"/>
      <c r="J68" s="26" t="s">
        <v>531</v>
      </c>
      <c r="K68" s="26">
        <v>85.11</v>
      </c>
      <c r="L68" s="27">
        <v>25.99</v>
      </c>
      <c r="M68" s="26" t="s">
        <v>83</v>
      </c>
      <c r="N68" s="26">
        <v>8.49</v>
      </c>
      <c r="O68" s="27">
        <v>5.33</v>
      </c>
      <c r="P68" s="28">
        <v>4.17</v>
      </c>
      <c r="Q68" s="26" t="s">
        <v>532</v>
      </c>
      <c r="R68" s="26">
        <v>37.380000000000003</v>
      </c>
      <c r="S68" s="28">
        <v>1.65</v>
      </c>
      <c r="T68" s="28">
        <v>3.61</v>
      </c>
      <c r="U68" s="26" t="s">
        <v>533</v>
      </c>
      <c r="V68" s="26">
        <v>27.27</v>
      </c>
      <c r="W68" s="27">
        <v>4.8</v>
      </c>
      <c r="X68" s="27">
        <v>4.04</v>
      </c>
      <c r="Y68" s="26" t="s">
        <v>534</v>
      </c>
      <c r="Z68" s="29">
        <v>53.89</v>
      </c>
      <c r="AA68" s="27">
        <v>4.04</v>
      </c>
      <c r="AB68" s="27">
        <v>2.14</v>
      </c>
      <c r="AC68" s="26" t="s">
        <v>185</v>
      </c>
      <c r="AD68" s="26">
        <v>3.91</v>
      </c>
      <c r="AE68" s="28">
        <v>0.5</v>
      </c>
      <c r="AF68" s="28">
        <v>2.62</v>
      </c>
      <c r="AG68" s="26" t="s">
        <v>535</v>
      </c>
      <c r="AH68" s="29">
        <v>3.52</v>
      </c>
      <c r="AI68" s="28">
        <v>4.76</v>
      </c>
      <c r="AJ68" s="28">
        <v>3.52</v>
      </c>
      <c r="AK68" s="26" t="s">
        <v>536</v>
      </c>
      <c r="AL68" s="26">
        <v>146.12</v>
      </c>
      <c r="AM68" s="28">
        <v>0.94</v>
      </c>
      <c r="AN68" s="28">
        <v>4.01</v>
      </c>
    </row>
    <row r="69" spans="1:40" x14ac:dyDescent="0.3">
      <c r="A69" s="25">
        <v>45554</v>
      </c>
      <c r="B69" s="24" t="s">
        <v>19</v>
      </c>
      <c r="C69" s="26" t="str">
        <f t="shared" si="0"/>
        <v>45554B</v>
      </c>
      <c r="D69" s="26" t="s">
        <v>537</v>
      </c>
      <c r="E69" s="26">
        <v>13.63</v>
      </c>
      <c r="F69" s="27">
        <v>29.56</v>
      </c>
      <c r="G69" s="26" t="s">
        <v>538</v>
      </c>
      <c r="H69" s="26">
        <v>15.08</v>
      </c>
      <c r="I69" s="27">
        <v>7836.84</v>
      </c>
      <c r="J69" s="26" t="s">
        <v>531</v>
      </c>
      <c r="K69" s="26">
        <v>88.21</v>
      </c>
      <c r="L69" s="27">
        <v>23.29</v>
      </c>
      <c r="M69" s="26" t="s">
        <v>539</v>
      </c>
      <c r="N69" s="26">
        <v>8.27</v>
      </c>
      <c r="O69" s="28">
        <v>3.24</v>
      </c>
      <c r="P69" s="28">
        <v>1.47</v>
      </c>
      <c r="Q69" s="26" t="s">
        <v>540</v>
      </c>
      <c r="R69" s="26">
        <v>39.25</v>
      </c>
      <c r="S69" s="28">
        <v>4.13</v>
      </c>
      <c r="T69" s="28">
        <v>1.21</v>
      </c>
      <c r="U69" s="26" t="s">
        <v>297</v>
      </c>
      <c r="V69" s="26">
        <v>26.65</v>
      </c>
      <c r="W69" s="28">
        <v>0.03</v>
      </c>
      <c r="X69" s="28">
        <v>1.67</v>
      </c>
      <c r="Y69" s="26" t="s">
        <v>541</v>
      </c>
      <c r="Z69" s="26">
        <v>55.81</v>
      </c>
      <c r="AA69" s="27">
        <v>2.76</v>
      </c>
      <c r="AB69" s="28">
        <v>1.34</v>
      </c>
      <c r="AC69" s="26" t="s">
        <v>446</v>
      </c>
      <c r="AD69" s="26">
        <v>3.75</v>
      </c>
      <c r="AE69" s="28">
        <v>0.79</v>
      </c>
      <c r="AF69" s="28">
        <v>1.57</v>
      </c>
      <c r="AG69" s="26" t="s">
        <v>71</v>
      </c>
      <c r="AH69" s="29">
        <v>3.52</v>
      </c>
      <c r="AI69" s="28">
        <v>5.7</v>
      </c>
      <c r="AJ69" s="28">
        <v>3.52</v>
      </c>
      <c r="AK69" s="26" t="s">
        <v>542</v>
      </c>
      <c r="AL69" s="26">
        <v>145.88</v>
      </c>
      <c r="AM69" s="28">
        <v>1.89</v>
      </c>
      <c r="AN69" s="28">
        <v>4.17</v>
      </c>
    </row>
    <row r="70" spans="1:40" x14ac:dyDescent="0.3">
      <c r="A70" s="25">
        <v>45555</v>
      </c>
      <c r="B70" s="24" t="s">
        <v>22</v>
      </c>
      <c r="C70" s="26" t="str">
        <f t="shared" si="0"/>
        <v>45555A</v>
      </c>
      <c r="D70" s="26" t="s">
        <v>543</v>
      </c>
      <c r="E70" s="26">
        <v>8.1</v>
      </c>
      <c r="F70" s="27">
        <v>59.13</v>
      </c>
      <c r="G70" s="26" t="s">
        <v>544</v>
      </c>
      <c r="H70" s="26">
        <v>15.51</v>
      </c>
      <c r="I70" s="27">
        <v>226.52</v>
      </c>
      <c r="J70" s="26" t="s">
        <v>545</v>
      </c>
      <c r="K70" s="26">
        <v>71.64</v>
      </c>
      <c r="L70" s="27">
        <v>34.71</v>
      </c>
      <c r="M70" s="26" t="s">
        <v>546</v>
      </c>
      <c r="N70" s="29">
        <v>8.8800000000000008</v>
      </c>
      <c r="O70" s="27">
        <v>9.35</v>
      </c>
      <c r="P70" s="27">
        <v>8.9499999999999993</v>
      </c>
      <c r="Q70" s="26" t="s">
        <v>258</v>
      </c>
      <c r="R70" s="26">
        <v>37.18</v>
      </c>
      <c r="S70" s="28">
        <v>4.1900000000000004</v>
      </c>
      <c r="T70" s="28">
        <v>4.12</v>
      </c>
      <c r="U70" s="26" t="s">
        <v>547</v>
      </c>
      <c r="V70" s="26">
        <v>28.4</v>
      </c>
      <c r="W70" s="27">
        <v>9.65</v>
      </c>
      <c r="X70" s="27">
        <v>8.35</v>
      </c>
      <c r="Y70" s="26" t="s">
        <v>439</v>
      </c>
      <c r="Z70" s="26">
        <v>54.89</v>
      </c>
      <c r="AA70" s="28">
        <v>1.64</v>
      </c>
      <c r="AB70" s="28">
        <v>0.32</v>
      </c>
      <c r="AC70" s="26" t="s">
        <v>548</v>
      </c>
      <c r="AD70" s="26">
        <v>4.0199999999999996</v>
      </c>
      <c r="AE70" s="28">
        <v>3.07</v>
      </c>
      <c r="AF70" s="28">
        <v>5.51</v>
      </c>
      <c r="AG70" s="26" t="s">
        <v>53</v>
      </c>
      <c r="AH70" s="29">
        <v>3.69</v>
      </c>
      <c r="AI70" s="27">
        <v>8.52</v>
      </c>
      <c r="AJ70" s="27">
        <v>8.52</v>
      </c>
      <c r="AK70" s="26" t="s">
        <v>549</v>
      </c>
      <c r="AL70" s="26">
        <v>146.09</v>
      </c>
      <c r="AM70" s="28">
        <v>0.21</v>
      </c>
      <c r="AN70" s="28">
        <v>4.03</v>
      </c>
    </row>
    <row r="71" spans="1:40" x14ac:dyDescent="0.3">
      <c r="A71" s="25">
        <v>45555</v>
      </c>
      <c r="B71" s="24" t="s">
        <v>19</v>
      </c>
      <c r="C71" s="26" t="str">
        <f t="shared" si="0"/>
        <v>45555B</v>
      </c>
      <c r="D71" s="26" t="s">
        <v>550</v>
      </c>
      <c r="E71" s="26">
        <v>5.15</v>
      </c>
      <c r="F71" s="28">
        <v>3</v>
      </c>
      <c r="G71" s="26" t="s">
        <v>52</v>
      </c>
      <c r="H71" s="26">
        <v>9.0500000000000007</v>
      </c>
      <c r="I71" s="27">
        <v>142.62</v>
      </c>
      <c r="J71" s="26" t="s">
        <v>531</v>
      </c>
      <c r="K71" s="26">
        <v>104.02</v>
      </c>
      <c r="L71" s="28">
        <v>9.5399999999999991</v>
      </c>
      <c r="M71" s="26" t="s">
        <v>198</v>
      </c>
      <c r="N71" s="26">
        <v>8.3000000000000007</v>
      </c>
      <c r="O71" s="28">
        <v>2.69</v>
      </c>
      <c r="P71" s="28">
        <v>1.84</v>
      </c>
      <c r="Q71" s="26" t="s">
        <v>551</v>
      </c>
      <c r="R71" s="26">
        <v>38.799999999999997</v>
      </c>
      <c r="S71" s="28">
        <v>3.3</v>
      </c>
      <c r="T71" s="28">
        <v>0.05</v>
      </c>
      <c r="U71" s="26" t="s">
        <v>552</v>
      </c>
      <c r="V71" s="26">
        <v>27.6</v>
      </c>
      <c r="W71" s="27">
        <v>3.1</v>
      </c>
      <c r="X71" s="27">
        <v>5.3</v>
      </c>
      <c r="Y71" s="26" t="s">
        <v>86</v>
      </c>
      <c r="Z71" s="26">
        <v>54.89</v>
      </c>
      <c r="AA71" s="28">
        <v>0.41</v>
      </c>
      <c r="AB71" s="28">
        <v>0.32</v>
      </c>
      <c r="AC71" s="26" t="s">
        <v>553</v>
      </c>
      <c r="AD71" s="26">
        <v>4.03</v>
      </c>
      <c r="AE71" s="28">
        <v>1.22</v>
      </c>
      <c r="AF71" s="28">
        <v>5.77</v>
      </c>
      <c r="AG71" s="26" t="s">
        <v>79</v>
      </c>
      <c r="AH71" s="29">
        <v>3.66</v>
      </c>
      <c r="AI71" s="28">
        <v>7.96</v>
      </c>
      <c r="AJ71" s="28">
        <v>7.64</v>
      </c>
      <c r="AK71" s="26" t="s">
        <v>554</v>
      </c>
      <c r="AL71" s="26">
        <v>153.80000000000001</v>
      </c>
      <c r="AM71" s="27">
        <v>8.67</v>
      </c>
      <c r="AN71" s="28">
        <v>1.03</v>
      </c>
    </row>
    <row r="72" spans="1:40" x14ac:dyDescent="0.3">
      <c r="A72" s="25">
        <v>45558</v>
      </c>
      <c r="B72" s="24" t="s">
        <v>22</v>
      </c>
      <c r="C72" s="26" t="str">
        <f t="shared" ref="C72:C74" si="1">A72&amp;B72</f>
        <v>45558A</v>
      </c>
      <c r="D72" s="26" t="s">
        <v>75</v>
      </c>
      <c r="E72" s="26">
        <v>9.4</v>
      </c>
      <c r="F72" s="27">
        <v>16.91</v>
      </c>
      <c r="G72" s="26" t="s">
        <v>555</v>
      </c>
      <c r="H72" s="26">
        <v>15.31</v>
      </c>
      <c r="I72" s="27">
        <v>710.05</v>
      </c>
      <c r="J72" s="26" t="s">
        <v>556</v>
      </c>
      <c r="K72" s="26">
        <v>80.56</v>
      </c>
      <c r="L72" s="27">
        <v>29.77</v>
      </c>
      <c r="M72" s="26" t="s">
        <v>443</v>
      </c>
      <c r="N72" s="26">
        <v>8.27</v>
      </c>
      <c r="O72" s="28">
        <v>2.4700000000000002</v>
      </c>
      <c r="P72" s="28">
        <v>1.47</v>
      </c>
      <c r="Q72" s="26" t="s">
        <v>217</v>
      </c>
      <c r="R72" s="26">
        <v>39.67</v>
      </c>
      <c r="S72" s="28">
        <v>3.14</v>
      </c>
      <c r="T72" s="28">
        <v>2.29</v>
      </c>
      <c r="U72" s="26" t="s">
        <v>557</v>
      </c>
      <c r="V72" s="29">
        <v>29.87</v>
      </c>
      <c r="W72" s="27">
        <v>15.46</v>
      </c>
      <c r="X72" s="27">
        <v>13.96</v>
      </c>
      <c r="Y72" s="26" t="s">
        <v>306</v>
      </c>
      <c r="Z72" s="26">
        <v>56.02</v>
      </c>
      <c r="AA72" s="28">
        <v>1.61</v>
      </c>
      <c r="AB72" s="28">
        <v>1.72</v>
      </c>
      <c r="AC72" s="26" t="s">
        <v>281</v>
      </c>
      <c r="AD72" s="29">
        <v>4.18</v>
      </c>
      <c r="AE72" s="28">
        <v>5.28</v>
      </c>
      <c r="AF72" s="27">
        <v>9.7100000000000009</v>
      </c>
      <c r="AG72" s="26" t="s">
        <v>53</v>
      </c>
      <c r="AH72" s="29">
        <v>3.64</v>
      </c>
      <c r="AI72" s="28">
        <v>7.05</v>
      </c>
      <c r="AJ72" s="28">
        <v>7.05</v>
      </c>
      <c r="AK72" s="26" t="s">
        <v>558</v>
      </c>
      <c r="AL72" s="26">
        <v>137.33000000000001</v>
      </c>
      <c r="AM72" s="27">
        <v>5.58</v>
      </c>
      <c r="AN72" s="27">
        <v>9.7799999999999994</v>
      </c>
    </row>
    <row r="73" spans="1:40" x14ac:dyDescent="0.3">
      <c r="A73" s="25">
        <v>45558</v>
      </c>
      <c r="B73" s="24" t="s">
        <v>19</v>
      </c>
      <c r="C73" s="26" t="str">
        <f t="shared" si="1"/>
        <v>45558B</v>
      </c>
      <c r="D73" s="26" t="s">
        <v>550</v>
      </c>
      <c r="E73" s="26">
        <v>8.23</v>
      </c>
      <c r="F73" s="27">
        <v>64.599999999999994</v>
      </c>
      <c r="G73" s="26" t="s">
        <v>409</v>
      </c>
      <c r="H73" s="26">
        <v>10.199999999999999</v>
      </c>
      <c r="I73" s="27">
        <v>157.57</v>
      </c>
      <c r="J73" s="26" t="s">
        <v>531</v>
      </c>
      <c r="K73" s="26">
        <v>107.61</v>
      </c>
      <c r="L73" s="28">
        <v>6.42</v>
      </c>
      <c r="M73" s="26" t="s">
        <v>183</v>
      </c>
      <c r="N73" s="26">
        <v>8.26</v>
      </c>
      <c r="O73" s="28">
        <v>1.1000000000000001</v>
      </c>
      <c r="P73" s="28">
        <v>1.34</v>
      </c>
      <c r="Q73" s="26" t="s">
        <v>559</v>
      </c>
      <c r="R73" s="26">
        <v>38.25</v>
      </c>
      <c r="S73" s="28">
        <v>0.28000000000000003</v>
      </c>
      <c r="T73" s="28">
        <v>1.36</v>
      </c>
      <c r="U73" s="26" t="s">
        <v>560</v>
      </c>
      <c r="V73" s="26">
        <v>27.79</v>
      </c>
      <c r="W73" s="27">
        <v>5.78</v>
      </c>
      <c r="X73" s="27">
        <v>6.02</v>
      </c>
      <c r="Y73" s="26" t="s">
        <v>449</v>
      </c>
      <c r="Z73" s="26">
        <v>56.85</v>
      </c>
      <c r="AA73" s="28">
        <v>1.33</v>
      </c>
      <c r="AB73" s="27">
        <v>3.23</v>
      </c>
      <c r="AC73" s="26" t="s">
        <v>553</v>
      </c>
      <c r="AD73" s="30">
        <v>4.28</v>
      </c>
      <c r="AE73" s="28">
        <v>4.9000000000000004</v>
      </c>
      <c r="AF73" s="27">
        <v>12.33</v>
      </c>
      <c r="AG73" s="26" t="s">
        <v>172</v>
      </c>
      <c r="AH73" s="29">
        <v>3.5</v>
      </c>
      <c r="AI73" s="28">
        <v>2.63</v>
      </c>
      <c r="AJ73" s="28">
        <v>2.94</v>
      </c>
      <c r="AK73" s="26" t="s">
        <v>561</v>
      </c>
      <c r="AL73" s="26">
        <v>147</v>
      </c>
      <c r="AM73" s="27">
        <v>6.8</v>
      </c>
      <c r="AN73" s="28">
        <v>3.43</v>
      </c>
    </row>
    <row r="74" spans="1:40" x14ac:dyDescent="0.3">
      <c r="A74" s="25">
        <v>45559</v>
      </c>
      <c r="B74" s="24" t="s">
        <v>22</v>
      </c>
      <c r="C74" s="26" t="str">
        <f t="shared" si="1"/>
        <v>45559A</v>
      </c>
      <c r="D74" s="26" t="s">
        <v>562</v>
      </c>
      <c r="E74" s="26">
        <v>9.41</v>
      </c>
      <c r="F74" s="27">
        <v>17.91</v>
      </c>
      <c r="G74" s="26" t="s">
        <v>46</v>
      </c>
      <c r="H74" s="26">
        <v>15.6</v>
      </c>
      <c r="I74" s="26"/>
      <c r="J74" s="26" t="s">
        <v>531</v>
      </c>
      <c r="K74" s="26">
        <v>84.67</v>
      </c>
      <c r="L74" s="27">
        <v>26.37</v>
      </c>
      <c r="M74" s="26" t="s">
        <v>563</v>
      </c>
      <c r="N74" s="26">
        <v>7.83</v>
      </c>
      <c r="O74" s="28">
        <v>2.36</v>
      </c>
      <c r="P74" s="28">
        <v>3.92</v>
      </c>
      <c r="Q74" s="26" t="s">
        <v>58</v>
      </c>
      <c r="R74" s="29">
        <v>36.5</v>
      </c>
      <c r="S74" s="28">
        <v>4.92</v>
      </c>
      <c r="T74" s="27">
        <v>5.87</v>
      </c>
      <c r="U74" s="26" t="s">
        <v>564</v>
      </c>
      <c r="V74" s="26">
        <v>26.95</v>
      </c>
      <c r="W74" s="27">
        <v>5.0999999999999996</v>
      </c>
      <c r="X74" s="27">
        <v>2.82</v>
      </c>
      <c r="Y74" s="26" t="s">
        <v>565</v>
      </c>
      <c r="Z74" s="26">
        <v>57</v>
      </c>
      <c r="AA74" s="28">
        <v>0.61</v>
      </c>
      <c r="AB74" s="27">
        <v>3.5</v>
      </c>
      <c r="AC74" s="26" t="s">
        <v>553</v>
      </c>
      <c r="AD74" s="29">
        <v>4.28</v>
      </c>
      <c r="AE74" s="28">
        <v>4.9000000000000004</v>
      </c>
      <c r="AF74" s="27">
        <v>12.33</v>
      </c>
      <c r="AG74" s="26" t="s">
        <v>94</v>
      </c>
      <c r="AH74" s="26">
        <v>3.14</v>
      </c>
      <c r="AI74" s="28">
        <v>6.26</v>
      </c>
      <c r="AJ74" s="28">
        <v>7.64</v>
      </c>
      <c r="AK74" s="26" t="s">
        <v>566</v>
      </c>
      <c r="AL74" s="26">
        <v>146.33000000000001</v>
      </c>
      <c r="AM74" s="28">
        <v>2.41</v>
      </c>
      <c r="AN74" s="28">
        <v>3.87</v>
      </c>
    </row>
    <row r="75" spans="1:40" x14ac:dyDescent="0.3">
      <c r="D75" s="26">
        <v>2.73</v>
      </c>
      <c r="E75" s="26"/>
      <c r="F75" s="26"/>
      <c r="G75" s="26">
        <v>12.37</v>
      </c>
      <c r="H75" s="26"/>
      <c r="I75" s="26"/>
      <c r="J75" s="26">
        <v>27.58</v>
      </c>
      <c r="K75" s="26"/>
      <c r="L75" s="26"/>
      <c r="M75" s="26">
        <v>0.37</v>
      </c>
      <c r="N75" s="26"/>
      <c r="O75" s="26"/>
      <c r="P75" s="26"/>
      <c r="Q75" s="26">
        <v>1.31</v>
      </c>
      <c r="R75" s="26"/>
      <c r="S75" s="26"/>
      <c r="T75" s="26"/>
      <c r="U75" s="26">
        <v>2.02</v>
      </c>
      <c r="V75" s="26"/>
      <c r="W75" s="26"/>
      <c r="X75" s="26"/>
      <c r="Y75" s="26">
        <v>1.18</v>
      </c>
      <c r="Z75" s="26"/>
      <c r="AA75" s="26"/>
      <c r="AB75" s="26"/>
      <c r="AC75" s="26">
        <v>0.14000000000000001</v>
      </c>
      <c r="AD75" s="26"/>
      <c r="AE75" s="26"/>
      <c r="AF75" s="26"/>
      <c r="AG75" s="26">
        <v>0.22</v>
      </c>
      <c r="AH75" s="26"/>
      <c r="AI75" s="26"/>
      <c r="AJ75" s="26"/>
      <c r="AK75" s="26">
        <v>6.82</v>
      </c>
      <c r="AL75" s="26"/>
      <c r="AM75" s="26"/>
      <c r="AN75" s="26"/>
    </row>
    <row r="76" spans="1:40" x14ac:dyDescent="0.3">
      <c r="D76" s="26">
        <v>2.11</v>
      </c>
      <c r="E76" s="26">
        <v>2.78</v>
      </c>
      <c r="F76" s="26"/>
      <c r="G76" s="26">
        <v>2.0699999999999998</v>
      </c>
      <c r="H76" s="26">
        <v>2.85</v>
      </c>
      <c r="I76" s="26"/>
      <c r="J76" s="26">
        <v>1.98</v>
      </c>
      <c r="K76" s="26">
        <v>12.77</v>
      </c>
      <c r="L76" s="26"/>
      <c r="M76" s="26">
        <v>0.18</v>
      </c>
      <c r="N76" s="26">
        <v>0.31</v>
      </c>
      <c r="O76" s="26"/>
      <c r="P76" s="26"/>
      <c r="Q76" s="26">
        <v>0.44</v>
      </c>
      <c r="R76" s="26">
        <v>1.17</v>
      </c>
      <c r="S76" s="26"/>
      <c r="T76" s="26"/>
      <c r="U76" s="26">
        <v>0.42</v>
      </c>
      <c r="V76" s="26">
        <v>1.08</v>
      </c>
      <c r="W76" s="26"/>
      <c r="X76" s="26"/>
      <c r="Y76" s="26">
        <v>0.8</v>
      </c>
      <c r="Z76" s="26">
        <v>1.1299999999999999</v>
      </c>
      <c r="AA76" s="26"/>
      <c r="AB76" s="26"/>
      <c r="AC76" s="26">
        <v>0.11</v>
      </c>
      <c r="AD76" s="26">
        <v>0.2</v>
      </c>
      <c r="AE76" s="26"/>
      <c r="AF76" s="26"/>
      <c r="AG76" s="26">
        <v>0.03</v>
      </c>
      <c r="AH76" s="26">
        <v>0.19</v>
      </c>
      <c r="AI76" s="26"/>
      <c r="AJ76" s="26"/>
      <c r="AK76" s="26">
        <v>2.82</v>
      </c>
      <c r="AL76" s="26">
        <v>4.78</v>
      </c>
      <c r="AM76" s="26"/>
      <c r="AN76" s="26"/>
    </row>
  </sheetData>
  <mergeCells count="12">
    <mergeCell ref="AK2:AN2"/>
    <mergeCell ref="A2:A3"/>
    <mergeCell ref="B2:B3"/>
    <mergeCell ref="D2:F2"/>
    <mergeCell ref="G2:I2"/>
    <mergeCell ref="J2:L2"/>
    <mergeCell ref="M2:P2"/>
    <mergeCell ref="Q2:T2"/>
    <mergeCell ref="U2:X2"/>
    <mergeCell ref="Y2:AB2"/>
    <mergeCell ref="AC2:AF2"/>
    <mergeCell ref="AG2:A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Sheet4</vt:lpstr>
      <vt:lpstr>Sheet3</vt:lpstr>
      <vt:lpstr>Sheet2</vt:lpstr>
      <vt:lpstr>hhh</vt:lpstr>
      <vt:lpstr>iii</vt:lpstr>
      <vt:lpstr>jjjj</vt:lpstr>
      <vt:lpstr>kkk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2024-09-24T09:44:06Z</dcterms:created>
  <dcterms:modified xsi:type="dcterms:W3CDTF">2024-09-25T06:59:04Z</dcterms:modified>
</cp:coreProperties>
</file>