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okul\Downloads\Final (5) 14\Final (5)\Analysis\GPI\"/>
    </mc:Choice>
  </mc:AlternateContent>
  <xr:revisionPtr revIDLastSave="0" documentId="13_ncr:1_{F521AB1B-CD06-4FA0-A817-C8968ACB430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7" i="1" l="1"/>
  <c r="AY41" i="1"/>
  <c r="AY8" i="1"/>
  <c r="AY9" i="1"/>
  <c r="AY10" i="1"/>
  <c r="AY11" i="1"/>
  <c r="AY12" i="1"/>
  <c r="AY13" i="1"/>
  <c r="AY14" i="1"/>
  <c r="AY15" i="1"/>
  <c r="AY16" i="1"/>
  <c r="AY17" i="1"/>
  <c r="AY18" i="1"/>
  <c r="AY19" i="1"/>
  <c r="AY20" i="1"/>
  <c r="AY21" i="1"/>
  <c r="AY22" i="1"/>
  <c r="AY23" i="1"/>
  <c r="AY24" i="1"/>
  <c r="AY25" i="1"/>
  <c r="AY26" i="1"/>
  <c r="AY27" i="1"/>
  <c r="AY28" i="1"/>
  <c r="AY29" i="1"/>
  <c r="AY30" i="1"/>
  <c r="AY31" i="1"/>
  <c r="AY32" i="1"/>
  <c r="AY33" i="1"/>
  <c r="AY34" i="1"/>
  <c r="AY35" i="1"/>
  <c r="AY36" i="1"/>
  <c r="AY37" i="1"/>
  <c r="AY38" i="1"/>
  <c r="AY39" i="1"/>
  <c r="AY40" i="1"/>
  <c r="BE8" i="1"/>
  <c r="BE9" i="1"/>
  <c r="BE10" i="1"/>
  <c r="BE11" i="1"/>
  <c r="BE12" i="1"/>
  <c r="BE13" i="1"/>
  <c r="BE14" i="1"/>
  <c r="BE15" i="1"/>
  <c r="BE16" i="1"/>
  <c r="BE17" i="1"/>
  <c r="BE18" i="1"/>
  <c r="BE19" i="1"/>
  <c r="BE20" i="1"/>
  <c r="BE21" i="1"/>
  <c r="BE22" i="1"/>
  <c r="BE23" i="1"/>
  <c r="BE24" i="1"/>
  <c r="BE25" i="1"/>
  <c r="BE26" i="1"/>
  <c r="BE27" i="1"/>
  <c r="BE28" i="1"/>
  <c r="BE29" i="1"/>
  <c r="BE30" i="1"/>
  <c r="BE31" i="1"/>
  <c r="BE32" i="1"/>
  <c r="BE33" i="1"/>
  <c r="BE34" i="1"/>
  <c r="BE35" i="1"/>
  <c r="BE36" i="1"/>
  <c r="BE37" i="1"/>
  <c r="BE38" i="1"/>
  <c r="BE39" i="1"/>
  <c r="BE40" i="1"/>
  <c r="BE41" i="1"/>
  <c r="AO8" i="1"/>
  <c r="AP8" i="1"/>
  <c r="AQ8" i="1"/>
  <c r="AR8" i="1"/>
  <c r="AS8" i="1"/>
  <c r="AT8" i="1"/>
  <c r="AU8" i="1"/>
  <c r="AV8" i="1"/>
  <c r="AW8" i="1"/>
  <c r="AX8" i="1"/>
  <c r="AZ8" i="1"/>
  <c r="AO9" i="1"/>
  <c r="AP9" i="1"/>
  <c r="AQ9" i="1"/>
  <c r="AR9" i="1"/>
  <c r="AS9" i="1"/>
  <c r="AT9" i="1"/>
  <c r="AU9" i="1"/>
  <c r="AV9" i="1"/>
  <c r="AW9" i="1"/>
  <c r="AX9" i="1"/>
  <c r="AZ9" i="1"/>
  <c r="AO10" i="1"/>
  <c r="BC10" i="1" s="1"/>
  <c r="AP10" i="1"/>
  <c r="AQ10" i="1"/>
  <c r="AR10" i="1"/>
  <c r="AS10" i="1"/>
  <c r="AT10" i="1"/>
  <c r="AU10" i="1"/>
  <c r="AV10" i="1"/>
  <c r="AW10" i="1"/>
  <c r="AX10" i="1"/>
  <c r="AZ10" i="1"/>
  <c r="AO11" i="1"/>
  <c r="AP11" i="1"/>
  <c r="AQ11" i="1"/>
  <c r="AR11" i="1"/>
  <c r="AS11" i="1"/>
  <c r="AT11" i="1"/>
  <c r="AU11" i="1"/>
  <c r="AV11" i="1"/>
  <c r="BC11" i="1" s="1"/>
  <c r="AW11" i="1"/>
  <c r="AX11" i="1"/>
  <c r="AZ11" i="1"/>
  <c r="AO12" i="1"/>
  <c r="AP12" i="1"/>
  <c r="AQ12" i="1"/>
  <c r="AR12" i="1"/>
  <c r="AS12" i="1"/>
  <c r="AT12" i="1"/>
  <c r="AU12" i="1"/>
  <c r="AV12" i="1"/>
  <c r="AW12" i="1"/>
  <c r="AX12" i="1"/>
  <c r="AZ12" i="1"/>
  <c r="AO13" i="1"/>
  <c r="AP13" i="1"/>
  <c r="AQ13" i="1"/>
  <c r="AR13" i="1"/>
  <c r="AS13" i="1"/>
  <c r="AT13" i="1"/>
  <c r="AU13" i="1"/>
  <c r="AV13" i="1"/>
  <c r="AW13" i="1"/>
  <c r="AX13" i="1"/>
  <c r="AZ13" i="1"/>
  <c r="AO14" i="1"/>
  <c r="AP14" i="1"/>
  <c r="AQ14" i="1"/>
  <c r="AR14" i="1"/>
  <c r="AS14" i="1"/>
  <c r="AT14" i="1"/>
  <c r="AU14" i="1"/>
  <c r="AV14" i="1"/>
  <c r="AW14" i="1"/>
  <c r="AX14" i="1"/>
  <c r="AZ14" i="1"/>
  <c r="AO15" i="1"/>
  <c r="AP15" i="1"/>
  <c r="AQ15" i="1"/>
  <c r="AR15" i="1"/>
  <c r="AS15" i="1"/>
  <c r="AT15" i="1"/>
  <c r="AU15" i="1"/>
  <c r="AV15" i="1"/>
  <c r="AW15" i="1"/>
  <c r="AX15" i="1"/>
  <c r="AZ15" i="1"/>
  <c r="AO16" i="1"/>
  <c r="AP16" i="1"/>
  <c r="AQ16" i="1"/>
  <c r="AR16" i="1"/>
  <c r="AS16" i="1"/>
  <c r="AT16" i="1"/>
  <c r="AU16" i="1"/>
  <c r="AV16" i="1"/>
  <c r="AW16" i="1"/>
  <c r="AX16" i="1"/>
  <c r="AZ16" i="1"/>
  <c r="AO17" i="1"/>
  <c r="AP17" i="1"/>
  <c r="AQ17" i="1"/>
  <c r="AR17" i="1"/>
  <c r="AS17" i="1"/>
  <c r="AT17" i="1"/>
  <c r="AU17" i="1"/>
  <c r="AV17" i="1"/>
  <c r="AW17" i="1"/>
  <c r="AX17" i="1"/>
  <c r="AZ17" i="1"/>
  <c r="AO18" i="1"/>
  <c r="BC18" i="1" s="1"/>
  <c r="AP18" i="1"/>
  <c r="AQ18" i="1"/>
  <c r="AR18" i="1"/>
  <c r="AS18" i="1"/>
  <c r="AT18" i="1"/>
  <c r="AU18" i="1"/>
  <c r="AV18" i="1"/>
  <c r="AW18" i="1"/>
  <c r="AX18" i="1"/>
  <c r="AZ18" i="1"/>
  <c r="AO19" i="1"/>
  <c r="BC19" i="1" s="1"/>
  <c r="AP19" i="1"/>
  <c r="AQ19" i="1"/>
  <c r="AR19" i="1"/>
  <c r="AS19" i="1"/>
  <c r="AT19" i="1"/>
  <c r="AU19" i="1"/>
  <c r="AV19" i="1"/>
  <c r="AW19" i="1"/>
  <c r="AX19" i="1"/>
  <c r="AZ19" i="1"/>
  <c r="AO20" i="1"/>
  <c r="BC20" i="1" s="1"/>
  <c r="AP20" i="1"/>
  <c r="AQ20" i="1"/>
  <c r="AR20" i="1"/>
  <c r="AS20" i="1"/>
  <c r="AT20" i="1"/>
  <c r="AU20" i="1"/>
  <c r="AV20" i="1"/>
  <c r="AW20" i="1"/>
  <c r="AX20" i="1"/>
  <c r="AZ20" i="1"/>
  <c r="AO21" i="1"/>
  <c r="AP21" i="1"/>
  <c r="AQ21" i="1"/>
  <c r="AR21" i="1"/>
  <c r="AS21" i="1"/>
  <c r="AT21" i="1"/>
  <c r="AU21" i="1"/>
  <c r="AV21" i="1"/>
  <c r="AW21" i="1"/>
  <c r="AX21" i="1"/>
  <c r="AZ21" i="1"/>
  <c r="AO22" i="1"/>
  <c r="AP22" i="1"/>
  <c r="BC22" i="1" s="1"/>
  <c r="AQ22" i="1"/>
  <c r="AR22" i="1"/>
  <c r="AS22" i="1"/>
  <c r="AT22" i="1"/>
  <c r="AU22" i="1"/>
  <c r="AV22" i="1"/>
  <c r="AW22" i="1"/>
  <c r="AX22" i="1"/>
  <c r="AZ22" i="1"/>
  <c r="AO23" i="1"/>
  <c r="AP23" i="1"/>
  <c r="AQ23" i="1"/>
  <c r="AR23" i="1"/>
  <c r="AS23" i="1"/>
  <c r="AT23" i="1"/>
  <c r="AU23" i="1"/>
  <c r="AV23" i="1"/>
  <c r="AW23" i="1"/>
  <c r="AX23" i="1"/>
  <c r="AZ23" i="1"/>
  <c r="AO24" i="1"/>
  <c r="AP24" i="1"/>
  <c r="AQ24" i="1"/>
  <c r="AR24" i="1"/>
  <c r="AS24" i="1"/>
  <c r="AT24" i="1"/>
  <c r="AU24" i="1"/>
  <c r="AV24" i="1"/>
  <c r="AW24" i="1"/>
  <c r="AX24" i="1"/>
  <c r="AZ24" i="1"/>
  <c r="AO25" i="1"/>
  <c r="BC25" i="1" s="1"/>
  <c r="AP25" i="1"/>
  <c r="AQ25" i="1"/>
  <c r="AR25" i="1"/>
  <c r="AS25" i="1"/>
  <c r="AT25" i="1"/>
  <c r="AU25" i="1"/>
  <c r="AV25" i="1"/>
  <c r="AW25" i="1"/>
  <c r="AX25" i="1"/>
  <c r="AZ25" i="1"/>
  <c r="AO26" i="1"/>
  <c r="AP26" i="1"/>
  <c r="AQ26" i="1"/>
  <c r="AR26" i="1"/>
  <c r="AS26" i="1"/>
  <c r="AT26" i="1"/>
  <c r="AU26" i="1"/>
  <c r="AV26" i="1"/>
  <c r="AW26" i="1"/>
  <c r="AX26" i="1"/>
  <c r="AZ26" i="1"/>
  <c r="AO27" i="1"/>
  <c r="BC27" i="1" s="1"/>
  <c r="AP27" i="1"/>
  <c r="AQ27" i="1"/>
  <c r="AR27" i="1"/>
  <c r="AS27" i="1"/>
  <c r="AT27" i="1"/>
  <c r="AU27" i="1"/>
  <c r="AV27" i="1"/>
  <c r="AW27" i="1"/>
  <c r="AX27" i="1"/>
  <c r="AZ27" i="1"/>
  <c r="AO28" i="1"/>
  <c r="BC28" i="1" s="1"/>
  <c r="AP28" i="1"/>
  <c r="AQ28" i="1"/>
  <c r="AR28" i="1"/>
  <c r="AS28" i="1"/>
  <c r="AT28" i="1"/>
  <c r="AU28" i="1"/>
  <c r="AV28" i="1"/>
  <c r="AW28" i="1"/>
  <c r="AX28" i="1"/>
  <c r="AZ28" i="1"/>
  <c r="AO29" i="1"/>
  <c r="AP29" i="1"/>
  <c r="AQ29" i="1"/>
  <c r="AR29" i="1"/>
  <c r="AS29" i="1"/>
  <c r="AT29" i="1"/>
  <c r="AU29" i="1"/>
  <c r="AV29" i="1"/>
  <c r="AW29" i="1"/>
  <c r="AX29" i="1"/>
  <c r="AZ29" i="1"/>
  <c r="AO30" i="1"/>
  <c r="AP30" i="1"/>
  <c r="AQ30" i="1"/>
  <c r="AR30" i="1"/>
  <c r="AS30" i="1"/>
  <c r="AT30" i="1"/>
  <c r="AU30" i="1"/>
  <c r="AV30" i="1"/>
  <c r="AW30" i="1"/>
  <c r="AX30" i="1"/>
  <c r="AZ30" i="1"/>
  <c r="AO31" i="1"/>
  <c r="AP31" i="1"/>
  <c r="AQ31" i="1"/>
  <c r="AR31" i="1"/>
  <c r="AS31" i="1"/>
  <c r="AT31" i="1"/>
  <c r="AU31" i="1"/>
  <c r="AV31" i="1"/>
  <c r="AW31" i="1"/>
  <c r="AX31" i="1"/>
  <c r="AZ31" i="1"/>
  <c r="AO32" i="1"/>
  <c r="AP32" i="1"/>
  <c r="AQ32" i="1"/>
  <c r="AR32" i="1"/>
  <c r="AS32" i="1"/>
  <c r="AT32" i="1"/>
  <c r="AU32" i="1"/>
  <c r="AV32" i="1"/>
  <c r="AW32" i="1"/>
  <c r="AX32" i="1"/>
  <c r="AZ32" i="1"/>
  <c r="AO33" i="1"/>
  <c r="BC33" i="1" s="1"/>
  <c r="AP33" i="1"/>
  <c r="AQ33" i="1"/>
  <c r="AR33" i="1"/>
  <c r="AS33" i="1"/>
  <c r="AT33" i="1"/>
  <c r="AU33" i="1"/>
  <c r="AV33" i="1"/>
  <c r="AW33" i="1"/>
  <c r="AX33" i="1"/>
  <c r="AZ33" i="1"/>
  <c r="AO34" i="1"/>
  <c r="AP34" i="1"/>
  <c r="AQ34" i="1"/>
  <c r="AR34" i="1"/>
  <c r="AS34" i="1"/>
  <c r="AT34" i="1"/>
  <c r="AU34" i="1"/>
  <c r="AV34" i="1"/>
  <c r="AW34" i="1"/>
  <c r="AX34" i="1"/>
  <c r="AZ34" i="1"/>
  <c r="AO35" i="1"/>
  <c r="AP35" i="1"/>
  <c r="AQ35" i="1"/>
  <c r="AR35" i="1"/>
  <c r="AS35" i="1"/>
  <c r="AT35" i="1"/>
  <c r="AU35" i="1"/>
  <c r="AV35" i="1"/>
  <c r="AW35" i="1"/>
  <c r="AX35" i="1"/>
  <c r="AZ35" i="1"/>
  <c r="AO36" i="1"/>
  <c r="BC36" i="1" s="1"/>
  <c r="AP36" i="1"/>
  <c r="AQ36" i="1"/>
  <c r="AR36" i="1"/>
  <c r="AS36" i="1"/>
  <c r="AT36" i="1"/>
  <c r="AU36" i="1"/>
  <c r="AV36" i="1"/>
  <c r="AW36" i="1"/>
  <c r="AX36" i="1"/>
  <c r="AZ36" i="1"/>
  <c r="AO37" i="1"/>
  <c r="AP37" i="1"/>
  <c r="AQ37" i="1"/>
  <c r="AR37" i="1"/>
  <c r="AS37" i="1"/>
  <c r="AT37" i="1"/>
  <c r="AU37" i="1"/>
  <c r="AV37" i="1"/>
  <c r="AW37" i="1"/>
  <c r="AX37" i="1"/>
  <c r="AZ37" i="1"/>
  <c r="AO38" i="1"/>
  <c r="BC38" i="1" s="1"/>
  <c r="AP38" i="1"/>
  <c r="AQ38" i="1"/>
  <c r="AR38" i="1"/>
  <c r="AS38" i="1"/>
  <c r="AT38" i="1"/>
  <c r="AU38" i="1"/>
  <c r="AV38" i="1"/>
  <c r="AW38" i="1"/>
  <c r="AX38" i="1"/>
  <c r="AZ38" i="1"/>
  <c r="AO39" i="1"/>
  <c r="AP39" i="1"/>
  <c r="AQ39" i="1"/>
  <c r="AR39" i="1"/>
  <c r="AS39" i="1"/>
  <c r="AT39" i="1"/>
  <c r="AU39" i="1"/>
  <c r="AV39" i="1"/>
  <c r="AW39" i="1"/>
  <c r="AX39" i="1"/>
  <c r="AZ39" i="1"/>
  <c r="AO40" i="1"/>
  <c r="AP40" i="1"/>
  <c r="AQ40" i="1"/>
  <c r="AR40" i="1"/>
  <c r="AS40" i="1"/>
  <c r="AT40" i="1"/>
  <c r="AU40" i="1"/>
  <c r="AV40" i="1"/>
  <c r="AW40" i="1"/>
  <c r="AX40" i="1"/>
  <c r="AZ40" i="1"/>
  <c r="AO41" i="1"/>
  <c r="AP41" i="1"/>
  <c r="AQ41" i="1"/>
  <c r="AR41" i="1"/>
  <c r="AS41" i="1"/>
  <c r="AT41" i="1"/>
  <c r="AU41" i="1"/>
  <c r="AV41" i="1"/>
  <c r="AW41" i="1"/>
  <c r="AX41" i="1"/>
  <c r="AZ41" i="1"/>
  <c r="AN8" i="1"/>
  <c r="AN9" i="1"/>
  <c r="AN10" i="1"/>
  <c r="AN11" i="1"/>
  <c r="AN12" i="1"/>
  <c r="AN13" i="1"/>
  <c r="AN14" i="1"/>
  <c r="BB14" i="1" s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BC30" i="1" s="1"/>
  <c r="AN31" i="1"/>
  <c r="AN32" i="1"/>
  <c r="AN33" i="1"/>
  <c r="AN34" i="1"/>
  <c r="AN35" i="1"/>
  <c r="AN36" i="1"/>
  <c r="AN37" i="1"/>
  <c r="AN38" i="1"/>
  <c r="AN39" i="1"/>
  <c r="AN40" i="1"/>
  <c r="AN41" i="1"/>
  <c r="AM8" i="1"/>
  <c r="BB8" i="1" s="1"/>
  <c r="AM9" i="1"/>
  <c r="AM10" i="1"/>
  <c r="AM11" i="1"/>
  <c r="AM12" i="1"/>
  <c r="AM13" i="1"/>
  <c r="AM14" i="1"/>
  <c r="AM15" i="1"/>
  <c r="AM16" i="1"/>
  <c r="AM17" i="1"/>
  <c r="AM18" i="1"/>
  <c r="AM19" i="1"/>
  <c r="BB19" i="1" s="1"/>
  <c r="AM20" i="1"/>
  <c r="AM21" i="1"/>
  <c r="AM22" i="1"/>
  <c r="BB22" i="1" s="1"/>
  <c r="AM23" i="1"/>
  <c r="AM24" i="1"/>
  <c r="AM25" i="1"/>
  <c r="AM26" i="1"/>
  <c r="AM27" i="1"/>
  <c r="AM28" i="1"/>
  <c r="AM29" i="1"/>
  <c r="AM30" i="1"/>
  <c r="BB30" i="1" s="1"/>
  <c r="AM31" i="1"/>
  <c r="AM32" i="1"/>
  <c r="BB32" i="1" s="1"/>
  <c r="AM33" i="1"/>
  <c r="AM34" i="1"/>
  <c r="AM35" i="1"/>
  <c r="AM36" i="1"/>
  <c r="AM37" i="1"/>
  <c r="AM38" i="1"/>
  <c r="BB38" i="1" s="1"/>
  <c r="AM39" i="1"/>
  <c r="AM40" i="1"/>
  <c r="AM41" i="1"/>
  <c r="O3" i="1"/>
  <c r="BE7" i="1"/>
  <c r="AZ7" i="1"/>
  <c r="AX7" i="1"/>
  <c r="AW7" i="1"/>
  <c r="AV7" i="1"/>
  <c r="AU7" i="1"/>
  <c r="AT7" i="1"/>
  <c r="AS7" i="1"/>
  <c r="AR7" i="1"/>
  <c r="AQ7" i="1"/>
  <c r="AP7" i="1"/>
  <c r="AO7" i="1"/>
  <c r="AN7" i="1"/>
  <c r="AM7" i="1"/>
  <c r="BC7" i="1" s="1"/>
  <c r="Z30" i="1" l="1"/>
  <c r="BB13" i="1"/>
  <c r="BB12" i="1"/>
  <c r="BC14" i="1"/>
  <c r="BB36" i="1"/>
  <c r="Z36" i="1" s="1"/>
  <c r="BB28" i="1"/>
  <c r="Z28" i="1" s="1"/>
  <c r="BB20" i="1"/>
  <c r="Z20" i="1" s="1"/>
  <c r="BB35" i="1"/>
  <c r="BB27" i="1"/>
  <c r="Z27" i="1" s="1"/>
  <c r="BB11" i="1"/>
  <c r="BC34" i="1"/>
  <c r="BC26" i="1"/>
  <c r="BB18" i="1"/>
  <c r="Z18" i="1" s="1"/>
  <c r="BB10" i="1"/>
  <c r="Z10" i="1" s="1"/>
  <c r="BC9" i="1"/>
  <c r="BB21" i="1"/>
  <c r="BB25" i="1"/>
  <c r="Z25" i="1" s="1"/>
  <c r="BC32" i="1"/>
  <c r="BC24" i="1"/>
  <c r="BB16" i="1"/>
  <c r="BC8" i="1"/>
  <c r="Z8" i="1" s="1"/>
  <c r="BB29" i="1"/>
  <c r="BB17" i="1"/>
  <c r="BB31" i="1"/>
  <c r="BB23" i="1"/>
  <c r="BB15" i="1"/>
  <c r="BB37" i="1"/>
  <c r="BB33" i="1"/>
  <c r="Z19" i="1"/>
  <c r="BB9" i="1"/>
  <c r="BC17" i="1"/>
  <c r="BB7" i="1"/>
  <c r="Z7" i="1" s="1"/>
  <c r="Z32" i="1"/>
  <c r="BB39" i="1"/>
  <c r="BB26" i="1"/>
  <c r="Z26" i="1" s="1"/>
  <c r="BB24" i="1"/>
  <c r="BB34" i="1"/>
  <c r="BC16" i="1"/>
  <c r="Z16" i="1" s="1"/>
  <c r="BC35" i="1"/>
  <c r="Z35" i="1" s="1"/>
  <c r="Z38" i="1"/>
  <c r="Z14" i="1"/>
  <c r="Z11" i="1"/>
  <c r="Z22" i="1"/>
  <c r="BB40" i="1"/>
  <c r="BB41" i="1"/>
  <c r="BC41" i="1"/>
  <c r="BC40" i="1"/>
  <c r="BC39" i="1"/>
  <c r="BC31" i="1"/>
  <c r="BC23" i="1"/>
  <c r="BC15" i="1"/>
  <c r="Z33" i="1"/>
  <c r="BC37" i="1"/>
  <c r="BC29" i="1"/>
  <c r="BC21" i="1"/>
  <c r="BC13" i="1"/>
  <c r="Z13" i="1" s="1"/>
  <c r="BC12" i="1"/>
  <c r="Z15" i="1" l="1"/>
  <c r="Z9" i="1"/>
  <c r="Z37" i="1"/>
  <c r="Z34" i="1"/>
  <c r="Z24" i="1"/>
  <c r="Z12" i="1"/>
  <c r="Z17" i="1"/>
  <c r="Z23" i="1"/>
  <c r="Z29" i="1"/>
  <c r="Z21" i="1"/>
  <c r="Z31" i="1"/>
  <c r="Z39" i="1"/>
  <c r="Z41" i="1"/>
  <c r="Z40" i="1"/>
</calcChain>
</file>

<file path=xl/sharedStrings.xml><?xml version="1.0" encoding="utf-8"?>
<sst xmlns="http://schemas.openxmlformats.org/spreadsheetml/2006/main" count="60" uniqueCount="44">
  <si>
    <t>date</t>
  </si>
  <si>
    <t>shift</t>
  </si>
  <si>
    <t>activeClay</t>
  </si>
  <si>
    <t>compactibility</t>
  </si>
  <si>
    <t>gcs</t>
  </si>
  <si>
    <t>gfnAfs</t>
  </si>
  <si>
    <t>loi</t>
  </si>
  <si>
    <t>moisture</t>
  </si>
  <si>
    <t>permeability</t>
  </si>
  <si>
    <t>inertFines</t>
  </si>
  <si>
    <t>shearStrength</t>
  </si>
  <si>
    <t>splitStrength</t>
  </si>
  <si>
    <t>volatileMatter</t>
  </si>
  <si>
    <t>tempOfSandAfterMix</t>
  </si>
  <si>
    <t>sand_metal_ratio</t>
  </si>
  <si>
    <t>core_sand_ratio</t>
  </si>
  <si>
    <t>core_metal_ratio</t>
  </si>
  <si>
    <t>bentonite_predicted_kg</t>
  </si>
  <si>
    <t>fresh silica sand_predicted_kg</t>
  </si>
  <si>
    <t>lca_predicted_kg</t>
  </si>
  <si>
    <t>return sand_predicted_kg</t>
  </si>
  <si>
    <t>water_predicted_kg</t>
  </si>
  <si>
    <t>csi</t>
  </si>
  <si>
    <t>fss</t>
  </si>
  <si>
    <t>bentonite_predicted_kg1</t>
  </si>
  <si>
    <t>Target Values</t>
  </si>
  <si>
    <t>CORE</t>
  </si>
  <si>
    <t>Mean</t>
  </si>
  <si>
    <t>SMR</t>
  </si>
  <si>
    <t>Offet</t>
  </si>
  <si>
    <t>new sand coefficient</t>
  </si>
  <si>
    <t>Coefficient</t>
  </si>
  <si>
    <t>COEFF</t>
  </si>
  <si>
    <t>Coeff</t>
  </si>
  <si>
    <t>Weight</t>
  </si>
  <si>
    <t>Lower Bound</t>
  </si>
  <si>
    <t>Upper Bound</t>
  </si>
  <si>
    <t>Correlation</t>
  </si>
  <si>
    <t>Final Prediction</t>
  </si>
  <si>
    <t>P1</t>
  </si>
  <si>
    <t>P2</t>
  </si>
  <si>
    <t>Dateshift</t>
  </si>
  <si>
    <t>n</t>
  </si>
  <si>
    <t>pershift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</si>
</sst>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0" xfId="0" applyFill="1"/>
    <xf numFmtId="0" fontId="0" fillId="0" borderId="1" xfId="0" applyBorder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1" xfId="0" applyNumberFormat="1" applyBorder="1" applyAlignment="1">
      <alignment horizontal="center" vertical="center"/>
    </xf>
    <xf numFmtId="2" fontId="0" fillId="0" borderId="0" xfId="0" applyNumberFormat="1"/>
    <xf numFmtId="2" fontId="0" fillId="0" borderId="1" xfId="0" applyNumberFormat="1" applyBorder="1" applyAlignment="1">
      <alignment horizontal="center"/>
    </xf>
    <xf numFmtId="2" fontId="1" fillId="2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14" fontId="0" fillId="4" borderId="1" xfId="0" applyNumberFormat="1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/>
    </xf>
    <xf numFmtId="1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2" fontId="0" fillId="3" borderId="2" xfId="0" applyNumberFormat="1" applyFill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2" fontId="0" fillId="0" borderId="3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42"/>
  <sheetViews>
    <sheetView tabSelected="1" zoomScale="86" zoomScaleNormal="86" workbookViewId="0">
      <pane ySplit="6" topLeftCell="A41" activePane="bottomLeft" state="frozen"/>
      <selection pane="bottomLeft" activeCell="J47" sqref="J47"/>
    </sheetView>
  </sheetViews>
  <sheetFormatPr defaultRowHeight="14.4" x14ac:dyDescent="0.3"/>
  <cols>
    <col min="1" max="1" width="9.109375" style="1" bestFit="1" customWidth="1"/>
    <col min="2" max="2" width="13" bestFit="1" customWidth="1"/>
    <col min="3" max="3" width="9.88671875" bestFit="1" customWidth="1"/>
    <col min="4" max="4" width="13.33203125" bestFit="1" customWidth="1"/>
    <col min="5" max="5" width="9" bestFit="1" customWidth="1"/>
    <col min="6" max="6" width="6.77734375" bestFit="1" customWidth="1"/>
    <col min="7" max="7" width="5.6640625" bestFit="1" customWidth="1"/>
    <col min="8" max="8" width="9.109375" bestFit="1" customWidth="1"/>
    <col min="9" max="9" width="12.33203125" bestFit="1" customWidth="1"/>
    <col min="10" max="10" width="10" bestFit="1" customWidth="1"/>
    <col min="11" max="11" width="13.77734375" bestFit="1" customWidth="1"/>
    <col min="12" max="12" width="12.6640625" bestFit="1" customWidth="1"/>
    <col min="13" max="13" width="13.88671875" bestFit="1" customWidth="1"/>
    <col min="14" max="14" width="20.5546875" bestFit="1" customWidth="1"/>
    <col min="15" max="15" width="16.6640625" style="12" bestFit="1" customWidth="1"/>
    <col min="16" max="16" width="15.21875" bestFit="1" customWidth="1"/>
    <col min="17" max="17" width="16.33203125" bestFit="1" customWidth="1"/>
    <col min="18" max="18" width="22.77734375" bestFit="1" customWidth="1"/>
    <col min="19" max="19" width="27.6640625" bestFit="1" customWidth="1"/>
    <col min="20" max="20" width="16" bestFit="1" customWidth="1"/>
    <col min="21" max="21" width="24.33203125" bestFit="1" customWidth="1"/>
    <col min="22" max="22" width="19" bestFit="1" customWidth="1"/>
    <col min="23" max="23" width="13.5546875" style="12" bestFit="1" customWidth="1"/>
    <col min="24" max="24" width="13.5546875" bestFit="1" customWidth="1"/>
    <col min="25" max="25" width="23.88671875" bestFit="1" customWidth="1"/>
    <col min="26" max="26" width="14.88671875" bestFit="1" customWidth="1"/>
    <col min="28" max="28" width="19.6640625" bestFit="1" customWidth="1"/>
    <col min="29" max="29" width="8.33203125" bestFit="1" customWidth="1"/>
    <col min="31" max="31" width="6.109375" bestFit="1" customWidth="1"/>
    <col min="32" max="32" width="3.33203125" bestFit="1" customWidth="1"/>
    <col min="39" max="39" width="9.88671875" bestFit="1" customWidth="1"/>
    <col min="40" max="40" width="13.33203125" bestFit="1" customWidth="1"/>
    <col min="41" max="41" width="12.6640625" bestFit="1" customWidth="1"/>
    <col min="42" max="42" width="6.6640625" bestFit="1" customWidth="1"/>
    <col min="43" max="43" width="5" bestFit="1" customWidth="1"/>
    <col min="44" max="44" width="9.109375" bestFit="1" customWidth="1"/>
    <col min="45" max="45" width="12.33203125" bestFit="1" customWidth="1"/>
    <col min="46" max="46" width="10" bestFit="1" customWidth="1"/>
    <col min="47" max="47" width="13.77734375" bestFit="1" customWidth="1"/>
    <col min="48" max="48" width="12.6640625" bestFit="1" customWidth="1"/>
    <col min="49" max="49" width="13.88671875" bestFit="1" customWidth="1"/>
    <col min="50" max="50" width="20.5546875" bestFit="1" customWidth="1"/>
    <col min="51" max="51" width="5.6640625" bestFit="1" customWidth="1"/>
    <col min="52" max="52" width="16.6640625" bestFit="1" customWidth="1"/>
    <col min="54" max="55" width="6.109375" bestFit="1" customWidth="1"/>
    <col min="57" max="57" width="9.109375" bestFit="1" customWidth="1"/>
  </cols>
  <sheetData>
    <row r="1" spans="1:57" s="3" customFormat="1" x14ac:dyDescent="0.3">
      <c r="A1" s="2"/>
      <c r="B1" s="9" t="s">
        <v>25</v>
      </c>
      <c r="C1" s="9">
        <v>8.32</v>
      </c>
      <c r="D1" s="9">
        <v>39.090000000000003</v>
      </c>
      <c r="E1" s="9">
        <v>2140.1</v>
      </c>
      <c r="F1" s="9">
        <v>64.180000000000007</v>
      </c>
      <c r="G1" s="9">
        <v>5.39</v>
      </c>
      <c r="H1" s="9">
        <v>3.31</v>
      </c>
      <c r="I1" s="9">
        <v>96.16</v>
      </c>
      <c r="J1" s="9">
        <v>2.92</v>
      </c>
      <c r="K1" s="9">
        <v>545.12</v>
      </c>
      <c r="L1" s="9">
        <v>501.12</v>
      </c>
      <c r="M1" s="9">
        <v>2.94</v>
      </c>
      <c r="N1" s="9">
        <v>39.270000000000003</v>
      </c>
      <c r="O1" s="10"/>
      <c r="P1" s="9" t="s">
        <v>26</v>
      </c>
      <c r="Q1" s="9" t="s">
        <v>27</v>
      </c>
      <c r="R1" s="9">
        <v>30.58</v>
      </c>
      <c r="S1" s="9"/>
      <c r="T1" s="9" t="s">
        <v>28</v>
      </c>
      <c r="U1" s="9" t="s">
        <v>27</v>
      </c>
      <c r="V1" s="9">
        <v>6.37</v>
      </c>
      <c r="W1" s="10"/>
      <c r="X1" s="10"/>
      <c r="Y1" s="11" t="s">
        <v>29</v>
      </c>
      <c r="Z1" s="5">
        <v>3</v>
      </c>
      <c r="AA1" s="10"/>
      <c r="AB1" s="12" t="s">
        <v>30</v>
      </c>
      <c r="AC1" s="10">
        <v>9999</v>
      </c>
      <c r="AD1" s="10"/>
      <c r="AE1" t="s">
        <v>27</v>
      </c>
      <c r="AF1">
        <v>20</v>
      </c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B1" s="10"/>
      <c r="BC1" s="10"/>
    </row>
    <row r="2" spans="1:57" s="3" customFormat="1" x14ac:dyDescent="0.3">
      <c r="A2" s="2"/>
      <c r="B2" s="9" t="s">
        <v>31</v>
      </c>
      <c r="C2" s="9">
        <v>0.03</v>
      </c>
      <c r="D2" s="9">
        <v>9999</v>
      </c>
      <c r="E2" s="9">
        <v>30</v>
      </c>
      <c r="F2" s="9">
        <v>-0.1</v>
      </c>
      <c r="G2" s="9">
        <v>9999</v>
      </c>
      <c r="H2" s="9">
        <v>2.5000000000000001E-2</v>
      </c>
      <c r="I2" s="9">
        <v>9999</v>
      </c>
      <c r="J2" s="9">
        <v>2.5000000000000001E-2</v>
      </c>
      <c r="K2" s="9">
        <v>7.82</v>
      </c>
      <c r="L2" s="9">
        <v>4.25</v>
      </c>
      <c r="M2" s="9">
        <v>9999</v>
      </c>
      <c r="N2" s="9">
        <v>9999</v>
      </c>
      <c r="O2" s="10"/>
      <c r="P2" s="9"/>
      <c r="Q2" s="9" t="s">
        <v>32</v>
      </c>
      <c r="R2" s="9">
        <v>8</v>
      </c>
      <c r="S2" s="9"/>
      <c r="T2" s="9"/>
      <c r="U2" s="9" t="s">
        <v>33</v>
      </c>
      <c r="V2" s="9">
        <v>-3.5</v>
      </c>
      <c r="W2" s="10"/>
      <c r="X2" s="10"/>
      <c r="Y2" s="10"/>
      <c r="AA2" s="10"/>
      <c r="AB2" s="10"/>
      <c r="AC2" s="10"/>
      <c r="AD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B2" s="10"/>
      <c r="BC2" s="10"/>
    </row>
    <row r="3" spans="1:57" s="3" customFormat="1" x14ac:dyDescent="0.3">
      <c r="A3" s="2"/>
      <c r="B3" s="9" t="s">
        <v>34</v>
      </c>
      <c r="C3" s="9">
        <v>0.5</v>
      </c>
      <c r="D3" s="9">
        <v>0</v>
      </c>
      <c r="E3" s="9">
        <v>0.2</v>
      </c>
      <c r="F3" s="9">
        <v>0.1</v>
      </c>
      <c r="G3" s="9">
        <v>0</v>
      </c>
      <c r="H3" s="9">
        <v>0.05</v>
      </c>
      <c r="I3" s="9">
        <v>0</v>
      </c>
      <c r="J3" s="9">
        <v>0.05</v>
      </c>
      <c r="K3" s="9">
        <v>0.05</v>
      </c>
      <c r="L3" s="9">
        <v>0.05</v>
      </c>
      <c r="M3" s="9">
        <v>0</v>
      </c>
      <c r="N3" s="9">
        <v>0</v>
      </c>
      <c r="O3" s="10">
        <f>SUM(C3:N3)</f>
        <v>1</v>
      </c>
      <c r="P3" s="9"/>
      <c r="Q3" s="9"/>
      <c r="R3" s="9"/>
      <c r="S3" s="9"/>
      <c r="T3" s="9"/>
      <c r="U3" s="9"/>
      <c r="V3" s="9"/>
      <c r="W3" s="10"/>
      <c r="X3" s="10" t="s">
        <v>42</v>
      </c>
      <c r="Y3" s="10">
        <v>1500</v>
      </c>
      <c r="AA3" s="10"/>
      <c r="AB3" s="10"/>
      <c r="AC3" s="10"/>
      <c r="AD3" s="10"/>
      <c r="AM3" s="10"/>
      <c r="AN3" s="11" t="s">
        <v>35</v>
      </c>
      <c r="AO3" s="11" t="s">
        <v>36</v>
      </c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B3" s="10"/>
      <c r="BC3" s="10"/>
    </row>
    <row r="4" spans="1:57" s="3" customFormat="1" x14ac:dyDescent="0.3">
      <c r="A4" s="2"/>
      <c r="B4" s="9" t="s">
        <v>37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0"/>
      <c r="P4" s="10"/>
      <c r="Q4" s="10"/>
      <c r="R4" s="10"/>
      <c r="S4" s="10"/>
      <c r="T4" s="10"/>
      <c r="V4" s="10"/>
      <c r="W4" s="10"/>
      <c r="X4" s="10" t="s">
        <v>43</v>
      </c>
      <c r="Y4" s="10">
        <v>450</v>
      </c>
      <c r="AA4" s="10"/>
      <c r="AB4" s="10"/>
      <c r="AC4" s="10"/>
      <c r="AD4" s="10"/>
      <c r="AM4" s="10"/>
      <c r="AN4" s="11">
        <v>61.16</v>
      </c>
      <c r="AO4" s="11">
        <v>65.16</v>
      </c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B4" s="10"/>
      <c r="BC4" s="10"/>
    </row>
    <row r="5" spans="1:57" s="3" customFormat="1" x14ac:dyDescent="0.3">
      <c r="A5" s="2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V5" s="10"/>
      <c r="W5" s="10"/>
      <c r="X5" s="10"/>
      <c r="Y5" s="10"/>
      <c r="AA5" s="10"/>
      <c r="AB5" s="10"/>
      <c r="AC5" s="10"/>
      <c r="AD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B5" s="10"/>
      <c r="BC5" s="10"/>
    </row>
    <row r="6" spans="1:57" s="8" customFormat="1" x14ac:dyDescent="0.3">
      <c r="A6" s="6" t="s">
        <v>0</v>
      </c>
      <c r="B6" s="7" t="s">
        <v>1</v>
      </c>
      <c r="C6" s="7" t="s">
        <v>2</v>
      </c>
      <c r="D6" s="7" t="s">
        <v>3</v>
      </c>
      <c r="E6" s="7" t="s">
        <v>4</v>
      </c>
      <c r="F6" s="7" t="s">
        <v>5</v>
      </c>
      <c r="G6" s="7" t="s">
        <v>6</v>
      </c>
      <c r="H6" s="7" t="s">
        <v>7</v>
      </c>
      <c r="I6" s="7" t="s">
        <v>8</v>
      </c>
      <c r="J6" s="7" t="s">
        <v>9</v>
      </c>
      <c r="K6" s="7" t="s">
        <v>10</v>
      </c>
      <c r="L6" s="7" t="s">
        <v>11</v>
      </c>
      <c r="M6" s="7" t="s">
        <v>12</v>
      </c>
      <c r="N6" s="7" t="s">
        <v>13</v>
      </c>
      <c r="O6" s="14" t="s">
        <v>14</v>
      </c>
      <c r="P6" s="7" t="s">
        <v>15</v>
      </c>
      <c r="Q6" s="7" t="s">
        <v>16</v>
      </c>
      <c r="R6" s="7" t="s">
        <v>17</v>
      </c>
      <c r="S6" s="7" t="s">
        <v>18</v>
      </c>
      <c r="T6" s="7" t="s">
        <v>19</v>
      </c>
      <c r="U6" s="7" t="s">
        <v>20</v>
      </c>
      <c r="V6" s="7" t="s">
        <v>21</v>
      </c>
      <c r="W6" s="14" t="s">
        <v>22</v>
      </c>
      <c r="X6" s="7" t="s">
        <v>23</v>
      </c>
      <c r="Y6" s="7" t="s">
        <v>24</v>
      </c>
      <c r="Z6" s="7" t="s">
        <v>38</v>
      </c>
      <c r="AM6" s="14" t="s">
        <v>2</v>
      </c>
      <c r="AN6" s="14" t="s">
        <v>3</v>
      </c>
      <c r="AO6" s="14" t="s">
        <v>4</v>
      </c>
      <c r="AP6" s="14" t="s">
        <v>5</v>
      </c>
      <c r="AQ6" s="14" t="s">
        <v>6</v>
      </c>
      <c r="AR6" s="14" t="s">
        <v>7</v>
      </c>
      <c r="AS6" s="14" t="s">
        <v>8</v>
      </c>
      <c r="AT6" s="14" t="s">
        <v>9</v>
      </c>
      <c r="AU6" s="14" t="s">
        <v>10</v>
      </c>
      <c r="AV6" s="14" t="s">
        <v>11</v>
      </c>
      <c r="AW6" s="14" t="s">
        <v>12</v>
      </c>
      <c r="AX6" s="14" t="s">
        <v>13</v>
      </c>
      <c r="AY6" s="14" t="s">
        <v>22</v>
      </c>
      <c r="AZ6" s="14" t="s">
        <v>14</v>
      </c>
      <c r="BA6" s="15"/>
      <c r="BB6" s="14" t="s">
        <v>39</v>
      </c>
      <c r="BC6" s="14" t="s">
        <v>40</v>
      </c>
      <c r="BD6" s="15"/>
      <c r="BE6" s="7" t="s">
        <v>41</v>
      </c>
    </row>
    <row r="7" spans="1:57" hidden="1" x14ac:dyDescent="0.3">
      <c r="A7" s="4">
        <v>46116</v>
      </c>
      <c r="B7" s="5">
        <v>1</v>
      </c>
      <c r="C7" s="5">
        <v>8.4</v>
      </c>
      <c r="D7" s="5">
        <v>39</v>
      </c>
      <c r="E7" s="5">
        <v>2180</v>
      </c>
      <c r="F7" s="5">
        <v>64.38</v>
      </c>
      <c r="G7" s="5">
        <v>5.45</v>
      </c>
      <c r="H7" s="5">
        <v>3.2</v>
      </c>
      <c r="I7" s="5">
        <v>93</v>
      </c>
      <c r="J7" s="5">
        <v>2.63</v>
      </c>
      <c r="K7" s="5">
        <v>550</v>
      </c>
      <c r="L7" s="5">
        <v>490</v>
      </c>
      <c r="M7" s="5">
        <v>3</v>
      </c>
      <c r="N7" s="5">
        <v>32</v>
      </c>
      <c r="O7" s="11">
        <v>7.6659583821805386</v>
      </c>
      <c r="P7" s="5">
        <v>4.0183512544802867E-2</v>
      </c>
      <c r="Q7" s="5">
        <v>0.30804513481828838</v>
      </c>
      <c r="R7" s="5">
        <v>57.130398203977769</v>
      </c>
      <c r="S7" s="5">
        <v>73.786359295086598</v>
      </c>
      <c r="T7" s="5">
        <v>27.39488889564608</v>
      </c>
      <c r="U7" s="5">
        <v>4800</v>
      </c>
      <c r="V7" s="5">
        <v>83.207560072255248</v>
      </c>
      <c r="W7" s="11">
        <v>21.021000000000001</v>
      </c>
      <c r="X7" s="5">
        <v>5.419999999999999</v>
      </c>
      <c r="Y7" s="5">
        <v>57.125062728122217</v>
      </c>
      <c r="Z7" s="11">
        <f>AVERAGE(BB7:BC7)</f>
        <v>56.191662582111988</v>
      </c>
      <c r="AM7" s="13">
        <f>C$3*(C$1-C7)/C$2</f>
        <v>-1.3333333333333346</v>
      </c>
      <c r="AN7" s="13">
        <f>D$3*(D$1-D7)/D$2</f>
        <v>0</v>
      </c>
      <c r="AO7" s="13">
        <f t="shared" ref="AO7:AX7" si="0">E$3*(E$1-E7)/E$2</f>
        <v>-0.26600000000000062</v>
      </c>
      <c r="AP7" s="13">
        <f t="shared" si="0"/>
        <v>0.19999999999998866</v>
      </c>
      <c r="AQ7" s="13">
        <f t="shared" si="0"/>
        <v>0</v>
      </c>
      <c r="AR7" s="13">
        <f t="shared" si="0"/>
        <v>0.21999999999999978</v>
      </c>
      <c r="AS7" s="13">
        <f t="shared" si="0"/>
        <v>0</v>
      </c>
      <c r="AT7" s="13">
        <f t="shared" si="0"/>
        <v>0.58000000000000007</v>
      </c>
      <c r="AU7" s="13">
        <f t="shared" si="0"/>
        <v>-3.1202046035805595E-2</v>
      </c>
      <c r="AV7" s="13">
        <f t="shared" si="0"/>
        <v>0.13082352941176478</v>
      </c>
      <c r="AW7" s="13">
        <f t="shared" si="0"/>
        <v>0</v>
      </c>
      <c r="AX7" s="13">
        <f t="shared" si="0"/>
        <v>0</v>
      </c>
      <c r="AY7" s="13">
        <f>(((W7*$Y$4/$Y$3)-$R$1)/$R$2)</f>
        <v>-3.0342124999999998</v>
      </c>
      <c r="AZ7" s="13">
        <f>(O7-$V$1)/$V$2</f>
        <v>-0.37027382348015386</v>
      </c>
      <c r="BA7" s="3"/>
      <c r="BB7" s="13">
        <f>R7+SUM(AM7:AZ7)+$Z$1+X7/$AC$1</f>
        <v>56.226742084745645</v>
      </c>
      <c r="BC7" s="13">
        <f>Y7+SUM(AM7:AZ7)+$Z$1+X7/$AC$1-AO7-AP7-AV7</f>
        <v>56.156583079478338</v>
      </c>
      <c r="BD7" s="3"/>
      <c r="BE7" s="9" t="str">
        <f>A7&amp;B7</f>
        <v>461161</v>
      </c>
    </row>
    <row r="8" spans="1:57" hidden="1" x14ac:dyDescent="0.3">
      <c r="A8" s="4">
        <v>46117</v>
      </c>
      <c r="B8" s="5">
        <v>1</v>
      </c>
      <c r="C8" s="5">
        <v>8.42</v>
      </c>
      <c r="D8" s="5">
        <v>39</v>
      </c>
      <c r="E8" s="5">
        <v>2120</v>
      </c>
      <c r="F8" s="5">
        <v>64.209999999999994</v>
      </c>
      <c r="G8" s="5">
        <v>5.34</v>
      </c>
      <c r="H8" s="5">
        <v>3.3</v>
      </c>
      <c r="I8" s="5">
        <v>93</v>
      </c>
      <c r="J8" s="5">
        <v>2.54</v>
      </c>
      <c r="K8" s="5">
        <v>550</v>
      </c>
      <c r="L8" s="5">
        <v>510</v>
      </c>
      <c r="M8" s="5">
        <v>2.9</v>
      </c>
      <c r="N8" s="5">
        <v>44</v>
      </c>
      <c r="O8" s="11">
        <v>6.146000537613765</v>
      </c>
      <c r="P8" s="5">
        <v>6.4513458462461259E-2</v>
      </c>
      <c r="Q8" s="5">
        <v>0.39649975039361018</v>
      </c>
      <c r="R8" s="5">
        <v>57.133783554684449</v>
      </c>
      <c r="S8" s="5">
        <v>73.790735780839611</v>
      </c>
      <c r="T8" s="5">
        <v>27.68126162346071</v>
      </c>
      <c r="U8" s="5">
        <v>4800</v>
      </c>
      <c r="V8" s="5">
        <v>83.212483974311837</v>
      </c>
      <c r="W8" s="11">
        <v>103.2525</v>
      </c>
      <c r="X8" s="5">
        <v>16.577000000000002</v>
      </c>
      <c r="Y8" s="5">
        <v>57.133198213053006</v>
      </c>
      <c r="Z8" s="11">
        <f t="shared" ref="Z8:Z41" si="1">AVERAGE(BB8:BC8)</f>
        <v>62.036263339231247</v>
      </c>
      <c r="AM8" s="13">
        <f t="shared" ref="AM8:AM41" si="2">C$3*(C$1-C8)/C$2</f>
        <v>-1.6666666666666607</v>
      </c>
      <c r="AN8" s="13">
        <f t="shared" ref="AN8:AN41" si="3">D$3*(D$1-D8)/D$2</f>
        <v>0</v>
      </c>
      <c r="AO8" s="13">
        <f t="shared" ref="AO8:AO41" si="4">E$3*(E$1-E8)/E$2</f>
        <v>0.1339999999999994</v>
      </c>
      <c r="AP8" s="13">
        <f t="shared" ref="AP8:AP41" si="5">F$3*(F$1-F8)/F$2</f>
        <v>2.9999999999986929E-2</v>
      </c>
      <c r="AQ8" s="13">
        <f t="shared" ref="AQ8:AQ41" si="6">G$3*(G$1-G8)/G$2</f>
        <v>0</v>
      </c>
      <c r="AR8" s="13">
        <f t="shared" ref="AR8:AR41" si="7">H$3*(H$1-H8)/H$2</f>
        <v>2.0000000000000462E-2</v>
      </c>
      <c r="AS8" s="13">
        <f t="shared" ref="AS8:AS41" si="8">I$3*(I$1-I8)/I$2</f>
        <v>0</v>
      </c>
      <c r="AT8" s="13">
        <f t="shared" ref="AT8:AT41" si="9">J$3*(J$1-J8)/J$2</f>
        <v>0.75999999999999979</v>
      </c>
      <c r="AU8" s="13">
        <f t="shared" ref="AU8:AU41" si="10">K$3*(K$1-K8)/K$2</f>
        <v>-3.1202046035805595E-2</v>
      </c>
      <c r="AV8" s="13">
        <f t="shared" ref="AV8:AV41" si="11">L$3*(L$1-L8)/L$2</f>
        <v>-0.10447058823529407</v>
      </c>
      <c r="AW8" s="13">
        <f t="shared" ref="AW8:AW41" si="12">M$3*(M$1-M8)/M$2</f>
        <v>0</v>
      </c>
      <c r="AX8" s="13">
        <f t="shared" ref="AX8:AX41" si="13">N$3*(N$1-N8)/N$2</f>
        <v>0</v>
      </c>
      <c r="AY8" s="13">
        <f t="shared" ref="AY8:AY40" si="14">((W8-$R$1)/$R$2)*$Y$4/$Y$3</f>
        <v>2.7252187499999998</v>
      </c>
      <c r="AZ8" s="13">
        <f t="shared" ref="AZ8:AZ41" si="15">(O8-$V$1)/$V$2</f>
        <v>6.3999846396067178E-2</v>
      </c>
      <c r="BB8" s="13">
        <f t="shared" ref="BB8:BB41" si="16">R8+SUM(AM8:AZ8)+$Z$1+X8/$AC$1</f>
        <v>62.066320715929315</v>
      </c>
      <c r="BC8" s="13">
        <f t="shared" ref="BC8:BC41" si="17">Y8+SUM(AM8:AZ8)+$Z$1+X8/$AC$1-AO8-AP8-AV8</f>
        <v>62.00620596253318</v>
      </c>
      <c r="BE8" s="9" t="str">
        <f t="shared" ref="BE8:BE41" si="18">A8&amp;B8</f>
        <v>461171</v>
      </c>
    </row>
    <row r="9" spans="1:57" hidden="1" x14ac:dyDescent="0.3">
      <c r="A9" s="4">
        <v>46117</v>
      </c>
      <c r="B9" s="5">
        <v>1</v>
      </c>
      <c r="C9" s="5">
        <v>8.42</v>
      </c>
      <c r="D9" s="5">
        <v>41</v>
      </c>
      <c r="E9" s="5">
        <v>2010</v>
      </c>
      <c r="F9" s="5">
        <v>64.209999999999994</v>
      </c>
      <c r="G9" s="5">
        <v>5.34</v>
      </c>
      <c r="H9" s="5">
        <v>3.4</v>
      </c>
      <c r="I9" s="5">
        <v>99</v>
      </c>
      <c r="J9" s="5">
        <v>2.54</v>
      </c>
      <c r="K9" s="5">
        <v>530</v>
      </c>
      <c r="L9" s="5">
        <v>500</v>
      </c>
      <c r="M9" s="5">
        <v>2.9</v>
      </c>
      <c r="N9" s="5">
        <v>43</v>
      </c>
      <c r="O9" s="11">
        <v>5.5261338757070986</v>
      </c>
      <c r="P9" s="5">
        <v>6.8118875028782777E-2</v>
      </c>
      <c r="Q9" s="5">
        <v>0.37643402287161493</v>
      </c>
      <c r="R9" s="5">
        <v>57.038901474444252</v>
      </c>
      <c r="S9" s="5">
        <v>73.668190199752928</v>
      </c>
      <c r="T9" s="5">
        <v>27.42274346059757</v>
      </c>
      <c r="U9" s="5">
        <v>4800</v>
      </c>
      <c r="V9" s="5">
        <v>75.31543656075128</v>
      </c>
      <c r="W9" s="11">
        <v>124.1825483870968</v>
      </c>
      <c r="X9" s="5">
        <v>18.87483870967742</v>
      </c>
      <c r="Y9" s="5">
        <v>57.052783233774669</v>
      </c>
      <c r="Z9" s="11">
        <f t="shared" si="1"/>
        <v>63.264193625314626</v>
      </c>
      <c r="AM9" s="13">
        <f t="shared" si="2"/>
        <v>-1.6666666666666607</v>
      </c>
      <c r="AN9" s="13">
        <f t="shared" si="3"/>
        <v>0</v>
      </c>
      <c r="AO9" s="13">
        <f t="shared" si="4"/>
        <v>0.86733333333333273</v>
      </c>
      <c r="AP9" s="13">
        <f t="shared" si="5"/>
        <v>2.9999999999986929E-2</v>
      </c>
      <c r="AQ9" s="13">
        <f t="shared" si="6"/>
        <v>0</v>
      </c>
      <c r="AR9" s="13">
        <f t="shared" si="7"/>
        <v>-0.17999999999999969</v>
      </c>
      <c r="AS9" s="13">
        <f t="shared" si="8"/>
        <v>0</v>
      </c>
      <c r="AT9" s="13">
        <f t="shared" si="9"/>
        <v>0.75999999999999979</v>
      </c>
      <c r="AU9" s="13">
        <f t="shared" si="10"/>
        <v>9.6675191815856806E-2</v>
      </c>
      <c r="AV9" s="13">
        <f t="shared" si="11"/>
        <v>1.3176470588235348E-2</v>
      </c>
      <c r="AW9" s="13">
        <f t="shared" si="12"/>
        <v>0</v>
      </c>
      <c r="AX9" s="13">
        <f t="shared" si="13"/>
        <v>0</v>
      </c>
      <c r="AY9" s="13">
        <f t="shared" si="14"/>
        <v>3.5100955645161305</v>
      </c>
      <c r="AZ9" s="13">
        <f t="shared" si="15"/>
        <v>0.241104606940829</v>
      </c>
      <c r="BB9" s="13">
        <f t="shared" si="16"/>
        <v>63.712507647610195</v>
      </c>
      <c r="BC9" s="13">
        <f t="shared" si="17"/>
        <v>62.815879603019056</v>
      </c>
      <c r="BE9" s="9" t="str">
        <f t="shared" si="18"/>
        <v>461171</v>
      </c>
    </row>
    <row r="10" spans="1:57" hidden="1" x14ac:dyDescent="0.3">
      <c r="A10" s="4">
        <v>46119</v>
      </c>
      <c r="B10" s="5">
        <v>1</v>
      </c>
      <c r="C10" s="5">
        <v>8.35</v>
      </c>
      <c r="D10" s="5">
        <v>40</v>
      </c>
      <c r="E10" s="5">
        <v>2110</v>
      </c>
      <c r="F10" s="5">
        <v>63.74</v>
      </c>
      <c r="G10" s="5">
        <v>5.3</v>
      </c>
      <c r="H10" s="5">
        <v>3.4</v>
      </c>
      <c r="I10" s="5">
        <v>93</v>
      </c>
      <c r="J10" s="5">
        <v>2.4700000000000002</v>
      </c>
      <c r="K10" s="5">
        <v>550</v>
      </c>
      <c r="L10" s="5">
        <v>500</v>
      </c>
      <c r="M10" s="5">
        <v>2.8</v>
      </c>
      <c r="N10" s="5">
        <v>43</v>
      </c>
      <c r="O10" s="11">
        <v>5.5261338757070986</v>
      </c>
      <c r="P10" s="5">
        <v>6.8118875028782777E-2</v>
      </c>
      <c r="Q10" s="5">
        <v>0.37643402287161493</v>
      </c>
      <c r="R10" s="5">
        <v>57.116981673133211</v>
      </c>
      <c r="S10" s="5">
        <v>73.769035667708366</v>
      </c>
      <c r="T10" s="5">
        <v>26.27615501720998</v>
      </c>
      <c r="U10" s="5">
        <v>4800</v>
      </c>
      <c r="V10" s="5">
        <v>83.173378698546983</v>
      </c>
      <c r="W10" s="11">
        <v>124.1825483870968</v>
      </c>
      <c r="X10" s="5">
        <v>18.87483870967742</v>
      </c>
      <c r="Y10" s="5">
        <v>57.128601818783082</v>
      </c>
      <c r="Z10" s="11">
        <f t="shared" si="1"/>
        <v>63.951599112644999</v>
      </c>
      <c r="AM10" s="13">
        <f t="shared" si="2"/>
        <v>-0.49999999999998934</v>
      </c>
      <c r="AN10" s="13">
        <f t="shared" si="3"/>
        <v>0</v>
      </c>
      <c r="AO10" s="13">
        <f t="shared" si="4"/>
        <v>0.20066666666666605</v>
      </c>
      <c r="AP10" s="13">
        <f t="shared" si="5"/>
        <v>-0.44000000000000483</v>
      </c>
      <c r="AQ10" s="13">
        <f t="shared" si="6"/>
        <v>0</v>
      </c>
      <c r="AR10" s="13">
        <f t="shared" si="7"/>
        <v>-0.17999999999999969</v>
      </c>
      <c r="AS10" s="13">
        <f t="shared" si="8"/>
        <v>0</v>
      </c>
      <c r="AT10" s="13">
        <f t="shared" si="9"/>
        <v>0.89999999999999947</v>
      </c>
      <c r="AU10" s="13">
        <f t="shared" si="10"/>
        <v>-3.1202046035805595E-2</v>
      </c>
      <c r="AV10" s="13">
        <f t="shared" si="11"/>
        <v>1.3176470588235348E-2</v>
      </c>
      <c r="AW10" s="13">
        <f t="shared" si="12"/>
        <v>0</v>
      </c>
      <c r="AX10" s="13">
        <f t="shared" si="13"/>
        <v>0</v>
      </c>
      <c r="AY10" s="13">
        <f t="shared" si="14"/>
        <v>3.5100955645161305</v>
      </c>
      <c r="AZ10" s="13">
        <f t="shared" si="15"/>
        <v>0.241104606940829</v>
      </c>
      <c r="BB10" s="13">
        <f t="shared" si="16"/>
        <v>63.832710608447506</v>
      </c>
      <c r="BC10" s="13">
        <f t="shared" si="17"/>
        <v>64.070487616842485</v>
      </c>
      <c r="BE10" s="9" t="str">
        <f t="shared" si="18"/>
        <v>461191</v>
      </c>
    </row>
    <row r="11" spans="1:57" hidden="1" x14ac:dyDescent="0.3">
      <c r="A11" s="4">
        <v>46119</v>
      </c>
      <c r="B11" s="5">
        <v>3</v>
      </c>
      <c r="C11" s="5">
        <v>8.3800000000000008</v>
      </c>
      <c r="D11" s="5">
        <v>40</v>
      </c>
      <c r="E11" s="5">
        <v>2150</v>
      </c>
      <c r="F11" s="5">
        <v>64.040000000000006</v>
      </c>
      <c r="G11" s="5">
        <v>5.37</v>
      </c>
      <c r="H11" s="5">
        <v>3.3</v>
      </c>
      <c r="I11" s="5">
        <v>96</v>
      </c>
      <c r="J11" s="5">
        <v>2.5499999999999998</v>
      </c>
      <c r="K11" s="5">
        <v>550</v>
      </c>
      <c r="L11" s="5">
        <v>500</v>
      </c>
      <c r="M11" s="5">
        <v>2.7</v>
      </c>
      <c r="N11" s="5">
        <v>39</v>
      </c>
      <c r="O11" s="11">
        <v>5.896446601549604</v>
      </c>
      <c r="P11" s="5">
        <v>5.9649531245195599E-2</v>
      </c>
      <c r="Q11" s="5">
        <v>0.35172027579476051</v>
      </c>
      <c r="R11" s="5">
        <v>57.124192657580252</v>
      </c>
      <c r="S11" s="5">
        <v>73.778349355224876</v>
      </c>
      <c r="T11" s="5">
        <v>27.476385610446162</v>
      </c>
      <c r="U11" s="5">
        <v>4800</v>
      </c>
      <c r="V11" s="5">
        <v>82.592985186726892</v>
      </c>
      <c r="W11" s="11">
        <v>108.0225126582279</v>
      </c>
      <c r="X11" s="5">
        <v>19.50791139240506</v>
      </c>
      <c r="Y11" s="5">
        <v>57.130166148103378</v>
      </c>
      <c r="Z11" s="11">
        <f t="shared" si="1"/>
        <v>62.800911774007361</v>
      </c>
      <c r="AM11" s="13">
        <f t="shared" si="2"/>
        <v>-1.0000000000000084</v>
      </c>
      <c r="AN11" s="13">
        <f t="shared" si="3"/>
        <v>0</v>
      </c>
      <c r="AO11" s="13">
        <f t="shared" si="4"/>
        <v>-6.60000000000006E-2</v>
      </c>
      <c r="AP11" s="13">
        <f t="shared" si="5"/>
        <v>-0.14000000000000057</v>
      </c>
      <c r="AQ11" s="13">
        <f t="shared" si="6"/>
        <v>0</v>
      </c>
      <c r="AR11" s="13">
        <f t="shared" si="7"/>
        <v>2.0000000000000462E-2</v>
      </c>
      <c r="AS11" s="13">
        <f t="shared" si="8"/>
        <v>0</v>
      </c>
      <c r="AT11" s="13">
        <f t="shared" si="9"/>
        <v>0.74000000000000021</v>
      </c>
      <c r="AU11" s="13">
        <f t="shared" si="10"/>
        <v>-3.1202046035805595E-2</v>
      </c>
      <c r="AV11" s="13">
        <f t="shared" si="11"/>
        <v>1.3176470588235348E-2</v>
      </c>
      <c r="AW11" s="13">
        <f t="shared" si="12"/>
        <v>0</v>
      </c>
      <c r="AX11" s="13">
        <f t="shared" si="13"/>
        <v>0</v>
      </c>
      <c r="AY11" s="13">
        <f t="shared" si="14"/>
        <v>2.9040942246835462</v>
      </c>
      <c r="AZ11" s="13">
        <f t="shared" si="15"/>
        <v>0.13530097098582747</v>
      </c>
      <c r="BB11" s="13">
        <f t="shared" si="16"/>
        <v>62.70151326403991</v>
      </c>
      <c r="BC11" s="13">
        <f t="shared" si="17"/>
        <v>62.900310283974804</v>
      </c>
      <c r="BE11" s="9" t="str">
        <f t="shared" si="18"/>
        <v>461193</v>
      </c>
    </row>
    <row r="12" spans="1:57" hidden="1" x14ac:dyDescent="0.3">
      <c r="A12" s="4">
        <v>46120</v>
      </c>
      <c r="B12" s="5">
        <v>1</v>
      </c>
      <c r="C12" s="5">
        <v>8.3800000000000008</v>
      </c>
      <c r="D12" s="5">
        <v>40</v>
      </c>
      <c r="E12" s="5">
        <v>2120</v>
      </c>
      <c r="F12" s="5">
        <v>64.040000000000006</v>
      </c>
      <c r="G12" s="5">
        <v>5.37</v>
      </c>
      <c r="H12" s="5">
        <v>3.4</v>
      </c>
      <c r="I12" s="5">
        <v>96</v>
      </c>
      <c r="J12" s="5">
        <v>2.5499999999999998</v>
      </c>
      <c r="K12" s="5">
        <v>530</v>
      </c>
      <c r="L12" s="5">
        <v>490</v>
      </c>
      <c r="M12" s="5">
        <v>2.7</v>
      </c>
      <c r="N12" s="5">
        <v>43</v>
      </c>
      <c r="O12" s="11">
        <v>7.3623090533473343</v>
      </c>
      <c r="P12" s="5">
        <v>5.6532855736086567E-2</v>
      </c>
      <c r="Q12" s="5">
        <v>0.41621235559736902</v>
      </c>
      <c r="R12" s="5">
        <v>57.059172881469209</v>
      </c>
      <c r="S12" s="5">
        <v>73.694364783941381</v>
      </c>
      <c r="T12" s="5">
        <v>28.345442123951639</v>
      </c>
      <c r="U12" s="5">
        <v>4800</v>
      </c>
      <c r="V12" s="5">
        <v>76.134614585462444</v>
      </c>
      <c r="W12" s="11">
        <v>106.2945866666667</v>
      </c>
      <c r="X12" s="5">
        <v>20.50874666666666</v>
      </c>
      <c r="Y12" s="5">
        <v>57.072623415016629</v>
      </c>
      <c r="Z12" s="11">
        <f t="shared" si="1"/>
        <v>62.342816312154341</v>
      </c>
      <c r="AM12" s="13">
        <f t="shared" si="2"/>
        <v>-1.0000000000000084</v>
      </c>
      <c r="AN12" s="13">
        <f t="shared" si="3"/>
        <v>0</v>
      </c>
      <c r="AO12" s="13">
        <f t="shared" si="4"/>
        <v>0.1339999999999994</v>
      </c>
      <c r="AP12" s="13">
        <f t="shared" si="5"/>
        <v>-0.14000000000000057</v>
      </c>
      <c r="AQ12" s="13">
        <f t="shared" si="6"/>
        <v>0</v>
      </c>
      <c r="AR12" s="13">
        <f t="shared" si="7"/>
        <v>-0.17999999999999969</v>
      </c>
      <c r="AS12" s="13">
        <f t="shared" si="8"/>
        <v>0</v>
      </c>
      <c r="AT12" s="13">
        <f t="shared" si="9"/>
        <v>0.74000000000000021</v>
      </c>
      <c r="AU12" s="13">
        <f t="shared" si="10"/>
        <v>9.6675191815856806E-2</v>
      </c>
      <c r="AV12" s="13">
        <f t="shared" si="11"/>
        <v>0.13082352941176478</v>
      </c>
      <c r="AW12" s="13">
        <f t="shared" si="12"/>
        <v>0</v>
      </c>
      <c r="AX12" s="13">
        <f t="shared" si="13"/>
        <v>0</v>
      </c>
      <c r="AY12" s="13">
        <f t="shared" si="14"/>
        <v>2.8392970000000015</v>
      </c>
      <c r="AZ12" s="13">
        <f t="shared" si="15"/>
        <v>-0.28351687238495266</v>
      </c>
      <c r="BB12" s="13">
        <f t="shared" si="16"/>
        <v>62.398502810086512</v>
      </c>
      <c r="BC12" s="13">
        <f t="shared" si="17"/>
        <v>62.287129814222169</v>
      </c>
      <c r="BE12" s="9" t="str">
        <f t="shared" si="18"/>
        <v>461201</v>
      </c>
    </row>
    <row r="13" spans="1:57" hidden="1" x14ac:dyDescent="0.3">
      <c r="A13" s="4">
        <v>46121</v>
      </c>
      <c r="B13" s="5">
        <v>1</v>
      </c>
      <c r="C13" s="5">
        <v>8.5</v>
      </c>
      <c r="D13" s="5">
        <v>41</v>
      </c>
      <c r="E13" s="5">
        <v>2030</v>
      </c>
      <c r="F13" s="5">
        <v>64.66</v>
      </c>
      <c r="G13" s="5">
        <v>5.32</v>
      </c>
      <c r="H13" s="5">
        <v>3.4</v>
      </c>
      <c r="I13" s="5">
        <v>90</v>
      </c>
      <c r="J13" s="5">
        <v>2.69</v>
      </c>
      <c r="K13" s="5">
        <v>550</v>
      </c>
      <c r="L13" s="5">
        <v>500</v>
      </c>
      <c r="M13" s="5">
        <v>2.8</v>
      </c>
      <c r="N13" s="5">
        <v>39</v>
      </c>
      <c r="O13" s="11">
        <v>6.8454885466436242</v>
      </c>
      <c r="P13" s="5">
        <v>6.106422738606989E-2</v>
      </c>
      <c r="Q13" s="5">
        <v>0.41801446918098339</v>
      </c>
      <c r="R13" s="5">
        <v>57.107086992507277</v>
      </c>
      <c r="S13" s="5">
        <v>73.756252684933244</v>
      </c>
      <c r="T13" s="5">
        <v>30.057604168446911</v>
      </c>
      <c r="U13" s="5">
        <v>4800</v>
      </c>
      <c r="V13" s="5">
        <v>78.541469419856881</v>
      </c>
      <c r="W13" s="11">
        <v>109.6535555555556</v>
      </c>
      <c r="X13" s="5">
        <v>19.571703703703701</v>
      </c>
      <c r="Y13" s="5">
        <v>57.097351649519993</v>
      </c>
      <c r="Z13" s="11">
        <f t="shared" si="1"/>
        <v>60.795967339242651</v>
      </c>
      <c r="AM13" s="13">
        <f t="shared" si="2"/>
        <v>-2.9999999999999956</v>
      </c>
      <c r="AN13" s="13">
        <f t="shared" si="3"/>
        <v>0</v>
      </c>
      <c r="AO13" s="13">
        <f t="shared" si="4"/>
        <v>0.73399999999999943</v>
      </c>
      <c r="AP13" s="13">
        <f t="shared" si="5"/>
        <v>0.47999999999998977</v>
      </c>
      <c r="AQ13" s="13">
        <f t="shared" si="6"/>
        <v>0</v>
      </c>
      <c r="AR13" s="13">
        <f t="shared" si="7"/>
        <v>-0.17999999999999969</v>
      </c>
      <c r="AS13" s="13">
        <f t="shared" si="8"/>
        <v>0</v>
      </c>
      <c r="AT13" s="13">
        <f t="shared" si="9"/>
        <v>0.45999999999999996</v>
      </c>
      <c r="AU13" s="13">
        <f t="shared" si="10"/>
        <v>-3.1202046035805595E-2</v>
      </c>
      <c r="AV13" s="13">
        <f t="shared" si="11"/>
        <v>1.3176470588235348E-2</v>
      </c>
      <c r="AW13" s="13">
        <f t="shared" si="12"/>
        <v>0</v>
      </c>
      <c r="AX13" s="13">
        <f t="shared" si="13"/>
        <v>0</v>
      </c>
      <c r="AY13" s="13">
        <f t="shared" si="14"/>
        <v>2.9652583333333351</v>
      </c>
      <c r="AZ13" s="13">
        <f t="shared" si="15"/>
        <v>-0.13585387046960687</v>
      </c>
      <c r="BB13" s="13">
        <f t="shared" si="16"/>
        <v>61.41442324603041</v>
      </c>
      <c r="BC13" s="13">
        <f t="shared" si="17"/>
        <v>60.177511432454899</v>
      </c>
      <c r="BE13" s="9" t="str">
        <f t="shared" si="18"/>
        <v>461211</v>
      </c>
    </row>
    <row r="14" spans="1:57" hidden="1" x14ac:dyDescent="0.3">
      <c r="A14" s="4">
        <v>46122</v>
      </c>
      <c r="B14" s="5">
        <v>1</v>
      </c>
      <c r="C14" s="5">
        <v>8.4600000000000009</v>
      </c>
      <c r="D14" s="5">
        <v>41</v>
      </c>
      <c r="E14" s="5">
        <v>2130</v>
      </c>
      <c r="F14" s="5">
        <v>65.19</v>
      </c>
      <c r="G14" s="5">
        <v>5.39</v>
      </c>
      <c r="H14" s="5">
        <v>3.4</v>
      </c>
      <c r="I14" s="5">
        <v>90</v>
      </c>
      <c r="J14" s="5">
        <v>2.61</v>
      </c>
      <c r="K14" s="5">
        <v>540</v>
      </c>
      <c r="L14" s="5">
        <v>490</v>
      </c>
      <c r="M14" s="5">
        <v>2.7</v>
      </c>
      <c r="N14" s="5">
        <v>41</v>
      </c>
      <c r="O14" s="11">
        <v>5.908159507824954</v>
      </c>
      <c r="P14" s="5">
        <v>5.7552073733419411E-2</v>
      </c>
      <c r="Q14" s="5">
        <v>0.34002683162314468</v>
      </c>
      <c r="R14" s="5">
        <v>57.151585347707197</v>
      </c>
      <c r="S14" s="5">
        <v>72.786982663870944</v>
      </c>
      <c r="T14" s="5">
        <v>30.21222592448758</v>
      </c>
      <c r="U14" s="5">
        <v>4800</v>
      </c>
      <c r="V14" s="5">
        <v>83.238408397413835</v>
      </c>
      <c r="W14" s="11">
        <v>100.9585</v>
      </c>
      <c r="X14" s="5">
        <v>18.418333333333329</v>
      </c>
      <c r="Y14" s="5">
        <v>57.12471221577929</v>
      </c>
      <c r="Z14" s="11">
        <f t="shared" si="1"/>
        <v>61.654620646543293</v>
      </c>
      <c r="AM14" s="13">
        <f t="shared" si="2"/>
        <v>-2.3333333333333428</v>
      </c>
      <c r="AN14" s="13">
        <f t="shared" si="3"/>
        <v>0</v>
      </c>
      <c r="AO14" s="13">
        <f t="shared" si="4"/>
        <v>6.7333333333332732E-2</v>
      </c>
      <c r="AP14" s="13">
        <f t="shared" si="5"/>
        <v>1.0099999999999909</v>
      </c>
      <c r="AQ14" s="13">
        <f t="shared" si="6"/>
        <v>0</v>
      </c>
      <c r="AR14" s="13">
        <f t="shared" si="7"/>
        <v>-0.17999999999999969</v>
      </c>
      <c r="AS14" s="13">
        <f t="shared" si="8"/>
        <v>0</v>
      </c>
      <c r="AT14" s="13">
        <f t="shared" si="9"/>
        <v>0.62000000000000011</v>
      </c>
      <c r="AU14" s="13">
        <f t="shared" si="10"/>
        <v>3.27365728900256E-2</v>
      </c>
      <c r="AV14" s="13">
        <f t="shared" si="11"/>
        <v>0.13082352941176478</v>
      </c>
      <c r="AW14" s="13">
        <f t="shared" si="12"/>
        <v>0</v>
      </c>
      <c r="AX14" s="13">
        <f t="shared" si="13"/>
        <v>0</v>
      </c>
      <c r="AY14" s="13">
        <f t="shared" si="14"/>
        <v>2.63919375</v>
      </c>
      <c r="AZ14" s="13">
        <f t="shared" si="15"/>
        <v>0.13195442633572746</v>
      </c>
      <c r="BB14" s="13">
        <f t="shared" si="16"/>
        <v>62.272135643879786</v>
      </c>
      <c r="BC14" s="13">
        <f t="shared" si="17"/>
        <v>61.037105649206794</v>
      </c>
      <c r="BE14" s="9" t="str">
        <f t="shared" si="18"/>
        <v>461221</v>
      </c>
    </row>
    <row r="15" spans="1:57" hidden="1" x14ac:dyDescent="0.3">
      <c r="A15" s="4">
        <v>46123</v>
      </c>
      <c r="B15" s="5">
        <v>1</v>
      </c>
      <c r="C15" s="5">
        <v>8.44</v>
      </c>
      <c r="D15" s="5">
        <v>39</v>
      </c>
      <c r="E15" s="5">
        <v>2180</v>
      </c>
      <c r="F15" s="5">
        <v>65.12</v>
      </c>
      <c r="G15" s="5">
        <v>5.35</v>
      </c>
      <c r="H15" s="5">
        <v>3.2</v>
      </c>
      <c r="I15" s="5">
        <v>93</v>
      </c>
      <c r="J15" s="5">
        <v>2.56</v>
      </c>
      <c r="K15" s="5">
        <v>570</v>
      </c>
      <c r="L15" s="5">
        <v>510</v>
      </c>
      <c r="M15" s="5">
        <v>2.9</v>
      </c>
      <c r="N15" s="5">
        <v>42</v>
      </c>
      <c r="O15" s="11">
        <v>5.7108229188178701</v>
      </c>
      <c r="P15" s="5">
        <v>6.8177174208114144E-2</v>
      </c>
      <c r="Q15" s="5">
        <v>0.38934776900793677</v>
      </c>
      <c r="R15" s="5">
        <v>57.150049464292543</v>
      </c>
      <c r="S15" s="5">
        <v>73.280381270816605</v>
      </c>
      <c r="T15" s="5">
        <v>29.587052038477161</v>
      </c>
      <c r="U15" s="5">
        <v>4800</v>
      </c>
      <c r="V15" s="5">
        <v>83.23618625405976</v>
      </c>
      <c r="W15" s="11">
        <v>120.40912</v>
      </c>
      <c r="X15" s="5">
        <v>17.953373333333332</v>
      </c>
      <c r="Y15" s="5">
        <v>57.132191075527139</v>
      </c>
      <c r="Z15" s="11">
        <f t="shared" si="1"/>
        <v>62.765529517698944</v>
      </c>
      <c r="AM15" s="13">
        <f t="shared" si="2"/>
        <v>-1.9999999999999871</v>
      </c>
      <c r="AN15" s="13">
        <f t="shared" si="3"/>
        <v>0</v>
      </c>
      <c r="AO15" s="13">
        <f t="shared" si="4"/>
        <v>-0.26600000000000062</v>
      </c>
      <c r="AP15" s="13">
        <f t="shared" si="5"/>
        <v>0.93999999999999773</v>
      </c>
      <c r="AQ15" s="13">
        <f t="shared" si="6"/>
        <v>0</v>
      </c>
      <c r="AR15" s="13">
        <f t="shared" si="7"/>
        <v>0.21999999999999978</v>
      </c>
      <c r="AS15" s="13">
        <f t="shared" si="8"/>
        <v>0</v>
      </c>
      <c r="AT15" s="13">
        <f t="shared" si="9"/>
        <v>0.71999999999999975</v>
      </c>
      <c r="AU15" s="13">
        <f t="shared" si="10"/>
        <v>-0.159079283887468</v>
      </c>
      <c r="AV15" s="13">
        <f t="shared" si="11"/>
        <v>-0.10447058823529407</v>
      </c>
      <c r="AW15" s="13">
        <f t="shared" si="12"/>
        <v>0</v>
      </c>
      <c r="AX15" s="13">
        <f t="shared" si="13"/>
        <v>0</v>
      </c>
      <c r="AY15" s="13">
        <f t="shared" si="14"/>
        <v>3.368592</v>
      </c>
      <c r="AZ15" s="13">
        <f t="shared" si="15"/>
        <v>0.18833630890918002</v>
      </c>
      <c r="BB15" s="13">
        <f t="shared" si="16"/>
        <v>63.059223417963999</v>
      </c>
      <c r="BC15" s="13">
        <f t="shared" si="17"/>
        <v>62.471835617433889</v>
      </c>
      <c r="BE15" s="9" t="str">
        <f t="shared" si="18"/>
        <v>461231</v>
      </c>
    </row>
    <row r="16" spans="1:57" hidden="1" x14ac:dyDescent="0.3">
      <c r="A16" s="4">
        <v>46124</v>
      </c>
      <c r="B16" s="5">
        <v>1</v>
      </c>
      <c r="C16" s="5">
        <v>8.5500000000000007</v>
      </c>
      <c r="D16" s="5">
        <v>40</v>
      </c>
      <c r="E16" s="5">
        <v>2140</v>
      </c>
      <c r="F16" s="5">
        <v>64.45</v>
      </c>
      <c r="G16" s="5">
        <v>5.44</v>
      </c>
      <c r="H16" s="5">
        <v>3.3</v>
      </c>
      <c r="I16" s="5">
        <v>96</v>
      </c>
      <c r="J16" s="5">
        <v>2.64</v>
      </c>
      <c r="K16" s="5">
        <v>550</v>
      </c>
      <c r="L16" s="5">
        <v>500</v>
      </c>
      <c r="M16" s="5">
        <v>2.8</v>
      </c>
      <c r="N16" s="5">
        <v>43</v>
      </c>
      <c r="O16" s="11">
        <v>6.7238519037165982</v>
      </c>
      <c r="P16" s="5">
        <v>6.1827552396220113E-2</v>
      </c>
      <c r="Q16" s="5">
        <v>0.41571930588146239</v>
      </c>
      <c r="R16" s="5">
        <v>57.103789972482453</v>
      </c>
      <c r="S16" s="5">
        <v>73.75180118821936</v>
      </c>
      <c r="T16" s="5">
        <v>29.427455386576661</v>
      </c>
      <c r="U16" s="5">
        <v>4800</v>
      </c>
      <c r="V16" s="5">
        <v>78.888417085966054</v>
      </c>
      <c r="W16" s="11">
        <v>110.95086363636359</v>
      </c>
      <c r="X16" s="5">
        <v>18.14178787878787</v>
      </c>
      <c r="Y16" s="5">
        <v>57.091445384761819</v>
      </c>
      <c r="Z16" s="11">
        <f t="shared" si="1"/>
        <v>59.869625070548949</v>
      </c>
      <c r="AM16" s="13">
        <f t="shared" si="2"/>
        <v>-3.8333333333333406</v>
      </c>
      <c r="AN16" s="13">
        <f t="shared" si="3"/>
        <v>0</v>
      </c>
      <c r="AO16" s="13">
        <f t="shared" si="4"/>
        <v>6.6666666666606036E-4</v>
      </c>
      <c r="AP16" s="13">
        <f t="shared" si="5"/>
        <v>0.26999999999999602</v>
      </c>
      <c r="AQ16" s="13">
        <f t="shared" si="6"/>
        <v>0</v>
      </c>
      <c r="AR16" s="13">
        <f t="shared" si="7"/>
        <v>2.0000000000000462E-2</v>
      </c>
      <c r="AS16" s="13">
        <f t="shared" si="8"/>
        <v>0</v>
      </c>
      <c r="AT16" s="13">
        <f t="shared" si="9"/>
        <v>0.55999999999999961</v>
      </c>
      <c r="AU16" s="13">
        <f t="shared" si="10"/>
        <v>-3.1202046035805595E-2</v>
      </c>
      <c r="AV16" s="13">
        <f t="shared" si="11"/>
        <v>1.3176470588235348E-2</v>
      </c>
      <c r="AW16" s="13">
        <f t="shared" si="12"/>
        <v>0</v>
      </c>
      <c r="AX16" s="13">
        <f t="shared" si="13"/>
        <v>0</v>
      </c>
      <c r="AY16" s="13">
        <f t="shared" si="14"/>
        <v>3.013907386363635</v>
      </c>
      <c r="AZ16" s="13">
        <f t="shared" si="15"/>
        <v>-0.10110054391902804</v>
      </c>
      <c r="BB16" s="13">
        <f t="shared" si="16"/>
        <v>60.017718933036711</v>
      </c>
      <c r="BC16" s="13">
        <f t="shared" si="17"/>
        <v>59.72153120806118</v>
      </c>
      <c r="BE16" s="9" t="str">
        <f t="shared" si="18"/>
        <v>461241</v>
      </c>
    </row>
    <row r="17" spans="1:57" hidden="1" x14ac:dyDescent="0.3">
      <c r="A17" s="4">
        <v>46124</v>
      </c>
      <c r="B17" s="5">
        <v>3</v>
      </c>
      <c r="C17" s="5">
        <v>8.5</v>
      </c>
      <c r="D17" s="5">
        <v>40</v>
      </c>
      <c r="E17" s="5">
        <v>2140</v>
      </c>
      <c r="F17" s="5">
        <v>64.41</v>
      </c>
      <c r="G17" s="5">
        <v>5.49</v>
      </c>
      <c r="H17" s="5">
        <v>3.3</v>
      </c>
      <c r="I17" s="5">
        <v>96</v>
      </c>
      <c r="J17" s="5">
        <v>2.6</v>
      </c>
      <c r="K17" s="5">
        <v>540</v>
      </c>
      <c r="L17" s="5">
        <v>490</v>
      </c>
      <c r="M17" s="5">
        <v>3</v>
      </c>
      <c r="N17" s="5">
        <v>44</v>
      </c>
      <c r="O17" s="11">
        <v>6.0369140724930608</v>
      </c>
      <c r="P17" s="5">
        <v>5.8081794546471409E-2</v>
      </c>
      <c r="Q17" s="5">
        <v>0.350634802853244</v>
      </c>
      <c r="R17" s="5">
        <v>57.117098581382159</v>
      </c>
      <c r="S17" s="5">
        <v>73.652020876714488</v>
      </c>
      <c r="T17" s="5">
        <v>27.619352084510691</v>
      </c>
      <c r="U17" s="5">
        <v>4800</v>
      </c>
      <c r="V17" s="5">
        <v>81.957418117673569</v>
      </c>
      <c r="W17" s="11">
        <v>101.9606382113821</v>
      </c>
      <c r="X17" s="5">
        <v>18.131528455284549</v>
      </c>
      <c r="Y17" s="5">
        <v>57.111024139835799</v>
      </c>
      <c r="Z17" s="11">
        <f t="shared" si="1"/>
        <v>60.761297706503122</v>
      </c>
      <c r="AM17" s="13">
        <f t="shared" si="2"/>
        <v>-2.9999999999999956</v>
      </c>
      <c r="AN17" s="13">
        <f t="shared" si="3"/>
        <v>0</v>
      </c>
      <c r="AO17" s="13">
        <f t="shared" si="4"/>
        <v>6.6666666666606036E-4</v>
      </c>
      <c r="AP17" s="13">
        <f t="shared" si="5"/>
        <v>0.2299999999999898</v>
      </c>
      <c r="AQ17" s="13">
        <f t="shared" si="6"/>
        <v>0</v>
      </c>
      <c r="AR17" s="13">
        <f t="shared" si="7"/>
        <v>2.0000000000000462E-2</v>
      </c>
      <c r="AS17" s="13">
        <f t="shared" si="8"/>
        <v>0</v>
      </c>
      <c r="AT17" s="13">
        <f t="shared" si="9"/>
        <v>0.63999999999999968</v>
      </c>
      <c r="AU17" s="13">
        <f t="shared" si="10"/>
        <v>3.27365728900256E-2</v>
      </c>
      <c r="AV17" s="13">
        <f t="shared" si="11"/>
        <v>0.13082352941176478</v>
      </c>
      <c r="AW17" s="13">
        <f t="shared" si="12"/>
        <v>0</v>
      </c>
      <c r="AX17" s="13">
        <f t="shared" si="13"/>
        <v>0</v>
      </c>
      <c r="AY17" s="13">
        <f t="shared" si="14"/>
        <v>2.676773932926829</v>
      </c>
      <c r="AZ17" s="13">
        <f t="shared" si="15"/>
        <v>9.5167407859125516E-2</v>
      </c>
      <c r="BB17" s="13">
        <f t="shared" si="16"/>
        <v>60.945080025315512</v>
      </c>
      <c r="BC17" s="13">
        <f t="shared" si="17"/>
        <v>60.577515387690731</v>
      </c>
      <c r="BE17" s="9" t="str">
        <f t="shared" si="18"/>
        <v>461243</v>
      </c>
    </row>
    <row r="18" spans="1:57" hidden="1" x14ac:dyDescent="0.3">
      <c r="A18" s="4">
        <v>46126</v>
      </c>
      <c r="B18" s="5">
        <v>1</v>
      </c>
      <c r="C18" s="5">
        <v>8.5</v>
      </c>
      <c r="D18" s="5">
        <v>42</v>
      </c>
      <c r="E18" s="5">
        <v>2050</v>
      </c>
      <c r="F18" s="5">
        <v>64.41</v>
      </c>
      <c r="G18" s="5">
        <v>5.49</v>
      </c>
      <c r="H18" s="5">
        <v>3.5</v>
      </c>
      <c r="I18" s="5">
        <v>99</v>
      </c>
      <c r="J18" s="5">
        <v>2.6</v>
      </c>
      <c r="K18" s="5">
        <v>540</v>
      </c>
      <c r="L18" s="5">
        <v>500</v>
      </c>
      <c r="M18" s="5">
        <v>3</v>
      </c>
      <c r="N18" s="5">
        <v>43</v>
      </c>
      <c r="O18" s="11">
        <v>6.200528757943057</v>
      </c>
      <c r="P18" s="5">
        <v>5.443757400263901E-2</v>
      </c>
      <c r="Q18" s="5">
        <v>0.33754174311601648</v>
      </c>
      <c r="R18" s="5">
        <v>57.025859425478792</v>
      </c>
      <c r="S18" s="5">
        <v>72.30596088123194</v>
      </c>
      <c r="T18" s="5">
        <v>27.32351705972259</v>
      </c>
      <c r="U18" s="5">
        <v>4800</v>
      </c>
      <c r="V18" s="5">
        <v>75.639041516291769</v>
      </c>
      <c r="W18" s="11">
        <v>95.295460000000006</v>
      </c>
      <c r="X18" s="5">
        <v>18.09168</v>
      </c>
      <c r="Y18" s="5">
        <v>57.027928273887518</v>
      </c>
      <c r="Z18" s="11">
        <f t="shared" si="1"/>
        <v>60.218611445008932</v>
      </c>
      <c r="AM18" s="13">
        <f t="shared" si="2"/>
        <v>-2.9999999999999956</v>
      </c>
      <c r="AN18" s="13">
        <f t="shared" si="3"/>
        <v>0</v>
      </c>
      <c r="AO18" s="13">
        <f t="shared" si="4"/>
        <v>0.60066666666666602</v>
      </c>
      <c r="AP18" s="13">
        <f t="shared" si="5"/>
        <v>0.2299999999999898</v>
      </c>
      <c r="AQ18" s="13">
        <f t="shared" si="6"/>
        <v>0</v>
      </c>
      <c r="AR18" s="13">
        <f t="shared" si="7"/>
        <v>-0.37999999999999989</v>
      </c>
      <c r="AS18" s="13">
        <f t="shared" si="8"/>
        <v>0</v>
      </c>
      <c r="AT18" s="13">
        <f t="shared" si="9"/>
        <v>0.63999999999999968</v>
      </c>
      <c r="AU18" s="13">
        <f t="shared" si="10"/>
        <v>3.27365728900256E-2</v>
      </c>
      <c r="AV18" s="13">
        <f t="shared" si="11"/>
        <v>1.3176470588235348E-2</v>
      </c>
      <c r="AW18" s="13">
        <f t="shared" si="12"/>
        <v>0</v>
      </c>
      <c r="AX18" s="13">
        <f t="shared" si="13"/>
        <v>0</v>
      </c>
      <c r="AY18" s="13">
        <f t="shared" si="14"/>
        <v>2.42682975</v>
      </c>
      <c r="AZ18" s="13">
        <f t="shared" si="15"/>
        <v>4.8420354873412307E-2</v>
      </c>
      <c r="BB18" s="13">
        <f t="shared" si="16"/>
        <v>60.639498589432016</v>
      </c>
      <c r="BC18" s="13">
        <f t="shared" si="17"/>
        <v>59.797724300585848</v>
      </c>
      <c r="BE18" s="9" t="str">
        <f t="shared" si="18"/>
        <v>461261</v>
      </c>
    </row>
    <row r="19" spans="1:57" hidden="1" x14ac:dyDescent="0.3">
      <c r="A19" s="4">
        <v>46127</v>
      </c>
      <c r="B19" s="5">
        <v>1</v>
      </c>
      <c r="C19" s="5">
        <v>8.31</v>
      </c>
      <c r="D19" s="5">
        <v>41</v>
      </c>
      <c r="E19" s="5">
        <v>2090</v>
      </c>
      <c r="F19" s="5">
        <v>64.25</v>
      </c>
      <c r="G19" s="5">
        <v>5.34</v>
      </c>
      <c r="H19" s="5">
        <v>3.3</v>
      </c>
      <c r="I19" s="5">
        <v>96</v>
      </c>
      <c r="J19" s="5">
        <v>2.76</v>
      </c>
      <c r="K19" s="5">
        <v>530</v>
      </c>
      <c r="L19" s="5">
        <v>490</v>
      </c>
      <c r="M19" s="5">
        <v>2.9</v>
      </c>
      <c r="N19" s="5">
        <v>38</v>
      </c>
      <c r="O19" s="11">
        <v>6.4300023429329167</v>
      </c>
      <c r="P19" s="5">
        <v>4.8794712819246619E-2</v>
      </c>
      <c r="Q19" s="5">
        <v>0.31375011775049461</v>
      </c>
      <c r="R19" s="5">
        <v>59.894935265723319</v>
      </c>
      <c r="S19" s="5">
        <v>73.717112617767526</v>
      </c>
      <c r="T19" s="5">
        <v>27.890643859075919</v>
      </c>
      <c r="U19" s="5">
        <v>4800</v>
      </c>
      <c r="V19" s="5">
        <v>75.285272642367332</v>
      </c>
      <c r="W19" s="11">
        <v>86.597333333333339</v>
      </c>
      <c r="X19" s="5">
        <v>18.34546666666667</v>
      </c>
      <c r="Y19" s="5">
        <v>59.212133200037897</v>
      </c>
      <c r="Z19" s="11">
        <f t="shared" si="1"/>
        <v>65.509629059656419</v>
      </c>
      <c r="AM19" s="13">
        <f t="shared" si="2"/>
        <v>0.16666666666666313</v>
      </c>
      <c r="AN19" s="13">
        <f t="shared" si="3"/>
        <v>0</v>
      </c>
      <c r="AO19" s="13">
        <f t="shared" si="4"/>
        <v>0.33399999999999941</v>
      </c>
      <c r="AP19" s="13">
        <f t="shared" si="5"/>
        <v>6.9999999999993179E-2</v>
      </c>
      <c r="AQ19" s="13">
        <f t="shared" si="6"/>
        <v>0</v>
      </c>
      <c r="AR19" s="13">
        <f t="shared" si="7"/>
        <v>2.0000000000000462E-2</v>
      </c>
      <c r="AS19" s="13">
        <f t="shared" si="8"/>
        <v>0</v>
      </c>
      <c r="AT19" s="13">
        <f t="shared" si="9"/>
        <v>0.32000000000000028</v>
      </c>
      <c r="AU19" s="13">
        <f t="shared" si="10"/>
        <v>9.6675191815856806E-2</v>
      </c>
      <c r="AV19" s="13">
        <f t="shared" si="11"/>
        <v>0.13082352941176478</v>
      </c>
      <c r="AW19" s="13">
        <f t="shared" si="12"/>
        <v>0</v>
      </c>
      <c r="AX19" s="13">
        <f t="shared" si="13"/>
        <v>0</v>
      </c>
      <c r="AY19" s="13">
        <f t="shared" si="14"/>
        <v>2.1006500000000004</v>
      </c>
      <c r="AZ19" s="13">
        <f t="shared" si="15"/>
        <v>-1.7143526552261892E-2</v>
      </c>
      <c r="BB19" s="13">
        <f t="shared" si="16"/>
        <v>66.118441857205013</v>
      </c>
      <c r="BC19" s="13">
        <f t="shared" si="17"/>
        <v>64.900816262107824</v>
      </c>
      <c r="BE19" s="9" t="str">
        <f t="shared" si="18"/>
        <v>461271</v>
      </c>
    </row>
    <row r="20" spans="1:57" hidden="1" x14ac:dyDescent="0.3">
      <c r="A20" s="4">
        <v>46128</v>
      </c>
      <c r="B20" s="5">
        <v>1</v>
      </c>
      <c r="C20" s="5">
        <v>8.4499999999999993</v>
      </c>
      <c r="D20" s="5">
        <v>38</v>
      </c>
      <c r="E20" s="5">
        <v>2190</v>
      </c>
      <c r="F20" s="5">
        <v>64.7</v>
      </c>
      <c r="G20" s="5">
        <v>5.48</v>
      </c>
      <c r="H20" s="5">
        <v>3.2</v>
      </c>
      <c r="I20" s="5">
        <v>90</v>
      </c>
      <c r="J20" s="5">
        <v>2.89</v>
      </c>
      <c r="K20" s="5">
        <v>550</v>
      </c>
      <c r="L20" s="5">
        <v>500</v>
      </c>
      <c r="M20" s="5">
        <v>3</v>
      </c>
      <c r="N20" s="5">
        <v>34</v>
      </c>
      <c r="O20" s="11">
        <v>5.9572074947770597</v>
      </c>
      <c r="P20" s="5">
        <v>5.0511993241046778E-2</v>
      </c>
      <c r="Q20" s="5">
        <v>0.30091042471169199</v>
      </c>
      <c r="R20" s="5">
        <v>57.148853527222492</v>
      </c>
      <c r="S20" s="5">
        <v>73.187480567372148</v>
      </c>
      <c r="T20" s="5">
        <v>29.577256703804881</v>
      </c>
      <c r="U20" s="5">
        <v>4800</v>
      </c>
      <c r="V20" s="5">
        <v>83.234439655213578</v>
      </c>
      <c r="W20" s="11">
        <v>91.677025</v>
      </c>
      <c r="X20" s="5">
        <v>18.773049999999991</v>
      </c>
      <c r="Y20" s="5">
        <v>57.142085501532307</v>
      </c>
      <c r="Z20" s="11">
        <f t="shared" si="1"/>
        <v>60.738812349662979</v>
      </c>
      <c r="AM20" s="13">
        <f t="shared" si="2"/>
        <v>-2.1666666666666501</v>
      </c>
      <c r="AN20" s="13">
        <f t="shared" si="3"/>
        <v>0</v>
      </c>
      <c r="AO20" s="13">
        <f t="shared" si="4"/>
        <v>-0.33266666666666728</v>
      </c>
      <c r="AP20" s="13">
        <f t="shared" si="5"/>
        <v>0.51999999999999602</v>
      </c>
      <c r="AQ20" s="13">
        <f t="shared" si="6"/>
        <v>0</v>
      </c>
      <c r="AR20" s="13">
        <f t="shared" si="7"/>
        <v>0.21999999999999978</v>
      </c>
      <c r="AS20" s="13">
        <f t="shared" si="8"/>
        <v>0</v>
      </c>
      <c r="AT20" s="13">
        <f t="shared" si="9"/>
        <v>5.9999999999999609E-2</v>
      </c>
      <c r="AU20" s="13">
        <f t="shared" si="10"/>
        <v>-3.1202046035805595E-2</v>
      </c>
      <c r="AV20" s="13">
        <f t="shared" si="11"/>
        <v>1.3176470588235348E-2</v>
      </c>
      <c r="AW20" s="13">
        <f t="shared" si="12"/>
        <v>0</v>
      </c>
      <c r="AX20" s="13">
        <f t="shared" si="13"/>
        <v>0</v>
      </c>
      <c r="AY20" s="13">
        <f t="shared" si="14"/>
        <v>2.2911384374999999</v>
      </c>
      <c r="AZ20" s="13">
        <f t="shared" si="15"/>
        <v>0.11794071577798297</v>
      </c>
      <c r="BB20" s="13">
        <f t="shared" si="16"/>
        <v>60.842451264468856</v>
      </c>
      <c r="BC20" s="13">
        <f t="shared" si="17"/>
        <v>60.635173434857109</v>
      </c>
      <c r="BE20" s="9" t="str">
        <f t="shared" si="18"/>
        <v>461281</v>
      </c>
    </row>
    <row r="21" spans="1:57" hidden="1" x14ac:dyDescent="0.3">
      <c r="A21" s="4">
        <v>46128</v>
      </c>
      <c r="B21" s="5">
        <v>3</v>
      </c>
      <c r="C21" s="5">
        <v>8.48</v>
      </c>
      <c r="D21" s="5">
        <v>39</v>
      </c>
      <c r="E21" s="5">
        <v>2180</v>
      </c>
      <c r="F21" s="5">
        <v>65.11</v>
      </c>
      <c r="G21" s="5">
        <v>5.51</v>
      </c>
      <c r="H21" s="5">
        <v>3.3</v>
      </c>
      <c r="I21" s="5">
        <v>90</v>
      </c>
      <c r="J21" s="5">
        <v>2.94</v>
      </c>
      <c r="K21" s="5">
        <v>550</v>
      </c>
      <c r="L21" s="5">
        <v>500</v>
      </c>
      <c r="M21" s="5">
        <v>2.8</v>
      </c>
      <c r="N21" s="5">
        <v>37</v>
      </c>
      <c r="O21" s="11">
        <v>6.5235568957869194</v>
      </c>
      <c r="P21" s="5">
        <v>6.652806798536022E-2</v>
      </c>
      <c r="Q21" s="5">
        <v>0.4339996366692776</v>
      </c>
      <c r="R21" s="5">
        <v>57.281590469057967</v>
      </c>
      <c r="S21" s="5">
        <v>68.837472152576552</v>
      </c>
      <c r="T21" s="5">
        <v>30.188820198128202</v>
      </c>
      <c r="U21" s="5">
        <v>4800</v>
      </c>
      <c r="V21" s="5">
        <v>83.173934151345591</v>
      </c>
      <c r="W21" s="11">
        <v>117.241974789916</v>
      </c>
      <c r="X21" s="5">
        <v>18.205571428571421</v>
      </c>
      <c r="Y21" s="5">
        <v>57.076141771439758</v>
      </c>
      <c r="Z21" s="11">
        <f t="shared" si="1"/>
        <v>61.007357037882869</v>
      </c>
      <c r="AM21" s="13">
        <f t="shared" si="2"/>
        <v>-2.6666666666666692</v>
      </c>
      <c r="AN21" s="13">
        <f t="shared" si="3"/>
        <v>0</v>
      </c>
      <c r="AO21" s="13">
        <f t="shared" si="4"/>
        <v>-0.26600000000000062</v>
      </c>
      <c r="AP21" s="13">
        <f t="shared" si="5"/>
        <v>0.92999999999999261</v>
      </c>
      <c r="AQ21" s="13">
        <f t="shared" si="6"/>
        <v>0</v>
      </c>
      <c r="AR21" s="13">
        <f t="shared" si="7"/>
        <v>2.0000000000000462E-2</v>
      </c>
      <c r="AS21" s="13">
        <f t="shared" si="8"/>
        <v>0</v>
      </c>
      <c r="AT21" s="13">
        <f t="shared" si="9"/>
        <v>-4.0000000000000036E-2</v>
      </c>
      <c r="AU21" s="13">
        <f t="shared" si="10"/>
        <v>-3.1202046035805595E-2</v>
      </c>
      <c r="AV21" s="13">
        <f t="shared" si="11"/>
        <v>1.3176470588235348E-2</v>
      </c>
      <c r="AW21" s="13">
        <f t="shared" si="12"/>
        <v>0</v>
      </c>
      <c r="AX21" s="13">
        <f t="shared" si="13"/>
        <v>0</v>
      </c>
      <c r="AY21" s="13">
        <f t="shared" si="14"/>
        <v>3.24982405462185</v>
      </c>
      <c r="AZ21" s="13">
        <f t="shared" si="15"/>
        <v>-4.3873398796262668E-2</v>
      </c>
      <c r="BB21" s="13">
        <f t="shared" si="16"/>
        <v>61.448669621986085</v>
      </c>
      <c r="BC21" s="13">
        <f t="shared" si="17"/>
        <v>60.566044453779647</v>
      </c>
      <c r="BE21" s="9" t="str">
        <f t="shared" si="18"/>
        <v>461283</v>
      </c>
    </row>
    <row r="22" spans="1:57" hidden="1" x14ac:dyDescent="0.3">
      <c r="A22" s="4">
        <v>46129</v>
      </c>
      <c r="B22" s="5">
        <v>1</v>
      </c>
      <c r="C22" s="5">
        <v>8.48</v>
      </c>
      <c r="D22" s="5">
        <v>39</v>
      </c>
      <c r="E22" s="5">
        <v>2210</v>
      </c>
      <c r="F22" s="5">
        <v>65.11</v>
      </c>
      <c r="G22" s="5">
        <v>5.51</v>
      </c>
      <c r="H22" s="5">
        <v>3.3</v>
      </c>
      <c r="I22" s="5">
        <v>90</v>
      </c>
      <c r="J22" s="5">
        <v>2.94</v>
      </c>
      <c r="K22" s="5">
        <v>570</v>
      </c>
      <c r="L22" s="5">
        <v>510</v>
      </c>
      <c r="M22" s="5">
        <v>2.8</v>
      </c>
      <c r="N22" s="5">
        <v>44</v>
      </c>
      <c r="O22" s="11">
        <v>5.9666049862469333</v>
      </c>
      <c r="P22" s="5">
        <v>6.3499244154018836E-2</v>
      </c>
      <c r="Q22" s="5">
        <v>0.3788749067922802</v>
      </c>
      <c r="R22" s="5">
        <v>57.099759423357341</v>
      </c>
      <c r="S22" s="5">
        <v>68.36603191338024</v>
      </c>
      <c r="T22" s="5">
        <v>30.184816745945469</v>
      </c>
      <c r="U22" s="5">
        <v>4800</v>
      </c>
      <c r="V22" s="5">
        <v>83.162904162619796</v>
      </c>
      <c r="W22" s="11">
        <v>112.12196666666669</v>
      </c>
      <c r="X22" s="5">
        <v>18.113440000000001</v>
      </c>
      <c r="Y22" s="5">
        <v>57.082588745849172</v>
      </c>
      <c r="Z22" s="11">
        <f t="shared" si="1"/>
        <v>60.600083833299138</v>
      </c>
      <c r="AM22" s="13">
        <f t="shared" si="2"/>
        <v>-2.6666666666666692</v>
      </c>
      <c r="AN22" s="13">
        <f t="shared" si="3"/>
        <v>0</v>
      </c>
      <c r="AO22" s="13">
        <f t="shared" si="4"/>
        <v>-0.46600000000000058</v>
      </c>
      <c r="AP22" s="13">
        <f t="shared" si="5"/>
        <v>0.92999999999999261</v>
      </c>
      <c r="AQ22" s="13">
        <f t="shared" si="6"/>
        <v>0</v>
      </c>
      <c r="AR22" s="13">
        <f t="shared" si="7"/>
        <v>2.0000000000000462E-2</v>
      </c>
      <c r="AS22" s="13">
        <f t="shared" si="8"/>
        <v>0</v>
      </c>
      <c r="AT22" s="13">
        <f t="shared" si="9"/>
        <v>-4.0000000000000036E-2</v>
      </c>
      <c r="AU22" s="13">
        <f t="shared" si="10"/>
        <v>-0.159079283887468</v>
      </c>
      <c r="AV22" s="13">
        <f t="shared" si="11"/>
        <v>-0.10447058823529407</v>
      </c>
      <c r="AW22" s="13">
        <f t="shared" si="12"/>
        <v>0</v>
      </c>
      <c r="AX22" s="13">
        <f t="shared" si="13"/>
        <v>0</v>
      </c>
      <c r="AY22" s="13">
        <f t="shared" si="14"/>
        <v>3.0578237500000012</v>
      </c>
      <c r="AZ22" s="13">
        <f t="shared" si="15"/>
        <v>0.11525571821516196</v>
      </c>
      <c r="BB22" s="13">
        <f t="shared" si="16"/>
        <v>60.788433877935574</v>
      </c>
      <c r="BC22" s="13">
        <f t="shared" si="17"/>
        <v>60.411733788662708</v>
      </c>
      <c r="BE22" s="9" t="str">
        <f t="shared" si="18"/>
        <v>461291</v>
      </c>
    </row>
    <row r="23" spans="1:57" hidden="1" x14ac:dyDescent="0.3">
      <c r="A23" s="4">
        <v>46130</v>
      </c>
      <c r="B23" s="5">
        <v>1</v>
      </c>
      <c r="C23" s="5">
        <v>8.52</v>
      </c>
      <c r="D23" s="5">
        <v>38</v>
      </c>
      <c r="E23" s="5">
        <v>2190</v>
      </c>
      <c r="F23" s="5">
        <v>65.209999999999994</v>
      </c>
      <c r="G23" s="5">
        <v>5.46</v>
      </c>
      <c r="H23" s="5">
        <v>3.2</v>
      </c>
      <c r="I23" s="5">
        <v>90</v>
      </c>
      <c r="J23" s="5">
        <v>2.84</v>
      </c>
      <c r="K23" s="5">
        <v>560</v>
      </c>
      <c r="L23" s="5">
        <v>500</v>
      </c>
      <c r="M23" s="5">
        <v>2.8</v>
      </c>
      <c r="N23" s="5">
        <v>39</v>
      </c>
      <c r="O23" s="11">
        <v>5.9759716947023103</v>
      </c>
      <c r="P23" s="5">
        <v>5.8144933242979042E-2</v>
      </c>
      <c r="Q23" s="5">
        <v>0.34747247525039809</v>
      </c>
      <c r="R23" s="5">
        <v>57.137931885423541</v>
      </c>
      <c r="S23" s="5">
        <v>71.622851205852825</v>
      </c>
      <c r="T23" s="5">
        <v>30.205009491681579</v>
      </c>
      <c r="U23" s="5">
        <v>4800</v>
      </c>
      <c r="V23" s="5">
        <v>83.218537636989794</v>
      </c>
      <c r="W23" s="11">
        <v>102.6263678571429</v>
      </c>
      <c r="X23" s="5">
        <v>18.115303571428569</v>
      </c>
      <c r="Y23" s="5">
        <v>57.155293942164747</v>
      </c>
      <c r="Z23" s="11">
        <f t="shared" si="1"/>
        <v>60.269523839430462</v>
      </c>
      <c r="AM23" s="13">
        <f t="shared" si="2"/>
        <v>-3.3333333333333215</v>
      </c>
      <c r="AN23" s="13">
        <f t="shared" si="3"/>
        <v>0</v>
      </c>
      <c r="AO23" s="13">
        <f t="shared" si="4"/>
        <v>-0.33266666666666728</v>
      </c>
      <c r="AP23" s="13">
        <f t="shared" si="5"/>
        <v>1.0299999999999869</v>
      </c>
      <c r="AQ23" s="13">
        <f t="shared" si="6"/>
        <v>0</v>
      </c>
      <c r="AR23" s="13">
        <f t="shared" si="7"/>
        <v>0.21999999999999978</v>
      </c>
      <c r="AS23" s="13">
        <f t="shared" si="8"/>
        <v>0</v>
      </c>
      <c r="AT23" s="13">
        <f t="shared" si="9"/>
        <v>0.16000000000000014</v>
      </c>
      <c r="AU23" s="13">
        <f t="shared" si="10"/>
        <v>-9.5140664961636798E-2</v>
      </c>
      <c r="AV23" s="13">
        <f t="shared" si="11"/>
        <v>1.3176470588235348E-2</v>
      </c>
      <c r="AW23" s="13">
        <f t="shared" si="12"/>
        <v>0</v>
      </c>
      <c r="AX23" s="13">
        <f t="shared" si="13"/>
        <v>0</v>
      </c>
      <c r="AY23" s="13">
        <f t="shared" si="14"/>
        <v>2.7017387946428588</v>
      </c>
      <c r="AZ23" s="13">
        <f t="shared" si="15"/>
        <v>0.11257951579933996</v>
      </c>
      <c r="BB23" s="13">
        <f t="shared" si="16"/>
        <v>60.616097713020636</v>
      </c>
      <c r="BC23" s="13">
        <f t="shared" si="17"/>
        <v>59.922949965840289</v>
      </c>
      <c r="BE23" s="9" t="str">
        <f t="shared" si="18"/>
        <v>461301</v>
      </c>
    </row>
    <row r="24" spans="1:57" hidden="1" x14ac:dyDescent="0.3">
      <c r="A24" s="4">
        <v>46130</v>
      </c>
      <c r="B24" s="5">
        <v>3</v>
      </c>
      <c r="C24" s="5">
        <v>8.48</v>
      </c>
      <c r="D24" s="5">
        <v>42</v>
      </c>
      <c r="E24" s="5">
        <v>1980</v>
      </c>
      <c r="F24" s="5">
        <v>65.150000000000006</v>
      </c>
      <c r="G24" s="5">
        <v>5.36</v>
      </c>
      <c r="H24" s="5">
        <v>3.5</v>
      </c>
      <c r="I24" s="5">
        <v>99</v>
      </c>
      <c r="J24" s="5">
        <v>2.7</v>
      </c>
      <c r="K24" s="5">
        <v>510</v>
      </c>
      <c r="L24" s="5">
        <v>490</v>
      </c>
      <c r="M24" s="5">
        <v>3</v>
      </c>
      <c r="N24" s="5">
        <v>43</v>
      </c>
      <c r="O24" s="11">
        <v>5.4918570844466714</v>
      </c>
      <c r="P24" s="5">
        <v>7.0964633274453987E-2</v>
      </c>
      <c r="Q24" s="5">
        <v>0.38972762399347011</v>
      </c>
      <c r="R24" s="5">
        <v>56.967462479108889</v>
      </c>
      <c r="S24" s="5">
        <v>66.248267948760613</v>
      </c>
      <c r="T24" s="5">
        <v>29.80337437055557</v>
      </c>
      <c r="U24" s="5">
        <v>4800</v>
      </c>
      <c r="V24" s="5">
        <v>74.122009304321892</v>
      </c>
      <c r="W24" s="11">
        <v>123.0049047619048</v>
      </c>
      <c r="X24" s="5">
        <v>17.949523809523811</v>
      </c>
      <c r="Y24" s="5">
        <v>56.95855052668459</v>
      </c>
      <c r="Z24" s="11">
        <f t="shared" si="1"/>
        <v>62.383597733608092</v>
      </c>
      <c r="AM24" s="13">
        <f t="shared" si="2"/>
        <v>-2.6666666666666692</v>
      </c>
      <c r="AN24" s="13">
        <f t="shared" si="3"/>
        <v>0</v>
      </c>
      <c r="AO24" s="13">
        <f t="shared" si="4"/>
        <v>1.0673333333333328</v>
      </c>
      <c r="AP24" s="13">
        <f t="shared" si="5"/>
        <v>0.96999999999999886</v>
      </c>
      <c r="AQ24" s="13">
        <f t="shared" si="6"/>
        <v>0</v>
      </c>
      <c r="AR24" s="13">
        <f t="shared" si="7"/>
        <v>-0.37999999999999989</v>
      </c>
      <c r="AS24" s="13">
        <f t="shared" si="8"/>
        <v>0</v>
      </c>
      <c r="AT24" s="13">
        <f t="shared" si="9"/>
        <v>0.43999999999999956</v>
      </c>
      <c r="AU24" s="13">
        <f t="shared" si="10"/>
        <v>0.2245524296675192</v>
      </c>
      <c r="AV24" s="13">
        <f t="shared" si="11"/>
        <v>0.13082352941176478</v>
      </c>
      <c r="AW24" s="13">
        <f t="shared" si="12"/>
        <v>0</v>
      </c>
      <c r="AX24" s="13">
        <f t="shared" si="13"/>
        <v>0</v>
      </c>
      <c r="AY24" s="13">
        <f t="shared" si="14"/>
        <v>3.4659339285714297</v>
      </c>
      <c r="AZ24" s="13">
        <f t="shared" si="15"/>
        <v>0.25089797587237961</v>
      </c>
      <c r="BB24" s="13">
        <f t="shared" si="16"/>
        <v>63.472132141192787</v>
      </c>
      <c r="BC24" s="13">
        <f t="shared" si="17"/>
        <v>61.295063326023396</v>
      </c>
      <c r="BE24" s="9" t="str">
        <f t="shared" si="18"/>
        <v>461303</v>
      </c>
    </row>
    <row r="25" spans="1:57" hidden="1" x14ac:dyDescent="0.3">
      <c r="A25" s="4">
        <v>46131</v>
      </c>
      <c r="B25" s="5">
        <v>1</v>
      </c>
      <c r="C25" s="5">
        <v>8.48</v>
      </c>
      <c r="D25" s="5">
        <v>41</v>
      </c>
      <c r="E25" s="5">
        <v>2050</v>
      </c>
      <c r="F25" s="5">
        <v>65.150000000000006</v>
      </c>
      <c r="G25" s="5">
        <v>5.36</v>
      </c>
      <c r="H25" s="5">
        <v>3.4</v>
      </c>
      <c r="I25" s="5">
        <v>90</v>
      </c>
      <c r="J25" s="5">
        <v>2.7</v>
      </c>
      <c r="K25" s="5">
        <v>540</v>
      </c>
      <c r="L25" s="5">
        <v>500</v>
      </c>
      <c r="M25" s="5">
        <v>3</v>
      </c>
      <c r="N25" s="5">
        <v>45</v>
      </c>
      <c r="O25" s="11">
        <v>6.3434853493276702</v>
      </c>
      <c r="P25" s="5">
        <v>6.1075302486985977E-2</v>
      </c>
      <c r="Q25" s="5">
        <v>0.38743028653195138</v>
      </c>
      <c r="R25" s="5">
        <v>57.100488063109083</v>
      </c>
      <c r="S25" s="5">
        <v>68.741327615435324</v>
      </c>
      <c r="T25" s="5">
        <v>29.874288156022459</v>
      </c>
      <c r="U25" s="5">
        <v>4800</v>
      </c>
      <c r="V25" s="5">
        <v>83.163981292970803</v>
      </c>
      <c r="W25" s="11">
        <v>111.0104</v>
      </c>
      <c r="X25" s="5">
        <v>18.85942857142857</v>
      </c>
      <c r="Y25" s="5">
        <v>57.083089350397287</v>
      </c>
      <c r="Z25" s="11">
        <f t="shared" si="1"/>
        <v>61.535381927552095</v>
      </c>
      <c r="AM25" s="13">
        <f t="shared" si="2"/>
        <v>-2.6666666666666692</v>
      </c>
      <c r="AN25" s="13">
        <f t="shared" si="3"/>
        <v>0</v>
      </c>
      <c r="AO25" s="13">
        <f t="shared" si="4"/>
        <v>0.60066666666666602</v>
      </c>
      <c r="AP25" s="13">
        <f t="shared" si="5"/>
        <v>0.96999999999999886</v>
      </c>
      <c r="AQ25" s="13">
        <f t="shared" si="6"/>
        <v>0</v>
      </c>
      <c r="AR25" s="13">
        <f t="shared" si="7"/>
        <v>-0.17999999999999969</v>
      </c>
      <c r="AS25" s="13">
        <f t="shared" si="8"/>
        <v>0</v>
      </c>
      <c r="AT25" s="13">
        <f t="shared" si="9"/>
        <v>0.43999999999999956</v>
      </c>
      <c r="AU25" s="13">
        <f t="shared" si="10"/>
        <v>3.27365728900256E-2</v>
      </c>
      <c r="AV25" s="13">
        <f t="shared" si="11"/>
        <v>1.3176470588235348E-2</v>
      </c>
      <c r="AW25" s="13">
        <f t="shared" si="12"/>
        <v>0</v>
      </c>
      <c r="AX25" s="13">
        <f t="shared" si="13"/>
        <v>0</v>
      </c>
      <c r="AY25" s="13">
        <f t="shared" si="14"/>
        <v>3.01614</v>
      </c>
      <c r="AZ25" s="13">
        <f t="shared" si="15"/>
        <v>7.5756144778085554E-3</v>
      </c>
      <c r="BB25" s="13">
        <f t="shared" si="16"/>
        <v>62.336002852535444</v>
      </c>
      <c r="BC25" s="13">
        <f t="shared" si="17"/>
        <v>60.734761002568746</v>
      </c>
      <c r="BE25" s="9" t="str">
        <f t="shared" si="18"/>
        <v>461311</v>
      </c>
    </row>
    <row r="26" spans="1:57" hidden="1" x14ac:dyDescent="0.3">
      <c r="A26" s="4">
        <v>46133</v>
      </c>
      <c r="B26" s="5">
        <v>1</v>
      </c>
      <c r="C26" s="5">
        <v>8.44</v>
      </c>
      <c r="D26" s="5">
        <v>41</v>
      </c>
      <c r="E26" s="5">
        <v>2090</v>
      </c>
      <c r="F26" s="5">
        <v>65.58</v>
      </c>
      <c r="G26" s="5">
        <v>5.3</v>
      </c>
      <c r="H26" s="5">
        <v>3.4</v>
      </c>
      <c r="I26" s="5">
        <v>96</v>
      </c>
      <c r="J26" s="5">
        <v>2.63</v>
      </c>
      <c r="K26" s="5">
        <v>530</v>
      </c>
      <c r="L26" s="5">
        <v>490</v>
      </c>
      <c r="M26" s="5">
        <v>2.8</v>
      </c>
      <c r="N26" s="5">
        <v>45</v>
      </c>
      <c r="O26" s="11">
        <v>5.9657123837698984</v>
      </c>
      <c r="P26" s="5">
        <v>6.2491064750397847E-2</v>
      </c>
      <c r="Q26" s="5">
        <v>0.372803718856415</v>
      </c>
      <c r="R26" s="5">
        <v>57.0755057674208</v>
      </c>
      <c r="S26" s="5">
        <v>66.300369768026414</v>
      </c>
      <c r="T26" s="5">
        <v>30.172008801486889</v>
      </c>
      <c r="U26" s="5">
        <v>4800</v>
      </c>
      <c r="V26" s="5">
        <v>83.127610908084037</v>
      </c>
      <c r="W26" s="11">
        <v>111.7232341772152</v>
      </c>
      <c r="X26" s="5">
        <v>18.553405063291141</v>
      </c>
      <c r="Y26" s="5">
        <v>57.04343490547906</v>
      </c>
      <c r="Z26" s="11">
        <f t="shared" si="1"/>
        <v>62.648794848170496</v>
      </c>
      <c r="AM26" s="13">
        <f t="shared" si="2"/>
        <v>-1.9999999999999871</v>
      </c>
      <c r="AN26" s="13">
        <f t="shared" si="3"/>
        <v>0</v>
      </c>
      <c r="AO26" s="13">
        <f t="shared" si="4"/>
        <v>0.33399999999999941</v>
      </c>
      <c r="AP26" s="13">
        <f t="shared" si="5"/>
        <v>1.3999999999999915</v>
      </c>
      <c r="AQ26" s="13">
        <f t="shared" si="6"/>
        <v>0</v>
      </c>
      <c r="AR26" s="13">
        <f t="shared" si="7"/>
        <v>-0.17999999999999969</v>
      </c>
      <c r="AS26" s="13">
        <f t="shared" si="8"/>
        <v>0</v>
      </c>
      <c r="AT26" s="13">
        <f t="shared" si="9"/>
        <v>0.58000000000000007</v>
      </c>
      <c r="AU26" s="13">
        <f t="shared" si="10"/>
        <v>9.6675191815856806E-2</v>
      </c>
      <c r="AV26" s="13">
        <f t="shared" si="11"/>
        <v>0.13082352941176478</v>
      </c>
      <c r="AW26" s="13">
        <f t="shared" si="12"/>
        <v>0</v>
      </c>
      <c r="AX26" s="13">
        <f t="shared" si="13"/>
        <v>0</v>
      </c>
      <c r="AY26" s="13">
        <f t="shared" si="14"/>
        <v>3.0428712816455699</v>
      </c>
      <c r="AZ26" s="13">
        <f t="shared" si="15"/>
        <v>0.11551074749431477</v>
      </c>
      <c r="BB26" s="13">
        <f t="shared" si="16"/>
        <v>63.597242043847245</v>
      </c>
      <c r="BC26" s="13">
        <f t="shared" si="17"/>
        <v>61.700347652493754</v>
      </c>
      <c r="BE26" s="9" t="str">
        <f t="shared" si="18"/>
        <v>461331</v>
      </c>
    </row>
    <row r="27" spans="1:57" hidden="1" x14ac:dyDescent="0.3">
      <c r="A27" s="4">
        <v>46134</v>
      </c>
      <c r="B27" s="5">
        <v>1</v>
      </c>
      <c r="C27" s="5">
        <v>8.4700000000000006</v>
      </c>
      <c r="D27" s="5">
        <v>40</v>
      </c>
      <c r="E27" s="5">
        <v>2110</v>
      </c>
      <c r="F27" s="5">
        <v>64.900000000000006</v>
      </c>
      <c r="G27" s="5">
        <v>5.41</v>
      </c>
      <c r="H27" s="5">
        <v>3.4</v>
      </c>
      <c r="I27" s="5">
        <v>93</v>
      </c>
      <c r="J27" s="5">
        <v>2.68</v>
      </c>
      <c r="K27" s="5">
        <v>540</v>
      </c>
      <c r="L27" s="5">
        <v>490</v>
      </c>
      <c r="M27" s="5">
        <v>2.8</v>
      </c>
      <c r="N27" s="5">
        <v>38</v>
      </c>
      <c r="O27" s="11">
        <v>5.736688583345626</v>
      </c>
      <c r="P27" s="5">
        <v>6.3948384944315081E-2</v>
      </c>
      <c r="Q27" s="5">
        <v>0.36685196983344359</v>
      </c>
      <c r="R27" s="5">
        <v>57.118651582558392</v>
      </c>
      <c r="S27" s="5">
        <v>72.016196920311856</v>
      </c>
      <c r="T27" s="5">
        <v>29.717395141607629</v>
      </c>
      <c r="U27" s="5">
        <v>4800</v>
      </c>
      <c r="V27" s="5">
        <v>81.630687800396771</v>
      </c>
      <c r="W27" s="11">
        <v>110.2739716981132</v>
      </c>
      <c r="X27" s="5">
        <v>17.868037735849061</v>
      </c>
      <c r="Y27" s="5">
        <v>57.096983510324478</v>
      </c>
      <c r="Z27" s="11">
        <f t="shared" si="1"/>
        <v>61.637556257565855</v>
      </c>
      <c r="AM27" s="13">
        <f t="shared" si="2"/>
        <v>-2.5000000000000062</v>
      </c>
      <c r="AN27" s="13">
        <f t="shared" si="3"/>
        <v>0</v>
      </c>
      <c r="AO27" s="13">
        <f t="shared" si="4"/>
        <v>0.20066666666666605</v>
      </c>
      <c r="AP27" s="13">
        <f t="shared" si="5"/>
        <v>0.71999999999999875</v>
      </c>
      <c r="AQ27" s="13">
        <f t="shared" si="6"/>
        <v>0</v>
      </c>
      <c r="AR27" s="13">
        <f t="shared" si="7"/>
        <v>-0.17999999999999969</v>
      </c>
      <c r="AS27" s="13">
        <f t="shared" si="8"/>
        <v>0</v>
      </c>
      <c r="AT27" s="13">
        <f t="shared" si="9"/>
        <v>0.47999999999999959</v>
      </c>
      <c r="AU27" s="13">
        <f t="shared" si="10"/>
        <v>3.27365728900256E-2</v>
      </c>
      <c r="AV27" s="13">
        <f t="shared" si="11"/>
        <v>0.13082352941176478</v>
      </c>
      <c r="AW27" s="13">
        <f t="shared" si="12"/>
        <v>0</v>
      </c>
      <c r="AX27" s="13">
        <f t="shared" si="13"/>
        <v>0</v>
      </c>
      <c r="AY27" s="13">
        <f t="shared" si="14"/>
        <v>2.9885239386792448</v>
      </c>
      <c r="AZ27" s="13">
        <f t="shared" si="15"/>
        <v>0.18094611904410687</v>
      </c>
      <c r="BB27" s="13">
        <f t="shared" si="16"/>
        <v>62.174135391722025</v>
      </c>
      <c r="BC27" s="13">
        <f t="shared" si="17"/>
        <v>61.100977123409685</v>
      </c>
      <c r="BE27" s="9" t="str">
        <f t="shared" si="18"/>
        <v>461341</v>
      </c>
    </row>
    <row r="28" spans="1:57" hidden="1" x14ac:dyDescent="0.3">
      <c r="A28" s="4">
        <v>46134</v>
      </c>
      <c r="B28" s="5">
        <v>1</v>
      </c>
      <c r="C28" s="5">
        <v>8.4700000000000006</v>
      </c>
      <c r="D28" s="5">
        <v>41</v>
      </c>
      <c r="E28" s="5">
        <v>2040</v>
      </c>
      <c r="F28" s="5">
        <v>64.900000000000006</v>
      </c>
      <c r="G28" s="5">
        <v>5.41</v>
      </c>
      <c r="H28" s="5">
        <v>3.4</v>
      </c>
      <c r="I28" s="5">
        <v>99</v>
      </c>
      <c r="J28" s="5">
        <v>2.68</v>
      </c>
      <c r="K28" s="5">
        <v>560</v>
      </c>
      <c r="L28" s="5">
        <v>500</v>
      </c>
      <c r="M28" s="5">
        <v>2.8</v>
      </c>
      <c r="N28" s="5">
        <v>41</v>
      </c>
      <c r="O28" s="11">
        <v>5.747622484735567</v>
      </c>
      <c r="P28" s="5">
        <v>7.2819885597397674E-2</v>
      </c>
      <c r="Q28" s="5">
        <v>0.4185412117954746</v>
      </c>
      <c r="R28" s="5">
        <v>57.042356905216693</v>
      </c>
      <c r="S28" s="5">
        <v>69.284123304926212</v>
      </c>
      <c r="T28" s="5">
        <v>28.998979721875099</v>
      </c>
      <c r="U28" s="5">
        <v>4800</v>
      </c>
      <c r="V28" s="5">
        <v>78.424718341357988</v>
      </c>
      <c r="W28" s="11">
        <v>129.68837500000001</v>
      </c>
      <c r="X28" s="5">
        <v>18.447519230769231</v>
      </c>
      <c r="Y28" s="5">
        <v>57.031249642644497</v>
      </c>
      <c r="Z28" s="11">
        <f t="shared" si="1"/>
        <v>62.338148657064863</v>
      </c>
      <c r="AM28" s="13">
        <f t="shared" si="2"/>
        <v>-2.5000000000000062</v>
      </c>
      <c r="AN28" s="13">
        <f t="shared" si="3"/>
        <v>0</v>
      </c>
      <c r="AO28" s="13">
        <f t="shared" si="4"/>
        <v>0.66733333333333278</v>
      </c>
      <c r="AP28" s="13">
        <f t="shared" si="5"/>
        <v>0.71999999999999875</v>
      </c>
      <c r="AQ28" s="13">
        <f t="shared" si="6"/>
        <v>0</v>
      </c>
      <c r="AR28" s="13">
        <f t="shared" si="7"/>
        <v>-0.17999999999999969</v>
      </c>
      <c r="AS28" s="13">
        <f t="shared" si="8"/>
        <v>0</v>
      </c>
      <c r="AT28" s="13">
        <f t="shared" si="9"/>
        <v>0.47999999999999959</v>
      </c>
      <c r="AU28" s="13">
        <f t="shared" si="10"/>
        <v>-9.5140664961636798E-2</v>
      </c>
      <c r="AV28" s="13">
        <f t="shared" si="11"/>
        <v>1.3176470588235348E-2</v>
      </c>
      <c r="AW28" s="13">
        <f t="shared" si="12"/>
        <v>0</v>
      </c>
      <c r="AX28" s="13">
        <f t="shared" si="13"/>
        <v>0</v>
      </c>
      <c r="AY28" s="13">
        <f t="shared" si="14"/>
        <v>3.7165640625000003</v>
      </c>
      <c r="AZ28" s="13">
        <f t="shared" si="15"/>
        <v>0.17782214721840944</v>
      </c>
      <c r="BB28" s="13">
        <f t="shared" si="16"/>
        <v>63.043957190311744</v>
      </c>
      <c r="BC28" s="13">
        <f t="shared" si="17"/>
        <v>61.632340123817983</v>
      </c>
      <c r="BE28" s="9" t="str">
        <f t="shared" si="18"/>
        <v>461341</v>
      </c>
    </row>
    <row r="29" spans="1:57" hidden="1" x14ac:dyDescent="0.3">
      <c r="A29" s="4">
        <v>46135</v>
      </c>
      <c r="B29" s="5">
        <v>1</v>
      </c>
      <c r="C29" s="5">
        <v>8.43</v>
      </c>
      <c r="D29" s="5">
        <v>45</v>
      </c>
      <c r="E29" s="5">
        <v>1940</v>
      </c>
      <c r="F29" s="5">
        <v>66.17</v>
      </c>
      <c r="G29" s="5">
        <v>5.38</v>
      </c>
      <c r="H29" s="5">
        <v>3.5</v>
      </c>
      <c r="I29" s="5">
        <v>102</v>
      </c>
      <c r="J29" s="5">
        <v>2.56</v>
      </c>
      <c r="K29" s="5">
        <v>520</v>
      </c>
      <c r="L29" s="5">
        <v>490</v>
      </c>
      <c r="M29" s="5">
        <v>2.7</v>
      </c>
      <c r="N29" s="5">
        <v>42</v>
      </c>
      <c r="O29" s="11">
        <v>5.747622484735567</v>
      </c>
      <c r="P29" s="5">
        <v>7.2819885597397674E-2</v>
      </c>
      <c r="Q29" s="5">
        <v>0.4185412117954746</v>
      </c>
      <c r="R29" s="5">
        <v>56.996534576499478</v>
      </c>
      <c r="S29" s="5">
        <v>63.159176819329623</v>
      </c>
      <c r="T29" s="5">
        <v>30.130260310338151</v>
      </c>
      <c r="U29" s="5">
        <v>4800</v>
      </c>
      <c r="V29" s="5">
        <v>79.420333995681418</v>
      </c>
      <c r="W29" s="11">
        <v>129.68837500000001</v>
      </c>
      <c r="X29" s="5">
        <v>18.447519230769231</v>
      </c>
      <c r="Y29" s="5">
        <v>56.94117158218684</v>
      </c>
      <c r="Z29" s="11">
        <f t="shared" si="1"/>
        <v>64.25977646759253</v>
      </c>
      <c r="AM29" s="13">
        <f t="shared" si="2"/>
        <v>-1.8333333333333239</v>
      </c>
      <c r="AN29" s="13">
        <f t="shared" si="3"/>
        <v>0</v>
      </c>
      <c r="AO29" s="13">
        <f t="shared" si="4"/>
        <v>1.3339999999999994</v>
      </c>
      <c r="AP29" s="13">
        <f t="shared" si="5"/>
        <v>1.9899999999999951</v>
      </c>
      <c r="AQ29" s="13">
        <f t="shared" si="6"/>
        <v>0</v>
      </c>
      <c r="AR29" s="13">
        <f t="shared" si="7"/>
        <v>-0.37999999999999989</v>
      </c>
      <c r="AS29" s="13">
        <f t="shared" si="8"/>
        <v>0</v>
      </c>
      <c r="AT29" s="13">
        <f t="shared" si="9"/>
        <v>0.71999999999999975</v>
      </c>
      <c r="AU29" s="13">
        <f t="shared" si="10"/>
        <v>0.16061381074168801</v>
      </c>
      <c r="AV29" s="13">
        <f t="shared" si="11"/>
        <v>0.13082352941176478</v>
      </c>
      <c r="AW29" s="13">
        <f t="shared" si="12"/>
        <v>0</v>
      </c>
      <c r="AX29" s="13">
        <f t="shared" si="13"/>
        <v>0</v>
      </c>
      <c r="AY29" s="13">
        <f t="shared" si="14"/>
        <v>3.7165640625000003</v>
      </c>
      <c r="AZ29" s="13">
        <f t="shared" si="15"/>
        <v>0.17782214721840944</v>
      </c>
      <c r="BB29" s="13">
        <f t="shared" si="16"/>
        <v>66.01486972945473</v>
      </c>
      <c r="BC29" s="13">
        <f t="shared" si="17"/>
        <v>62.504683205730338</v>
      </c>
      <c r="BE29" s="9" t="str">
        <f t="shared" si="18"/>
        <v>461351</v>
      </c>
    </row>
    <row r="30" spans="1:57" hidden="1" x14ac:dyDescent="0.3">
      <c r="A30" s="4">
        <v>46135</v>
      </c>
      <c r="B30" s="5">
        <v>3</v>
      </c>
      <c r="C30" s="5">
        <v>8.44</v>
      </c>
      <c r="D30" s="5">
        <v>41</v>
      </c>
      <c r="E30" s="5">
        <v>2040</v>
      </c>
      <c r="F30" s="5">
        <v>64.83</v>
      </c>
      <c r="G30" s="5">
        <v>5.42</v>
      </c>
      <c r="H30" s="5">
        <v>3.4</v>
      </c>
      <c r="I30" s="5">
        <v>96</v>
      </c>
      <c r="J30" s="5">
        <v>2.5</v>
      </c>
      <c r="K30" s="5">
        <v>530</v>
      </c>
      <c r="L30" s="5">
        <v>500</v>
      </c>
      <c r="M30" s="5">
        <v>3.1</v>
      </c>
      <c r="N30" s="5">
        <v>41</v>
      </c>
      <c r="O30" s="11">
        <v>5.4298077975248624</v>
      </c>
      <c r="P30" s="5">
        <v>6.5215128545072484E-2</v>
      </c>
      <c r="Q30" s="5">
        <v>0.35410561349062081</v>
      </c>
      <c r="R30" s="5">
        <v>57.102560757215542</v>
      </c>
      <c r="S30" s="5">
        <v>71.86364737540454</v>
      </c>
      <c r="T30" s="5">
        <v>26.929734238919</v>
      </c>
      <c r="U30" s="5">
        <v>4800</v>
      </c>
      <c r="V30" s="5">
        <v>83.167006796716294</v>
      </c>
      <c r="W30" s="11">
        <v>112.5451991150442</v>
      </c>
      <c r="X30" s="5">
        <v>17.40511504424779</v>
      </c>
      <c r="Y30" s="5">
        <v>57.106622922332093</v>
      </c>
      <c r="Z30" s="11">
        <f t="shared" si="1"/>
        <v>62.870583929501933</v>
      </c>
      <c r="AM30" s="13">
        <f t="shared" si="2"/>
        <v>-1.9999999999999871</v>
      </c>
      <c r="AN30" s="13">
        <f t="shared" si="3"/>
        <v>0</v>
      </c>
      <c r="AO30" s="13">
        <f t="shared" si="4"/>
        <v>0.66733333333333278</v>
      </c>
      <c r="AP30" s="13">
        <f t="shared" si="5"/>
        <v>0.64999999999999147</v>
      </c>
      <c r="AQ30" s="13">
        <f t="shared" si="6"/>
        <v>0</v>
      </c>
      <c r="AR30" s="13">
        <f t="shared" si="7"/>
        <v>-0.17999999999999969</v>
      </c>
      <c r="AS30" s="13">
        <f t="shared" si="8"/>
        <v>0</v>
      </c>
      <c r="AT30" s="13">
        <f t="shared" si="9"/>
        <v>0.83999999999999986</v>
      </c>
      <c r="AU30" s="13">
        <f t="shared" si="10"/>
        <v>9.6675191815856806E-2</v>
      </c>
      <c r="AV30" s="13">
        <f t="shared" si="11"/>
        <v>1.3176470588235348E-2</v>
      </c>
      <c r="AW30" s="13">
        <f t="shared" si="12"/>
        <v>0</v>
      </c>
      <c r="AX30" s="13">
        <f t="shared" si="13"/>
        <v>0</v>
      </c>
      <c r="AY30" s="13">
        <f t="shared" si="14"/>
        <v>3.0736949668141578</v>
      </c>
      <c r="AZ30" s="13">
        <f t="shared" si="15"/>
        <v>0.26862634356432508</v>
      </c>
      <c r="BB30" s="13">
        <f t="shared" si="16"/>
        <v>63.533807748904437</v>
      </c>
      <c r="BC30" s="13">
        <f t="shared" si="17"/>
        <v>62.20736011009943</v>
      </c>
      <c r="BE30" s="9" t="str">
        <f t="shared" si="18"/>
        <v>461353</v>
      </c>
    </row>
    <row r="31" spans="1:57" hidden="1" x14ac:dyDescent="0.3">
      <c r="A31" s="4">
        <v>46136</v>
      </c>
      <c r="B31" s="5">
        <v>1</v>
      </c>
      <c r="C31" s="5">
        <v>8.44</v>
      </c>
      <c r="D31" s="5">
        <v>41</v>
      </c>
      <c r="E31" s="5">
        <v>2090</v>
      </c>
      <c r="F31" s="5">
        <v>64.83</v>
      </c>
      <c r="G31" s="5">
        <v>5.42</v>
      </c>
      <c r="H31" s="5">
        <v>3.3</v>
      </c>
      <c r="I31" s="5">
        <v>93</v>
      </c>
      <c r="J31" s="5">
        <v>2.5</v>
      </c>
      <c r="K31" s="5">
        <v>540</v>
      </c>
      <c r="L31" s="5">
        <v>500</v>
      </c>
      <c r="M31" s="5">
        <v>3.1</v>
      </c>
      <c r="N31" s="5">
        <v>37</v>
      </c>
      <c r="O31" s="11">
        <v>5.9371001595828927</v>
      </c>
      <c r="P31" s="5">
        <v>6.5555065317181666E-2</v>
      </c>
      <c r="Q31" s="5">
        <v>0.38920698875610632</v>
      </c>
      <c r="R31" s="5">
        <v>57.128820235975077</v>
      </c>
      <c r="S31" s="5">
        <v>73.784323428724107</v>
      </c>
      <c r="T31" s="5">
        <v>27.261870698328892</v>
      </c>
      <c r="U31" s="5">
        <v>4800</v>
      </c>
      <c r="V31" s="5">
        <v>83.205267320748831</v>
      </c>
      <c r="W31" s="11">
        <v>118.3318981481482</v>
      </c>
      <c r="X31" s="5">
        <v>18.091074074074079</v>
      </c>
      <c r="Y31" s="5">
        <v>57.116314398066571</v>
      </c>
      <c r="Z31" s="11">
        <f t="shared" si="1"/>
        <v>62.930083262787377</v>
      </c>
      <c r="AM31" s="13">
        <f t="shared" si="2"/>
        <v>-1.9999999999999871</v>
      </c>
      <c r="AN31" s="13">
        <f t="shared" si="3"/>
        <v>0</v>
      </c>
      <c r="AO31" s="13">
        <f t="shared" si="4"/>
        <v>0.33399999999999941</v>
      </c>
      <c r="AP31" s="13">
        <f t="shared" si="5"/>
        <v>0.64999999999999147</v>
      </c>
      <c r="AQ31" s="13">
        <f t="shared" si="6"/>
        <v>0</v>
      </c>
      <c r="AR31" s="13">
        <f t="shared" si="7"/>
        <v>2.0000000000000462E-2</v>
      </c>
      <c r="AS31" s="13">
        <f t="shared" si="8"/>
        <v>0</v>
      </c>
      <c r="AT31" s="13">
        <f t="shared" si="9"/>
        <v>0.83999999999999986</v>
      </c>
      <c r="AU31" s="13">
        <f t="shared" si="10"/>
        <v>3.27365728900256E-2</v>
      </c>
      <c r="AV31" s="13">
        <f t="shared" si="11"/>
        <v>1.3176470588235348E-2</v>
      </c>
      <c r="AW31" s="13">
        <f t="shared" si="12"/>
        <v>0</v>
      </c>
      <c r="AX31" s="13">
        <f t="shared" si="13"/>
        <v>0</v>
      </c>
      <c r="AY31" s="13">
        <f t="shared" si="14"/>
        <v>3.2906961805555577</v>
      </c>
      <c r="AZ31" s="13">
        <f t="shared" si="15"/>
        <v>0.12368566869060212</v>
      </c>
      <c r="BB31" s="13">
        <f t="shared" si="16"/>
        <v>63.434924417035738</v>
      </c>
      <c r="BC31" s="13">
        <f t="shared" si="17"/>
        <v>62.42524210853901</v>
      </c>
      <c r="BE31" s="9" t="str">
        <f t="shared" si="18"/>
        <v>461361</v>
      </c>
    </row>
    <row r="32" spans="1:57" hidden="1" x14ac:dyDescent="0.3">
      <c r="A32" s="4">
        <v>46136</v>
      </c>
      <c r="B32" s="5">
        <v>1</v>
      </c>
      <c r="C32" s="5">
        <v>8.44</v>
      </c>
      <c r="D32" s="5">
        <v>39</v>
      </c>
      <c r="E32" s="5">
        <v>2140</v>
      </c>
      <c r="F32" s="5">
        <v>64.83</v>
      </c>
      <c r="G32" s="5">
        <v>5.42</v>
      </c>
      <c r="H32" s="5">
        <v>3.3</v>
      </c>
      <c r="I32" s="5">
        <v>90</v>
      </c>
      <c r="J32" s="5">
        <v>2.5</v>
      </c>
      <c r="K32" s="5">
        <v>560</v>
      </c>
      <c r="L32" s="5">
        <v>510</v>
      </c>
      <c r="M32" s="5">
        <v>3.1</v>
      </c>
      <c r="N32" s="5">
        <v>42</v>
      </c>
      <c r="O32" s="11">
        <v>6.7033906488975159</v>
      </c>
      <c r="P32" s="5">
        <v>5.8550441467745087E-2</v>
      </c>
      <c r="Q32" s="5">
        <v>0.39248648182370383</v>
      </c>
      <c r="R32" s="5">
        <v>57.136273313748418</v>
      </c>
      <c r="S32" s="5">
        <v>73.793950953990873</v>
      </c>
      <c r="T32" s="5">
        <v>27.891634338855919</v>
      </c>
      <c r="U32" s="5">
        <v>4800</v>
      </c>
      <c r="V32" s="5">
        <v>83.216122226006959</v>
      </c>
      <c r="W32" s="11">
        <v>107.5040098039216</v>
      </c>
      <c r="X32" s="5">
        <v>18.655862745098041</v>
      </c>
      <c r="Y32" s="5">
        <v>57.120659946798689</v>
      </c>
      <c r="Z32" s="11">
        <f t="shared" si="1"/>
        <v>61.957685673912891</v>
      </c>
      <c r="AM32" s="13">
        <f t="shared" si="2"/>
        <v>-1.9999999999999871</v>
      </c>
      <c r="AN32" s="13">
        <f t="shared" si="3"/>
        <v>0</v>
      </c>
      <c r="AO32" s="13">
        <f t="shared" si="4"/>
        <v>6.6666666666606036E-4</v>
      </c>
      <c r="AP32" s="13">
        <f t="shared" si="5"/>
        <v>0.64999999999999147</v>
      </c>
      <c r="AQ32" s="13">
        <f t="shared" si="6"/>
        <v>0</v>
      </c>
      <c r="AR32" s="13">
        <f t="shared" si="7"/>
        <v>2.0000000000000462E-2</v>
      </c>
      <c r="AS32" s="13">
        <f t="shared" si="8"/>
        <v>0</v>
      </c>
      <c r="AT32" s="13">
        <f t="shared" si="9"/>
        <v>0.83999999999999986</v>
      </c>
      <c r="AU32" s="13">
        <f t="shared" si="10"/>
        <v>-9.5140664961636798E-2</v>
      </c>
      <c r="AV32" s="13">
        <f t="shared" si="11"/>
        <v>-0.10447058823529407</v>
      </c>
      <c r="AW32" s="13">
        <f t="shared" si="12"/>
        <v>0</v>
      </c>
      <c r="AX32" s="13">
        <f t="shared" si="13"/>
        <v>0</v>
      </c>
      <c r="AY32" s="13">
        <f t="shared" si="14"/>
        <v>2.8846503676470601</v>
      </c>
      <c r="AZ32" s="13">
        <f t="shared" si="15"/>
        <v>-9.5254471113575948E-2</v>
      </c>
      <c r="BB32" s="13">
        <f t="shared" si="16"/>
        <v>62.238590396603435</v>
      </c>
      <c r="BC32" s="13">
        <f t="shared" si="17"/>
        <v>61.676780951222341</v>
      </c>
      <c r="BE32" s="9" t="str">
        <f t="shared" si="18"/>
        <v>461361</v>
      </c>
    </row>
    <row r="33" spans="1:57" hidden="1" x14ac:dyDescent="0.3">
      <c r="A33" s="4">
        <v>46136</v>
      </c>
      <c r="B33" s="5">
        <v>3</v>
      </c>
      <c r="C33" s="5">
        <v>8.39</v>
      </c>
      <c r="D33" s="5">
        <v>40</v>
      </c>
      <c r="E33" s="5">
        <v>2130</v>
      </c>
      <c r="F33" s="5">
        <v>64.33</v>
      </c>
      <c r="G33" s="5">
        <v>5.37</v>
      </c>
      <c r="H33" s="5">
        <v>3.4</v>
      </c>
      <c r="I33" s="5">
        <v>93</v>
      </c>
      <c r="J33" s="5">
        <v>2.59</v>
      </c>
      <c r="K33" s="5">
        <v>530</v>
      </c>
      <c r="L33" s="5">
        <v>500</v>
      </c>
      <c r="M33" s="5">
        <v>2.9</v>
      </c>
      <c r="N33" s="5">
        <v>43</v>
      </c>
      <c r="O33" s="11">
        <v>6.7033906488975159</v>
      </c>
      <c r="P33" s="5">
        <v>5.8550441467745087E-2</v>
      </c>
      <c r="Q33" s="5">
        <v>0.39248648182370383</v>
      </c>
      <c r="R33" s="5">
        <v>57.10045182376146</v>
      </c>
      <c r="S33" s="5">
        <v>73.747684685936477</v>
      </c>
      <c r="T33" s="5">
        <v>28.22060172216726</v>
      </c>
      <c r="U33" s="5">
        <v>4800</v>
      </c>
      <c r="V33" s="5">
        <v>79.808077681392007</v>
      </c>
      <c r="W33" s="11">
        <v>107.5040098039216</v>
      </c>
      <c r="X33" s="5">
        <v>18.655862745098041</v>
      </c>
      <c r="Y33" s="5">
        <v>57.09494470842202</v>
      </c>
      <c r="Z33" s="11">
        <f t="shared" si="1"/>
        <v>62.414223362586981</v>
      </c>
      <c r="AM33" s="13">
        <f t="shared" si="2"/>
        <v>-1.1666666666666714</v>
      </c>
      <c r="AN33" s="13">
        <f t="shared" si="3"/>
        <v>0</v>
      </c>
      <c r="AO33" s="13">
        <f t="shared" si="4"/>
        <v>6.7333333333332732E-2</v>
      </c>
      <c r="AP33" s="13">
        <f t="shared" si="5"/>
        <v>0.14999999999999147</v>
      </c>
      <c r="AQ33" s="13">
        <f t="shared" si="6"/>
        <v>0</v>
      </c>
      <c r="AR33" s="13">
        <f t="shared" si="7"/>
        <v>-0.17999999999999969</v>
      </c>
      <c r="AS33" s="13">
        <f t="shared" si="8"/>
        <v>0</v>
      </c>
      <c r="AT33" s="13">
        <f t="shared" si="9"/>
        <v>0.66000000000000014</v>
      </c>
      <c r="AU33" s="13">
        <f t="shared" si="10"/>
        <v>9.6675191815856806E-2</v>
      </c>
      <c r="AV33" s="13">
        <f t="shared" si="11"/>
        <v>1.3176470588235348E-2</v>
      </c>
      <c r="AW33" s="13">
        <f t="shared" si="12"/>
        <v>0</v>
      </c>
      <c r="AX33" s="13">
        <f t="shared" si="13"/>
        <v>0</v>
      </c>
      <c r="AY33" s="13">
        <f t="shared" si="14"/>
        <v>2.8846503676470601</v>
      </c>
      <c r="AZ33" s="13">
        <f t="shared" si="15"/>
        <v>-9.5254471113575948E-2</v>
      </c>
      <c r="BB33" s="13">
        <f t="shared" si="16"/>
        <v>62.532231822217483</v>
      </c>
      <c r="BC33" s="13">
        <f t="shared" si="17"/>
        <v>62.296214902956486</v>
      </c>
      <c r="BE33" s="9" t="str">
        <f t="shared" si="18"/>
        <v>461363</v>
      </c>
    </row>
    <row r="34" spans="1:57" hidden="1" x14ac:dyDescent="0.3">
      <c r="A34" s="4">
        <v>46137</v>
      </c>
      <c r="B34" s="5">
        <v>1</v>
      </c>
      <c r="C34" s="5">
        <v>8.39</v>
      </c>
      <c r="D34" s="5">
        <v>40</v>
      </c>
      <c r="E34" s="5">
        <v>2120</v>
      </c>
      <c r="F34" s="5">
        <v>64.33</v>
      </c>
      <c r="G34" s="5">
        <v>5.37</v>
      </c>
      <c r="H34" s="5">
        <v>3.4</v>
      </c>
      <c r="I34" s="5">
        <v>93</v>
      </c>
      <c r="J34" s="5">
        <v>2.59</v>
      </c>
      <c r="K34" s="5">
        <v>550</v>
      </c>
      <c r="L34" s="5">
        <v>490</v>
      </c>
      <c r="M34" s="5">
        <v>2.9</v>
      </c>
      <c r="N34" s="5">
        <v>42</v>
      </c>
      <c r="O34" s="11">
        <v>6.2794603002922216</v>
      </c>
      <c r="P34" s="5">
        <v>6.3089290925441438E-2</v>
      </c>
      <c r="Q34" s="5">
        <v>0.39616669773989582</v>
      </c>
      <c r="R34" s="5">
        <v>57.111213537689032</v>
      </c>
      <c r="S34" s="5">
        <v>73.761576939390693</v>
      </c>
      <c r="T34" s="5">
        <v>27.553396967284371</v>
      </c>
      <c r="U34" s="5">
        <v>4800</v>
      </c>
      <c r="V34" s="5">
        <v>81.399947528882578</v>
      </c>
      <c r="W34" s="11">
        <v>117.1229583333334</v>
      </c>
      <c r="X34" s="5">
        <v>19.313333333333329</v>
      </c>
      <c r="Y34" s="5">
        <v>57.110920290809339</v>
      </c>
      <c r="Z34" s="11">
        <f t="shared" si="1"/>
        <v>62.873770915869372</v>
      </c>
      <c r="AM34" s="13">
        <f t="shared" si="2"/>
        <v>-1.1666666666666714</v>
      </c>
      <c r="AN34" s="13">
        <f t="shared" si="3"/>
        <v>0</v>
      </c>
      <c r="AO34" s="13">
        <f t="shared" si="4"/>
        <v>0.1339999999999994</v>
      </c>
      <c r="AP34" s="13">
        <f t="shared" si="5"/>
        <v>0.14999999999999147</v>
      </c>
      <c r="AQ34" s="13">
        <f t="shared" si="6"/>
        <v>0</v>
      </c>
      <c r="AR34" s="13">
        <f t="shared" si="7"/>
        <v>-0.17999999999999969</v>
      </c>
      <c r="AS34" s="13">
        <f t="shared" si="8"/>
        <v>0</v>
      </c>
      <c r="AT34" s="13">
        <f t="shared" si="9"/>
        <v>0.66000000000000014</v>
      </c>
      <c r="AU34" s="13">
        <f t="shared" si="10"/>
        <v>-3.1202046035805595E-2</v>
      </c>
      <c r="AV34" s="13">
        <f t="shared" si="11"/>
        <v>0.13082352941176478</v>
      </c>
      <c r="AW34" s="13">
        <f t="shared" si="12"/>
        <v>0</v>
      </c>
      <c r="AX34" s="13">
        <f t="shared" si="13"/>
        <v>0</v>
      </c>
      <c r="AY34" s="13">
        <f t="shared" si="14"/>
        <v>3.2453609375000028</v>
      </c>
      <c r="AZ34" s="13">
        <f t="shared" si="15"/>
        <v>2.5868485630793865E-2</v>
      </c>
      <c r="BB34" s="13">
        <f t="shared" si="16"/>
        <v>63.081329304015092</v>
      </c>
      <c r="BC34" s="13">
        <f t="shared" si="17"/>
        <v>62.666212527723644</v>
      </c>
      <c r="BE34" s="9" t="str">
        <f t="shared" si="18"/>
        <v>461371</v>
      </c>
    </row>
    <row r="35" spans="1:57" hidden="1" x14ac:dyDescent="0.3">
      <c r="A35" s="4">
        <v>46137</v>
      </c>
      <c r="B35" s="5">
        <v>2</v>
      </c>
      <c r="C35" s="5">
        <v>8.43</v>
      </c>
      <c r="D35" s="5">
        <v>41</v>
      </c>
      <c r="E35" s="5">
        <v>2090</v>
      </c>
      <c r="F35" s="5">
        <v>65.209999999999994</v>
      </c>
      <c r="G35" s="5">
        <v>5.38</v>
      </c>
      <c r="H35" s="5">
        <v>3.4</v>
      </c>
      <c r="I35" s="5">
        <v>96</v>
      </c>
      <c r="J35" s="5">
        <v>2.52</v>
      </c>
      <c r="K35" s="5">
        <v>540</v>
      </c>
      <c r="L35" s="5">
        <v>490</v>
      </c>
      <c r="M35" s="5">
        <v>2.8</v>
      </c>
      <c r="N35" s="5">
        <v>44</v>
      </c>
      <c r="O35" s="11">
        <v>5.6777205725272388</v>
      </c>
      <c r="P35" s="5">
        <v>6.6025051318203284E-2</v>
      </c>
      <c r="Q35" s="5">
        <v>0.37487179217152949</v>
      </c>
      <c r="R35" s="5">
        <v>57.111733840860083</v>
      </c>
      <c r="S35" s="5">
        <v>70.3890168244817</v>
      </c>
      <c r="T35" s="5">
        <v>29.191351495919761</v>
      </c>
      <c r="U35" s="5">
        <v>4800</v>
      </c>
      <c r="V35" s="5">
        <v>83.180376285902597</v>
      </c>
      <c r="W35" s="11">
        <v>117.5368066037736</v>
      </c>
      <c r="X35" s="5">
        <v>18.86217924528302</v>
      </c>
      <c r="Y35" s="5">
        <v>57.087919132297962</v>
      </c>
      <c r="Z35" s="11">
        <f t="shared" si="1"/>
        <v>63.127202267183371</v>
      </c>
      <c r="AM35" s="13">
        <f t="shared" si="2"/>
        <v>-1.8333333333333239</v>
      </c>
      <c r="AN35" s="13">
        <f t="shared" si="3"/>
        <v>0</v>
      </c>
      <c r="AO35" s="13">
        <f t="shared" si="4"/>
        <v>0.33399999999999941</v>
      </c>
      <c r="AP35" s="13">
        <f t="shared" si="5"/>
        <v>1.0299999999999869</v>
      </c>
      <c r="AQ35" s="13">
        <f t="shared" si="6"/>
        <v>0</v>
      </c>
      <c r="AR35" s="13">
        <f t="shared" si="7"/>
        <v>-0.17999999999999969</v>
      </c>
      <c r="AS35" s="13">
        <f t="shared" si="8"/>
        <v>0</v>
      </c>
      <c r="AT35" s="13">
        <f t="shared" si="9"/>
        <v>0.79999999999999982</v>
      </c>
      <c r="AU35" s="13">
        <f t="shared" si="10"/>
        <v>3.27365728900256E-2</v>
      </c>
      <c r="AV35" s="13">
        <f t="shared" si="11"/>
        <v>0.13082352941176478</v>
      </c>
      <c r="AW35" s="13">
        <f t="shared" si="12"/>
        <v>0</v>
      </c>
      <c r="AX35" s="13">
        <f t="shared" si="13"/>
        <v>0</v>
      </c>
      <c r="AY35" s="13">
        <f t="shared" si="14"/>
        <v>3.2608802476415102</v>
      </c>
      <c r="AZ35" s="13">
        <f t="shared" si="15"/>
        <v>0.19779412213507466</v>
      </c>
      <c r="BB35" s="13">
        <f t="shared" si="16"/>
        <v>63.886521386170308</v>
      </c>
      <c r="BC35" s="13">
        <f t="shared" si="17"/>
        <v>62.367883148196434</v>
      </c>
      <c r="BE35" s="9" t="str">
        <f t="shared" si="18"/>
        <v>461372</v>
      </c>
    </row>
    <row r="36" spans="1:57" hidden="1" x14ac:dyDescent="0.3">
      <c r="A36" s="4">
        <v>46140</v>
      </c>
      <c r="B36" s="5">
        <v>2</v>
      </c>
      <c r="C36" s="5">
        <v>8.43</v>
      </c>
      <c r="D36" s="5">
        <v>42</v>
      </c>
      <c r="E36" s="5">
        <v>2110</v>
      </c>
      <c r="F36" s="5">
        <v>65.209999999999994</v>
      </c>
      <c r="G36" s="5">
        <v>5.38</v>
      </c>
      <c r="H36" s="5">
        <v>3.5</v>
      </c>
      <c r="I36" s="5">
        <v>96</v>
      </c>
      <c r="J36" s="5">
        <v>2.52</v>
      </c>
      <c r="K36" s="5">
        <v>530</v>
      </c>
      <c r="L36" s="5">
        <v>500</v>
      </c>
      <c r="M36" s="5">
        <v>2.8</v>
      </c>
      <c r="N36" s="5">
        <v>44</v>
      </c>
      <c r="O36" s="11">
        <v>5.6334152796811399</v>
      </c>
      <c r="P36" s="5">
        <v>6.5221471046258181E-2</v>
      </c>
      <c r="Q36" s="5">
        <v>0.36741963155527191</v>
      </c>
      <c r="R36" s="5">
        <v>57.085659561554067</v>
      </c>
      <c r="S36" s="5">
        <v>69.561502607833376</v>
      </c>
      <c r="T36" s="5">
        <v>29.47200366512692</v>
      </c>
      <c r="U36" s="5">
        <v>4800</v>
      </c>
      <c r="V36" s="5">
        <v>81.452351873559309</v>
      </c>
      <c r="W36" s="11">
        <v>117.0733666666667</v>
      </c>
      <c r="X36" s="5">
        <v>19.368333333333329</v>
      </c>
      <c r="Y36" s="5">
        <v>57.0514902803382</v>
      </c>
      <c r="Z36" s="11">
        <f t="shared" si="1"/>
        <v>62.829729402326109</v>
      </c>
      <c r="AM36" s="13">
        <f t="shared" si="2"/>
        <v>-1.8333333333333239</v>
      </c>
      <c r="AN36" s="13">
        <f t="shared" si="3"/>
        <v>0</v>
      </c>
      <c r="AO36" s="13">
        <f t="shared" si="4"/>
        <v>0.20066666666666605</v>
      </c>
      <c r="AP36" s="13">
        <f t="shared" si="5"/>
        <v>1.0299999999999869</v>
      </c>
      <c r="AQ36" s="13">
        <f t="shared" si="6"/>
        <v>0</v>
      </c>
      <c r="AR36" s="13">
        <f t="shared" si="7"/>
        <v>-0.37999999999999989</v>
      </c>
      <c r="AS36" s="13">
        <f t="shared" si="8"/>
        <v>0</v>
      </c>
      <c r="AT36" s="13">
        <f t="shared" si="9"/>
        <v>0.79999999999999982</v>
      </c>
      <c r="AU36" s="13">
        <f t="shared" si="10"/>
        <v>9.6675191815856806E-2</v>
      </c>
      <c r="AV36" s="13">
        <f t="shared" si="11"/>
        <v>1.3176470588235348E-2</v>
      </c>
      <c r="AW36" s="13">
        <f t="shared" si="12"/>
        <v>0</v>
      </c>
      <c r="AX36" s="13">
        <f t="shared" si="13"/>
        <v>0</v>
      </c>
      <c r="AY36" s="13">
        <f t="shared" si="14"/>
        <v>3.2435012500000013</v>
      </c>
      <c r="AZ36" s="13">
        <f t="shared" si="15"/>
        <v>0.21045277723396008</v>
      </c>
      <c r="BB36" s="13">
        <f t="shared" si="16"/>
        <v>63.468735611561485</v>
      </c>
      <c r="BC36" s="13">
        <f t="shared" si="17"/>
        <v>62.190723193090733</v>
      </c>
      <c r="BE36" s="9" t="str">
        <f t="shared" si="18"/>
        <v>461402</v>
      </c>
    </row>
    <row r="37" spans="1:57" hidden="1" x14ac:dyDescent="0.3">
      <c r="A37" s="4">
        <v>46140</v>
      </c>
      <c r="B37" s="5">
        <v>3</v>
      </c>
      <c r="C37" s="5">
        <v>8.3699999999999992</v>
      </c>
      <c r="D37" s="5">
        <v>42</v>
      </c>
      <c r="E37" s="5">
        <v>2020</v>
      </c>
      <c r="F37" s="5">
        <v>65.209999999999994</v>
      </c>
      <c r="G37" s="5">
        <v>5.38</v>
      </c>
      <c r="H37" s="5">
        <v>3.5</v>
      </c>
      <c r="I37" s="5">
        <v>99</v>
      </c>
      <c r="J37" s="5">
        <v>2.52</v>
      </c>
      <c r="K37" s="5">
        <v>520</v>
      </c>
      <c r="L37" s="5">
        <v>490</v>
      </c>
      <c r="M37" s="5">
        <v>2.8</v>
      </c>
      <c r="N37" s="5">
        <v>43</v>
      </c>
      <c r="O37" s="11">
        <v>5.7861372362392718</v>
      </c>
      <c r="P37" s="5">
        <v>6.0011432480302468E-2</v>
      </c>
      <c r="Q37" s="5">
        <v>0.34723438407433699</v>
      </c>
      <c r="R37" s="5">
        <v>57.046315262996799</v>
      </c>
      <c r="S37" s="5">
        <v>70.358529616033593</v>
      </c>
      <c r="T37" s="5">
        <v>28.957461949808589</v>
      </c>
      <c r="U37" s="5">
        <v>4800</v>
      </c>
      <c r="V37" s="5">
        <v>77.736574687954729</v>
      </c>
      <c r="W37" s="11">
        <v>107.621825</v>
      </c>
      <c r="X37" s="5">
        <v>19.343999999999991</v>
      </c>
      <c r="Y37" s="5">
        <v>57.024347247672132</v>
      </c>
      <c r="Z37" s="11">
        <f t="shared" si="1"/>
        <v>63.821177794244456</v>
      </c>
      <c r="AM37" s="13">
        <f t="shared" si="2"/>
        <v>-0.83333333333331561</v>
      </c>
      <c r="AN37" s="13">
        <f t="shared" si="3"/>
        <v>0</v>
      </c>
      <c r="AO37" s="13">
        <f t="shared" si="4"/>
        <v>0.80066666666666608</v>
      </c>
      <c r="AP37" s="13">
        <f t="shared" si="5"/>
        <v>1.0299999999999869</v>
      </c>
      <c r="AQ37" s="13">
        <f t="shared" si="6"/>
        <v>0</v>
      </c>
      <c r="AR37" s="13">
        <f t="shared" si="7"/>
        <v>-0.37999999999999989</v>
      </c>
      <c r="AS37" s="13">
        <f t="shared" si="8"/>
        <v>0</v>
      </c>
      <c r="AT37" s="13">
        <f t="shared" si="9"/>
        <v>0.79999999999999982</v>
      </c>
      <c r="AU37" s="13">
        <f t="shared" si="10"/>
        <v>0.16061381074168801</v>
      </c>
      <c r="AV37" s="13">
        <f t="shared" si="11"/>
        <v>0.13082352941176478</v>
      </c>
      <c r="AW37" s="13">
        <f t="shared" si="12"/>
        <v>0</v>
      </c>
      <c r="AX37" s="13">
        <f t="shared" si="13"/>
        <v>0</v>
      </c>
      <c r="AY37" s="13">
        <f t="shared" si="14"/>
        <v>2.8890684375000002</v>
      </c>
      <c r="AZ37" s="13">
        <f t="shared" si="15"/>
        <v>0.16681793250306523</v>
      </c>
      <c r="BB37" s="13">
        <f t="shared" si="16"/>
        <v>64.812906899946</v>
      </c>
      <c r="BC37" s="13">
        <f t="shared" si="17"/>
        <v>62.829448688542911</v>
      </c>
      <c r="BE37" s="9" t="str">
        <f t="shared" si="18"/>
        <v>461403</v>
      </c>
    </row>
    <row r="38" spans="1:57" hidden="1" x14ac:dyDescent="0.3">
      <c r="A38" s="4">
        <v>46141</v>
      </c>
      <c r="B38" s="5">
        <v>1</v>
      </c>
      <c r="C38" s="5">
        <v>8.3699999999999992</v>
      </c>
      <c r="D38" s="5">
        <v>42</v>
      </c>
      <c r="E38" s="5">
        <v>2130</v>
      </c>
      <c r="F38" s="5">
        <v>65.209999999999994</v>
      </c>
      <c r="G38" s="5">
        <v>5.38</v>
      </c>
      <c r="H38" s="5">
        <v>3.4</v>
      </c>
      <c r="I38" s="5">
        <v>90</v>
      </c>
      <c r="J38" s="5">
        <v>2.52</v>
      </c>
      <c r="K38" s="5">
        <v>550</v>
      </c>
      <c r="L38" s="5">
        <v>490</v>
      </c>
      <c r="M38" s="5">
        <v>2.8</v>
      </c>
      <c r="N38" s="5">
        <v>44</v>
      </c>
      <c r="O38" s="11">
        <v>5.9653377502992946</v>
      </c>
      <c r="P38" s="5">
        <v>6.1360929697560178E-2</v>
      </c>
      <c r="Q38" s="5">
        <v>0.36603867031831677</v>
      </c>
      <c r="R38" s="5">
        <v>57.143518291572839</v>
      </c>
      <c r="S38" s="5">
        <v>72.992188265888174</v>
      </c>
      <c r="T38" s="5">
        <v>29.314908995637811</v>
      </c>
      <c r="U38" s="5">
        <v>4800</v>
      </c>
      <c r="V38" s="5">
        <v>83.226666282457884</v>
      </c>
      <c r="W38" s="11">
        <v>111.5997</v>
      </c>
      <c r="X38" s="5">
        <v>19.474999999999991</v>
      </c>
      <c r="Y38" s="5">
        <v>57.130787054992069</v>
      </c>
      <c r="Z38" s="11">
        <f t="shared" si="1"/>
        <v>63.662499955684126</v>
      </c>
      <c r="AM38" s="13">
        <f t="shared" si="2"/>
        <v>-0.83333333333331561</v>
      </c>
      <c r="AN38" s="13">
        <f t="shared" si="3"/>
        <v>0</v>
      </c>
      <c r="AO38" s="13">
        <f t="shared" si="4"/>
        <v>6.7333333333332732E-2</v>
      </c>
      <c r="AP38" s="13">
        <f t="shared" si="5"/>
        <v>1.0299999999999869</v>
      </c>
      <c r="AQ38" s="13">
        <f t="shared" si="6"/>
        <v>0</v>
      </c>
      <c r="AR38" s="13">
        <f t="shared" si="7"/>
        <v>-0.17999999999999969</v>
      </c>
      <c r="AS38" s="13">
        <f t="shared" si="8"/>
        <v>0</v>
      </c>
      <c r="AT38" s="13">
        <f t="shared" si="9"/>
        <v>0.79999999999999982</v>
      </c>
      <c r="AU38" s="13">
        <f t="shared" si="10"/>
        <v>-3.1202046035805595E-2</v>
      </c>
      <c r="AV38" s="13">
        <f t="shared" si="11"/>
        <v>0.13082352941176478</v>
      </c>
      <c r="AW38" s="13">
        <f t="shared" si="12"/>
        <v>0</v>
      </c>
      <c r="AX38" s="13">
        <f t="shared" si="13"/>
        <v>0</v>
      </c>
      <c r="AY38" s="13">
        <f t="shared" si="14"/>
        <v>3.0382387499999997</v>
      </c>
      <c r="AZ38" s="13">
        <f t="shared" si="15"/>
        <v>0.11561778562877301</v>
      </c>
      <c r="BB38" s="13">
        <f t="shared" si="16"/>
        <v>64.282944005347048</v>
      </c>
      <c r="BC38" s="13">
        <f t="shared" si="17"/>
        <v>63.042055906021197</v>
      </c>
      <c r="BE38" s="9" t="str">
        <f t="shared" si="18"/>
        <v>461411</v>
      </c>
    </row>
    <row r="39" spans="1:57" hidden="1" x14ac:dyDescent="0.3">
      <c r="A39" s="4">
        <v>46141</v>
      </c>
      <c r="B39" s="5">
        <v>3</v>
      </c>
      <c r="C39" s="16">
        <v>8.42</v>
      </c>
      <c r="D39" s="16">
        <v>41.13</v>
      </c>
      <c r="E39" s="16">
        <v>2092.61</v>
      </c>
      <c r="F39" s="16">
        <v>65.42</v>
      </c>
      <c r="G39" s="16">
        <v>5.41</v>
      </c>
      <c r="H39" s="16">
        <v>3.41</v>
      </c>
      <c r="I39" s="16">
        <v>94.96</v>
      </c>
      <c r="J39" s="16">
        <v>2.56</v>
      </c>
      <c r="K39" s="16">
        <v>531.74</v>
      </c>
      <c r="L39" s="16">
        <v>491.43</v>
      </c>
      <c r="M39" s="16">
        <v>3.02</v>
      </c>
      <c r="N39" s="16">
        <v>44.78</v>
      </c>
      <c r="O39" s="17">
        <v>6.0737015872463678</v>
      </c>
      <c r="P39" s="16">
        <v>6.0133107059482133E-2</v>
      </c>
      <c r="Q39" s="16">
        <v>0.36523054779323227</v>
      </c>
      <c r="R39" s="16">
        <v>57.081826632637892</v>
      </c>
      <c r="S39" s="16">
        <v>68.06500606957573</v>
      </c>
      <c r="T39" s="16">
        <v>28.949621452209531</v>
      </c>
      <c r="U39" s="16">
        <v>4800</v>
      </c>
      <c r="V39" s="16">
        <v>83.136820705543798</v>
      </c>
      <c r="W39" s="17">
        <v>108.3749193548387</v>
      </c>
      <c r="X39" s="16">
        <v>0</v>
      </c>
      <c r="Y39" s="16">
        <v>57.077475054683489</v>
      </c>
      <c r="Z39" s="11">
        <f t="shared" si="1"/>
        <v>62.855800214281416</v>
      </c>
      <c r="AM39" s="13">
        <f t="shared" si="2"/>
        <v>-1.6666666666666607</v>
      </c>
      <c r="AN39" s="13">
        <f t="shared" si="3"/>
        <v>0</v>
      </c>
      <c r="AO39" s="13">
        <f t="shared" si="4"/>
        <v>0.31659999999999855</v>
      </c>
      <c r="AP39" s="13">
        <f t="shared" si="5"/>
        <v>1.2399999999999949</v>
      </c>
      <c r="AQ39" s="13">
        <f t="shared" si="6"/>
        <v>0</v>
      </c>
      <c r="AR39" s="13">
        <f t="shared" si="7"/>
        <v>-0.20000000000000018</v>
      </c>
      <c r="AS39" s="13">
        <f t="shared" si="8"/>
        <v>0</v>
      </c>
      <c r="AT39" s="13">
        <f t="shared" si="9"/>
        <v>0.71999999999999975</v>
      </c>
      <c r="AU39" s="13">
        <f t="shared" si="10"/>
        <v>8.5549872122762119E-2</v>
      </c>
      <c r="AV39" s="13">
        <f t="shared" si="11"/>
        <v>0.11399999999999999</v>
      </c>
      <c r="AW39" s="13">
        <f t="shared" si="12"/>
        <v>0</v>
      </c>
      <c r="AX39" s="13">
        <f t="shared" si="13"/>
        <v>0</v>
      </c>
      <c r="AY39" s="13">
        <f t="shared" si="14"/>
        <v>2.9173094758064515</v>
      </c>
      <c r="AZ39" s="13">
        <f t="shared" si="15"/>
        <v>8.4656689358180673E-2</v>
      </c>
      <c r="BB39" s="13">
        <f t="shared" si="16"/>
        <v>63.693276003258617</v>
      </c>
      <c r="BC39" s="13">
        <f t="shared" si="17"/>
        <v>62.018324425304222</v>
      </c>
      <c r="BE39" s="9" t="str">
        <f t="shared" si="18"/>
        <v>461413</v>
      </c>
    </row>
    <row r="40" spans="1:57" hidden="1" x14ac:dyDescent="0.3">
      <c r="A40" s="21">
        <v>46142</v>
      </c>
      <c r="B40" s="22">
        <v>1</v>
      </c>
      <c r="C40" s="23">
        <v>8.41</v>
      </c>
      <c r="D40" s="23">
        <v>42.14</v>
      </c>
      <c r="E40" s="23">
        <v>2050</v>
      </c>
      <c r="F40" s="23">
        <v>65.239999999999995</v>
      </c>
      <c r="G40" s="23">
        <v>5.43</v>
      </c>
      <c r="H40" s="23">
        <v>3.46</v>
      </c>
      <c r="I40" s="23">
        <v>93.86</v>
      </c>
      <c r="J40" s="23">
        <v>2.6</v>
      </c>
      <c r="K40" s="23">
        <v>534.29</v>
      </c>
      <c r="L40" s="23">
        <v>485</v>
      </c>
      <c r="M40" s="23">
        <v>3</v>
      </c>
      <c r="N40" s="23">
        <v>45.86</v>
      </c>
      <c r="O40" s="24">
        <v>6.0616176021187718</v>
      </c>
      <c r="P40" s="23">
        <v>6.4697539276957802E-2</v>
      </c>
      <c r="Q40" s="23">
        <v>0.39217174289497803</v>
      </c>
      <c r="R40" s="23">
        <v>57.065453921723588</v>
      </c>
      <c r="S40" s="23">
        <v>68.0638876965088</v>
      </c>
      <c r="T40" s="23">
        <v>28.50527064695352</v>
      </c>
      <c r="U40" s="23">
        <v>4800</v>
      </c>
      <c r="V40" s="23">
        <v>82.15355138188724</v>
      </c>
      <c r="W40" s="24">
        <v>38.499499999999998</v>
      </c>
      <c r="X40" s="23">
        <v>0</v>
      </c>
      <c r="Y40" s="23">
        <v>57.046635405245858</v>
      </c>
      <c r="Z40" s="25">
        <f t="shared" si="1"/>
        <v>60.275537557063984</v>
      </c>
      <c r="AM40" s="26">
        <f t="shared" si="2"/>
        <v>-1.4999999999999978</v>
      </c>
      <c r="AN40" s="26">
        <f t="shared" si="3"/>
        <v>0</v>
      </c>
      <c r="AO40" s="26">
        <f t="shared" si="4"/>
        <v>0.60066666666666602</v>
      </c>
      <c r="AP40" s="26">
        <f t="shared" si="5"/>
        <v>1.0599999999999881</v>
      </c>
      <c r="AQ40" s="26">
        <f t="shared" si="6"/>
        <v>0</v>
      </c>
      <c r="AR40" s="26">
        <f t="shared" si="7"/>
        <v>-0.29999999999999982</v>
      </c>
      <c r="AS40" s="26">
        <f t="shared" si="8"/>
        <v>0</v>
      </c>
      <c r="AT40" s="26">
        <f t="shared" si="9"/>
        <v>0.63999999999999968</v>
      </c>
      <c r="AU40" s="26">
        <f t="shared" si="10"/>
        <v>6.9245524296675451E-2</v>
      </c>
      <c r="AV40" s="26">
        <f t="shared" si="11"/>
        <v>0.18964705882352947</v>
      </c>
      <c r="AW40" s="26">
        <f t="shared" si="12"/>
        <v>0</v>
      </c>
      <c r="AX40" s="26">
        <f t="shared" si="13"/>
        <v>0</v>
      </c>
      <c r="AY40" s="26">
        <f t="shared" si="14"/>
        <v>0.29698124999999997</v>
      </c>
      <c r="AZ40" s="26">
        <f t="shared" si="15"/>
        <v>8.810925653749381E-2</v>
      </c>
      <c r="BB40" s="26">
        <f t="shared" si="16"/>
        <v>61.210103678047943</v>
      </c>
      <c r="BC40" s="26">
        <f t="shared" si="17"/>
        <v>59.340971436080025</v>
      </c>
      <c r="BE40" s="27" t="str">
        <f t="shared" si="18"/>
        <v>461421</v>
      </c>
    </row>
    <row r="41" spans="1:57" s="18" customFormat="1" x14ac:dyDescent="0.3">
      <c r="A41" s="19">
        <v>46142</v>
      </c>
      <c r="B41" s="16">
        <v>2</v>
      </c>
      <c r="C41" s="16">
        <v>8.51</v>
      </c>
      <c r="D41" s="16">
        <v>40.93</v>
      </c>
      <c r="E41" s="16">
        <v>2119.29</v>
      </c>
      <c r="F41" s="16">
        <v>65.95</v>
      </c>
      <c r="G41" s="16">
        <v>5.38</v>
      </c>
      <c r="H41" s="16">
        <v>3.4</v>
      </c>
      <c r="I41" s="16">
        <v>93.39</v>
      </c>
      <c r="J41" s="16">
        <v>2.75</v>
      </c>
      <c r="K41" s="16">
        <v>542.5</v>
      </c>
      <c r="L41" s="16">
        <v>496.25</v>
      </c>
      <c r="M41" s="16">
        <v>2.82</v>
      </c>
      <c r="N41" s="16">
        <v>43.5</v>
      </c>
      <c r="O41" s="16">
        <v>6.6157628259384271</v>
      </c>
      <c r="P41" s="16">
        <v>4.9574277328858343E-2</v>
      </c>
      <c r="Q41" s="16">
        <v>0.32797166107502318</v>
      </c>
      <c r="R41" s="16">
        <v>57.057516117840109</v>
      </c>
      <c r="S41" s="16">
        <v>64.766518426787044</v>
      </c>
      <c r="T41" s="16">
        <v>30.16249890114447</v>
      </c>
      <c r="U41" s="16">
        <v>4800</v>
      </c>
      <c r="V41" s="16">
        <v>83.101415736000092</v>
      </c>
      <c r="W41" s="16">
        <v>91.891099999999994</v>
      </c>
      <c r="X41" s="16">
        <v>0</v>
      </c>
      <c r="Y41" s="16">
        <v>57.054245562422743</v>
      </c>
      <c r="Z41" s="17">
        <f t="shared" si="1"/>
        <v>57.602178116845408</v>
      </c>
      <c r="AM41" s="20">
        <f t="shared" si="2"/>
        <v>-3.1666666666666585</v>
      </c>
      <c r="AN41" s="20">
        <f t="shared" si="3"/>
        <v>0</v>
      </c>
      <c r="AO41" s="20">
        <f t="shared" si="4"/>
        <v>0.13873333333333299</v>
      </c>
      <c r="AP41" s="20">
        <f t="shared" si="5"/>
        <v>1.769999999999996</v>
      </c>
      <c r="AQ41" s="20">
        <f t="shared" si="6"/>
        <v>0</v>
      </c>
      <c r="AR41" s="20">
        <f t="shared" si="7"/>
        <v>-0.17999999999999969</v>
      </c>
      <c r="AS41" s="20">
        <f t="shared" si="8"/>
        <v>0</v>
      </c>
      <c r="AT41" s="20">
        <f t="shared" si="9"/>
        <v>0.33999999999999986</v>
      </c>
      <c r="AU41" s="20">
        <f t="shared" si="10"/>
        <v>1.6751918158567802E-2</v>
      </c>
      <c r="AV41" s="20">
        <f t="shared" si="11"/>
        <v>5.7294117647058884E-2</v>
      </c>
      <c r="AW41" s="20">
        <f t="shared" si="12"/>
        <v>0</v>
      </c>
      <c r="AX41" s="20">
        <f t="shared" si="13"/>
        <v>0</v>
      </c>
      <c r="AY41" s="20">
        <f>(((W41*$Y$4/$Y$3)-$R$1)/$R$2)</f>
        <v>-0.37658374999999999</v>
      </c>
      <c r="AZ41" s="20">
        <f t="shared" si="15"/>
        <v>-7.0217950268122012E-2</v>
      </c>
      <c r="BB41" s="20">
        <f t="shared" si="16"/>
        <v>58.586827120044283</v>
      </c>
      <c r="BC41" s="20">
        <f t="shared" si="17"/>
        <v>56.617529113646526</v>
      </c>
      <c r="BE41" s="18" t="str">
        <f t="shared" si="18"/>
        <v>461422</v>
      </c>
    </row>
    <row r="42" spans="1:57" x14ac:dyDescent="0.3">
      <c r="AM42" s="2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Gokul R</cp:lastModifiedBy>
  <dcterms:created xsi:type="dcterms:W3CDTF">2026-04-30T11:37:50Z</dcterms:created>
  <dcterms:modified xsi:type="dcterms:W3CDTF">2026-05-07T10:39:18Z</dcterms:modified>
</cp:coreProperties>
</file>